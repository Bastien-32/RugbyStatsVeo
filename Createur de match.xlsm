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RUGBYMXV/STATS/"/>
    </mc:Choice>
  </mc:AlternateContent>
  <xr:revisionPtr revIDLastSave="0" documentId="13_ncr:1_{10DDAEDB-2419-6746-863F-136E9A126111}" xr6:coauthVersionLast="47" xr6:coauthVersionMax="47" xr10:uidLastSave="{00000000-0000-0000-0000-000000000000}"/>
  <bookViews>
    <workbookView xWindow="40" yWindow="660" windowWidth="15480" windowHeight="21680" activeTab="1" xr2:uid="{4C620DC8-4A92-4A74-A2C1-CAFBAFF2AB7D}"/>
    <workbookView xWindow="10040" yWindow="10480" windowWidth="24520" windowHeight="11860" activeTab="2" xr2:uid="{F77BC5C1-AD43-5D4D-A451-2E6041329C99}"/>
  </bookViews>
  <sheets>
    <sheet name="Compo" sheetId="7" r:id="rId1"/>
    <sheet name="Saisie vidéo" sheetId="2" r:id="rId2"/>
    <sheet name="Journal actions" sheetId="10" r:id="rId3"/>
    <sheet name="Stats match" sheetId="12" r:id="rId4"/>
    <sheet name="Listes" sheetId="3" r:id="rId5"/>
    <sheet name="Paramètres" sheetId="6" r:id="rId6"/>
    <sheet name="Popup" sheetId="8" state="hidden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3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vidéo'!$J$22</definedName>
    <definedName name="BTN_ARRET_DU_JEU">'Saisie vidéo'!$N$30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vidéo'!$H$50</definedName>
    <definedName name="BTN_CHRONO_PLAY_PAUSE">'Saisie vidéo'!$J$50</definedName>
    <definedName name="BTN_CHRONO_PLUS_5_SEC">'Saisie vidéo'!$L$50</definedName>
    <definedName name="BTN_CHRONO_RESET">'Saisie vidéo'!$N$50</definedName>
    <definedName name="BTN_CONTRE_RUCK">'Saisie vidéo'!$H$22</definedName>
    <definedName name="BTN_EN_AVANT">'Saisie vidéo'!$F$20</definedName>
    <definedName name="BTN_FRANCHISSEMENT">'Saisie vidéo'!$N$22</definedName>
    <definedName name="BTN_GRATTAGE">'Saisie vidéo'!$F$22</definedName>
    <definedName name="BTN_JEU_AU_PIED">'Saisie vidéo'!$H$20</definedName>
    <definedName name="BTN_JO_1">'Saisie vidéo'!$D$36</definedName>
    <definedName name="BTN_JO_10">'Saisie vidéo'!$J$38</definedName>
    <definedName name="BTN_JO_11">'Saisie vidéo'!$L$38</definedName>
    <definedName name="BTN_JO_12">'Saisie vidéo'!$N$38</definedName>
    <definedName name="BTN_JO_13">'Saisie vidéo'!$D$40</definedName>
    <definedName name="BTN_JO_14">'Saisie vidéo'!$F$40</definedName>
    <definedName name="BTN_JO_15">'Saisie vidéo'!$H$40</definedName>
    <definedName name="BTN_JO_16">'Saisie vidéo'!$J$40</definedName>
    <definedName name="BTN_JO_17">'Saisie vidéo'!$L$40</definedName>
    <definedName name="BTN_JO_18">'Saisie vidéo'!$N$40</definedName>
    <definedName name="BTN_JO_19">'Saisie vidéo'!$D$42</definedName>
    <definedName name="BTN_JO_2">'Saisie vidéo'!$F$36</definedName>
    <definedName name="BTN_JO_20">'Saisie vidéo'!$F$42</definedName>
    <definedName name="BTN_JO_21">'Saisie vidéo'!$H$42</definedName>
    <definedName name="BTN_JO_22">'Saisie vidéo'!$J$42</definedName>
    <definedName name="BTN_JO_3">'Saisie vidéo'!$H$36</definedName>
    <definedName name="BTN_JO_4">'Saisie vidéo'!$J$36</definedName>
    <definedName name="BTN_JO_5">'Saisie vidéo'!$L$36</definedName>
    <definedName name="BTN_JO_6">'Saisie vidéo'!$N$36</definedName>
    <definedName name="BTN_JO_7">'Saisie vidéo'!$D$38</definedName>
    <definedName name="BTN_JO_8">'Saisie vidéo'!$F$38</definedName>
    <definedName name="BTN_JO_9">'Saisie vidéo'!$H$38</definedName>
    <definedName name="BTN_JO_COLLECTIF">'Saisie vidéo'!$L$42</definedName>
    <definedName name="BTN_JO_NON_IDENTIFIE">'Saisie vidéo'!$N$42</definedName>
    <definedName name="BTN_ME_G">'Saisie vidéo'!$F$18</definedName>
    <definedName name="BTN_ME_P">'Saisie vidéo'!$H$18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vidéo'!$F$24</definedName>
    <definedName name="BTN_PEN_CONTRE_NOUS">'Saisie vidéo'!$H$24</definedName>
    <definedName name="BTN_PEN_HORS_JEU">'Saisie vidéo'!$J$26</definedName>
    <definedName name="BTN_PEN_MAUL">'Saisie vidéo'!$F$26</definedName>
    <definedName name="BTN_PEN_PL_A_2">'Saisie vidéo'!$L$26</definedName>
    <definedName name="BTN_PEN_PL_HAUT">'Saisie vidéo'!$N$26</definedName>
    <definedName name="BTN_PEN_RUCK">'Saisie vidéo'!$H$26</definedName>
    <definedName name="BTN_PL_A2">'Saisie vidéo'!$L$14</definedName>
    <definedName name="BTN_PL_HAUT">'Saisie vidéo'!$N$14</definedName>
    <definedName name="BTN_PL_NORMAL">'Saisie vidéo'!$H$14</definedName>
    <definedName name="BTN_PL_OFF">'Saisie vidéo'!$F$14</definedName>
    <definedName name="BTN_PL_RATE">'Saisie vidéo'!$J$14</definedName>
    <definedName name="BTN_PTS_DROP">'Saisie vidéo'!$N$28</definedName>
    <definedName name="BTN_PTS_ESSAI">'Saisie vidéo'!$F$28</definedName>
    <definedName name="BTN_PTS_ESSAI_PEN">'Saisie vidéo'!$H$28</definedName>
    <definedName name="BTN_PTS_PENALITE">'Saisie vidéo'!$L$28</definedName>
    <definedName name="BTN_PTS_TRANSFO">'Saisie vidéo'!$J$28</definedName>
    <definedName name="BTN_RECEPTION_ADV">'Saisie vidéo'!$L$20</definedName>
    <definedName name="BTN_RECEPTION_NOUS">'Saisie vidéo'!$J$20</definedName>
    <definedName name="BTN_REPRISE_A_LA_MAIN">'Saisie vidéo'!$L$30</definedName>
    <definedName name="BTN_REPRISE_MELEE">'Saisie vidéo'!$H$30</definedName>
    <definedName name="BTN_REPRISE_RENVOI">'Saisie vidéo'!$J$30</definedName>
    <definedName name="BTN_REPRISE_TOUCHE">'Saisie vidéo'!$F$30</definedName>
    <definedName name="BTN_TO_G">'Saisie vidéo'!$F$16</definedName>
    <definedName name="BTN_TO_P">'Saisie vidéo'!$H$16</definedName>
    <definedName name="BTN_TO_PAS_DROIT">'Saisie vidéo'!$J$16</definedName>
    <definedName name="BTNS_JOUEURS">'Saisie vidéo'!$D$36,'Saisie vidéo'!$F$36,'Saisie vidéo'!$H$36,'Saisie vidéo'!$J$36,'Saisie vidéo'!$L$36,'Saisie vidéo'!$N$36,'Saisie vidéo'!$N$38,'Saisie vidéo'!$L$38,'Saisie vidéo'!$J$38,'Saisie vidéo'!$H$38,'Saisie vidéo'!$F$38,'Saisie vidéo'!$D$38,'Saisie vidéo'!$D$40,'Saisie vidéo'!$F$40,'Saisie vidéo'!$H$40,'Saisie vidéo'!$J$40,'Saisie vidéo'!$L$40,'Saisie vidéo'!$N$40,'Saisie vidéo'!$D$42,'Saisie vidéo'!$F$42,'Saisie vidéo'!$H$42,'Saisie vidéo'!$J$42,'Saisie vidéo'!$L$42,'Saisie vidéo'!$N$42</definedName>
    <definedName name="CELL_CHRONO_VIDEO">'Saisie vidéo'!$D$50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vidéo'!$C$35:$O$43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B3" i="12" l="1"/>
  <c r="B62" i="12" l="1" a="1"/>
  <c r="B8" i="12" a="1"/>
  <c r="E50" i="12"/>
  <c r="D50" i="12"/>
  <c r="E49" i="12"/>
  <c r="D49" i="12"/>
  <c r="M47" i="12"/>
  <c r="L47" i="12"/>
  <c r="M46" i="12"/>
  <c r="L46" i="12"/>
  <c r="E46" i="12"/>
  <c r="D46" i="12"/>
  <c r="M45" i="12"/>
  <c r="L45" i="12"/>
  <c r="E45" i="12"/>
  <c r="D45" i="12"/>
  <c r="M44" i="12"/>
  <c r="L44" i="12"/>
  <c r="M43" i="12"/>
  <c r="L43" i="12"/>
  <c r="M42" i="12"/>
  <c r="L42" i="12"/>
  <c r="H42" i="12"/>
  <c r="E42" i="12"/>
  <c r="D42" i="12"/>
  <c r="H41" i="12"/>
  <c r="E41" i="12"/>
  <c r="D41" i="12"/>
  <c r="N39" i="12"/>
  <c r="M39" i="12"/>
  <c r="L39" i="12"/>
  <c r="K39" i="12"/>
  <c r="N38" i="12"/>
  <c r="M38" i="12"/>
  <c r="L38" i="12"/>
  <c r="K38" i="12"/>
  <c r="H38" i="12"/>
  <c r="E38" i="12"/>
  <c r="D38" i="12"/>
  <c r="H37" i="12"/>
  <c r="E37" i="12"/>
  <c r="D37" i="12"/>
  <c r="T31" i="12"/>
  <c r="S31" i="12"/>
  <c r="R31" i="12"/>
  <c r="Q31" i="12"/>
  <c r="P31" i="12"/>
  <c r="T30" i="12"/>
  <c r="S30" i="12"/>
  <c r="R30" i="12"/>
  <c r="Q30" i="12"/>
  <c r="P30" i="12"/>
  <c r="J60" i="12"/>
  <c r="H60" i="12"/>
  <c r="E60" i="12"/>
  <c r="C60" i="12"/>
  <c r="D84" i="12" s="1"/>
  <c r="T7" i="12"/>
  <c r="S7" i="12"/>
  <c r="R7" i="12"/>
  <c r="Q7" i="12"/>
  <c r="P7" i="12"/>
  <c r="O7" i="12"/>
  <c r="O30" i="12" s="1"/>
  <c r="M6" i="12"/>
  <c r="N30" i="12" s="1"/>
  <c r="K6" i="12"/>
  <c r="I6" i="12"/>
  <c r="G6" i="12"/>
  <c r="E6" i="12"/>
  <c r="F30" i="12" s="1"/>
  <c r="C6" i="12"/>
  <c r="C1" i="2"/>
  <c r="J24" i="1"/>
  <c r="I24" i="1"/>
  <c r="H24" i="1"/>
  <c r="G24" i="1"/>
  <c r="F24" i="1"/>
  <c r="D24" i="1"/>
  <c r="C24" i="1"/>
  <c r="B24" i="1"/>
  <c r="H80" i="12" l="1"/>
  <c r="G22" i="12"/>
  <c r="O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Q11" i="12"/>
  <c r="M13" i="12"/>
  <c r="C15" i="12"/>
  <c r="L16" i="12"/>
  <c r="H18" i="12"/>
  <c r="Q19" i="12"/>
  <c r="M21" i="12"/>
  <c r="C23" i="12"/>
  <c r="L24" i="12"/>
  <c r="H26" i="12"/>
  <c r="Q27" i="12"/>
  <c r="M29" i="12"/>
  <c r="I63" i="12"/>
  <c r="I72" i="12"/>
  <c r="I81" i="12"/>
  <c r="G10" i="12"/>
  <c r="F13" i="12"/>
  <c r="K16" i="12"/>
  <c r="O19" i="12"/>
  <c r="F21" i="12"/>
  <c r="T22" i="12"/>
  <c r="K24" i="12"/>
  <c r="G26" i="12"/>
  <c r="F29" i="12"/>
  <c r="D30" i="12"/>
  <c r="C30" i="12"/>
  <c r="D31" i="12"/>
  <c r="R11" i="12"/>
  <c r="E15" i="12"/>
  <c r="R19" i="12"/>
  <c r="N29" i="12"/>
  <c r="G12" i="12"/>
  <c r="G20" i="12"/>
  <c r="F23" i="12"/>
  <c r="K26" i="12"/>
  <c r="G31" i="12"/>
  <c r="H31" i="12"/>
  <c r="L10" i="12"/>
  <c r="H20" i="12"/>
  <c r="K12" i="12"/>
  <c r="T18" i="12"/>
  <c r="O23" i="12"/>
  <c r="T26" i="12"/>
  <c r="G30" i="12"/>
  <c r="H74" i="12"/>
  <c r="H83" i="12"/>
  <c r="K82" i="12"/>
  <c r="M9" i="12"/>
  <c r="C11" i="12"/>
  <c r="L12" i="12"/>
  <c r="H14" i="12"/>
  <c r="Q15" i="12"/>
  <c r="M17" i="12"/>
  <c r="C19" i="12"/>
  <c r="L20" i="12"/>
  <c r="H22" i="12"/>
  <c r="Q23" i="12"/>
  <c r="M25" i="12"/>
  <c r="C27" i="12"/>
  <c r="L28" i="12"/>
  <c r="H30" i="12"/>
  <c r="I65" i="12"/>
  <c r="I74" i="12"/>
  <c r="I83" i="12"/>
  <c r="O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R28" i="12"/>
  <c r="F28" i="12"/>
  <c r="L27" i="12"/>
  <c r="R26" i="12"/>
  <c r="F26" i="12"/>
  <c r="L25" i="12"/>
  <c r="R24" i="12"/>
  <c r="F24" i="12"/>
  <c r="L23" i="12"/>
  <c r="R22" i="12"/>
  <c r="F22" i="12"/>
  <c r="L21" i="12"/>
  <c r="R20" i="12"/>
  <c r="F20" i="12"/>
  <c r="L19" i="12"/>
  <c r="R18" i="12"/>
  <c r="F18" i="12"/>
  <c r="L17" i="12"/>
  <c r="R16" i="12"/>
  <c r="F16" i="12"/>
  <c r="L15" i="12"/>
  <c r="R14" i="12"/>
  <c r="F14" i="12"/>
  <c r="L13" i="12"/>
  <c r="R12" i="12"/>
  <c r="F12" i="12"/>
  <c r="L11" i="12"/>
  <c r="R10" i="12"/>
  <c r="F10" i="12"/>
  <c r="L9" i="12"/>
  <c r="K29" i="12"/>
  <c r="E28" i="12"/>
  <c r="K27" i="12"/>
  <c r="Q26" i="12"/>
  <c r="E26" i="12"/>
  <c r="Q24" i="12"/>
  <c r="E24" i="12"/>
  <c r="K23" i="12"/>
  <c r="E22" i="12"/>
  <c r="Q20" i="12"/>
  <c r="K19" i="12"/>
  <c r="E18" i="12"/>
  <c r="Q16" i="12"/>
  <c r="K15" i="12"/>
  <c r="E14" i="12"/>
  <c r="E12" i="12"/>
  <c r="E10" i="12"/>
  <c r="S29" i="12"/>
  <c r="G29" i="12"/>
  <c r="M28" i="12"/>
  <c r="G27" i="12"/>
  <c r="M26" i="12"/>
  <c r="G25" i="12"/>
  <c r="M24" i="12"/>
  <c r="G23" i="12"/>
  <c r="G21" i="12"/>
  <c r="M20" i="12"/>
  <c r="G19" i="12"/>
  <c r="S17" i="12"/>
  <c r="M14" i="12"/>
  <c r="S11" i="12"/>
  <c r="S9" i="12"/>
  <c r="G9" i="12"/>
  <c r="Q28" i="12"/>
  <c r="K25" i="12"/>
  <c r="Q22" i="12"/>
  <c r="K21" i="12"/>
  <c r="E20" i="12"/>
  <c r="Q18" i="12"/>
  <c r="K17" i="12"/>
  <c r="E16" i="12"/>
  <c r="Q14" i="12"/>
  <c r="K13" i="12"/>
  <c r="Q12" i="12"/>
  <c r="K11" i="12"/>
  <c r="Q10" i="12"/>
  <c r="K9" i="12"/>
  <c r="S27" i="12"/>
  <c r="M22" i="12"/>
  <c r="S19" i="12"/>
  <c r="G17" i="12"/>
  <c r="M10" i="12"/>
  <c r="J29" i="12"/>
  <c r="P28" i="12"/>
  <c r="D28" i="12"/>
  <c r="J27" i="12"/>
  <c r="P26" i="12"/>
  <c r="D26" i="12"/>
  <c r="J25" i="12"/>
  <c r="P24" i="12"/>
  <c r="D24" i="12"/>
  <c r="J23" i="12"/>
  <c r="P22" i="12"/>
  <c r="D22" i="12"/>
  <c r="J21" i="12"/>
  <c r="P20" i="12"/>
  <c r="D20" i="12"/>
  <c r="J19" i="12"/>
  <c r="P18" i="12"/>
  <c r="D18" i="12"/>
  <c r="J17" i="12"/>
  <c r="P16" i="12"/>
  <c r="D16" i="12"/>
  <c r="J15" i="12"/>
  <c r="P14" i="12"/>
  <c r="D14" i="12"/>
  <c r="J13" i="12"/>
  <c r="P12" i="12"/>
  <c r="D12" i="12"/>
  <c r="J11" i="12"/>
  <c r="P10" i="12"/>
  <c r="D10" i="12"/>
  <c r="J9" i="12"/>
  <c r="I29" i="12"/>
  <c r="O28" i="12"/>
  <c r="C28" i="12"/>
  <c r="I27" i="12"/>
  <c r="O26" i="12"/>
  <c r="C26" i="12"/>
  <c r="I25" i="12"/>
  <c r="O24" i="12"/>
  <c r="C24" i="12"/>
  <c r="I23" i="12"/>
  <c r="O22" i="12"/>
  <c r="C22" i="12"/>
  <c r="I21" i="12"/>
  <c r="O20" i="12"/>
  <c r="C20" i="12"/>
  <c r="I19" i="12"/>
  <c r="O18" i="12"/>
  <c r="C18" i="12"/>
  <c r="I17" i="12"/>
  <c r="O16" i="12"/>
  <c r="C16" i="12"/>
  <c r="I15" i="12"/>
  <c r="O14" i="12"/>
  <c r="C14" i="12"/>
  <c r="I13" i="12"/>
  <c r="O12" i="12"/>
  <c r="C12" i="12"/>
  <c r="I11" i="12"/>
  <c r="O10" i="12"/>
  <c r="C10" i="12"/>
  <c r="I9" i="12"/>
  <c r="S25" i="12"/>
  <c r="S23" i="12"/>
  <c r="S21" i="12"/>
  <c r="M18" i="12"/>
  <c r="M16" i="12"/>
  <c r="S15" i="12"/>
  <c r="G15" i="12"/>
  <c r="S13" i="12"/>
  <c r="G13" i="12"/>
  <c r="M12" i="12"/>
  <c r="G11" i="12"/>
  <c r="T29" i="12"/>
  <c r="H29" i="12"/>
  <c r="N28" i="12"/>
  <c r="T27" i="12"/>
  <c r="H27" i="12"/>
  <c r="N26" i="12"/>
  <c r="T25" i="12"/>
  <c r="H25" i="12"/>
  <c r="N24" i="12"/>
  <c r="T23" i="12"/>
  <c r="H23" i="12"/>
  <c r="N22" i="12"/>
  <c r="T21" i="12"/>
  <c r="H21" i="12"/>
  <c r="N20" i="12"/>
  <c r="T19" i="12"/>
  <c r="H19" i="12"/>
  <c r="N18" i="12"/>
  <c r="T17" i="12"/>
  <c r="H17" i="12"/>
  <c r="N16" i="12"/>
  <c r="T15" i="12"/>
  <c r="H15" i="12"/>
  <c r="N14" i="12"/>
  <c r="T13" i="12"/>
  <c r="H13" i="12"/>
  <c r="N12" i="12"/>
  <c r="T11" i="12"/>
  <c r="H11" i="12"/>
  <c r="N10" i="12"/>
  <c r="T9" i="12"/>
  <c r="H9" i="12"/>
  <c r="P29" i="12"/>
  <c r="D29" i="12"/>
  <c r="J28" i="12"/>
  <c r="P27" i="12"/>
  <c r="D27" i="12"/>
  <c r="J26" i="12"/>
  <c r="P25" i="12"/>
  <c r="D25" i="12"/>
  <c r="J24" i="12"/>
  <c r="P23" i="12"/>
  <c r="D23" i="12"/>
  <c r="J22" i="12"/>
  <c r="P21" i="12"/>
  <c r="D21" i="12"/>
  <c r="J20" i="12"/>
  <c r="P19" i="12"/>
  <c r="D19" i="12"/>
  <c r="J18" i="12"/>
  <c r="P17" i="12"/>
  <c r="D17" i="12"/>
  <c r="J16" i="12"/>
  <c r="P15" i="12"/>
  <c r="D15" i="12"/>
  <c r="J14" i="12"/>
  <c r="P13" i="12"/>
  <c r="D13" i="12"/>
  <c r="J12" i="12"/>
  <c r="P11" i="12"/>
  <c r="D11" i="12"/>
  <c r="J10" i="12"/>
  <c r="P9" i="12"/>
  <c r="D9" i="12"/>
  <c r="I10" i="12"/>
  <c r="N13" i="12"/>
  <c r="S16" i="12"/>
  <c r="I18" i="12"/>
  <c r="N21" i="12"/>
  <c r="E23" i="12"/>
  <c r="S24" i="12"/>
  <c r="I26" i="12"/>
  <c r="R27" i="12"/>
  <c r="T16" i="12"/>
  <c r="J31" i="12"/>
  <c r="I31" i="12"/>
  <c r="J30" i="12"/>
  <c r="E9" i="12"/>
  <c r="R13" i="12"/>
  <c r="S18" i="12"/>
  <c r="I20" i="12"/>
  <c r="R21" i="12"/>
  <c r="E25" i="12"/>
  <c r="S26" i="12"/>
  <c r="I28" i="12"/>
  <c r="R29" i="12"/>
  <c r="C31" i="12"/>
  <c r="I69" i="12"/>
  <c r="L31" i="12"/>
  <c r="K31" i="12"/>
  <c r="T10" i="12"/>
  <c r="O15" i="12"/>
  <c r="K20" i="12"/>
  <c r="F25" i="12"/>
  <c r="K28" i="12"/>
  <c r="I66" i="12"/>
  <c r="I75" i="12"/>
  <c r="I84" i="12"/>
  <c r="O11" i="12"/>
  <c r="T14" i="12"/>
  <c r="G18" i="12"/>
  <c r="O27" i="12"/>
  <c r="C9" i="12"/>
  <c r="F9" i="12"/>
  <c r="F17" i="12"/>
  <c r="N9" i="12"/>
  <c r="S12" i="12"/>
  <c r="R15" i="12"/>
  <c r="N17" i="12"/>
  <c r="S20" i="12"/>
  <c r="I22" i="12"/>
  <c r="R23" i="12"/>
  <c r="N25" i="12"/>
  <c r="S28" i="12"/>
  <c r="I30" i="12"/>
  <c r="O9" i="12"/>
  <c r="F11" i="12"/>
  <c r="T12" i="12"/>
  <c r="K14" i="12"/>
  <c r="G16" i="12"/>
  <c r="O17" i="12"/>
  <c r="F19" i="12"/>
  <c r="T20" i="12"/>
  <c r="K22" i="12"/>
  <c r="G24" i="12"/>
  <c r="O25" i="12"/>
  <c r="F27" i="12"/>
  <c r="T28" i="12"/>
  <c r="K30" i="12"/>
  <c r="H71" i="12"/>
  <c r="K10" i="12"/>
  <c r="F15" i="12"/>
  <c r="K18" i="12"/>
  <c r="O21" i="12"/>
  <c r="T24" i="12"/>
  <c r="O29" i="12"/>
  <c r="F84" i="12"/>
  <c r="E84" i="12"/>
  <c r="F85" i="12"/>
  <c r="E85" i="12"/>
  <c r="Q13" i="12"/>
  <c r="M15" i="12"/>
  <c r="C17" i="12"/>
  <c r="L18" i="12"/>
  <c r="Q21" i="12"/>
  <c r="M23" i="12"/>
  <c r="C25" i="12"/>
  <c r="L26" i="12"/>
  <c r="H28" i="12"/>
  <c r="Q29" i="12"/>
  <c r="I85" i="12"/>
  <c r="H85" i="12"/>
  <c r="S10" i="12"/>
  <c r="I12" i="12"/>
  <c r="N15" i="12"/>
  <c r="E17" i="12"/>
  <c r="N23" i="12"/>
  <c r="H65" i="12"/>
  <c r="E11" i="12"/>
  <c r="I14" i="12"/>
  <c r="E19" i="12"/>
  <c r="E27" i="12"/>
  <c r="Q9" i="12"/>
  <c r="M11" i="12"/>
  <c r="C13" i="12"/>
  <c r="L14" i="12"/>
  <c r="H16" i="12"/>
  <c r="Q17" i="12"/>
  <c r="M19" i="12"/>
  <c r="C21" i="12"/>
  <c r="L22" i="12"/>
  <c r="H24" i="12"/>
  <c r="Q25" i="12"/>
  <c r="M27" i="12"/>
  <c r="C29" i="12"/>
  <c r="L30" i="12"/>
  <c r="R9" i="12"/>
  <c r="N11" i="12"/>
  <c r="E13" i="12"/>
  <c r="S14" i="12"/>
  <c r="I16" i="12"/>
  <c r="R17" i="12"/>
  <c r="N19" i="12"/>
  <c r="E21" i="12"/>
  <c r="S22" i="12"/>
  <c r="I24" i="12"/>
  <c r="R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R8" i="12" l="1"/>
  <c r="R32" i="12" s="1"/>
  <c r="G8" i="12"/>
  <c r="G32" i="12" s="1"/>
  <c r="F8" i="12"/>
  <c r="F32" i="12" s="1"/>
  <c r="H8" i="12"/>
  <c r="H32" i="12" s="1"/>
  <c r="L8" i="12"/>
  <c r="L32" i="12" s="1"/>
  <c r="P8" i="12"/>
  <c r="P32" i="12" s="1"/>
  <c r="S8" i="12"/>
  <c r="S32" i="12" s="1"/>
  <c r="Q8" i="12"/>
  <c r="Q32" i="12" s="1"/>
  <c r="E8" i="12"/>
  <c r="E32" i="12" s="1"/>
  <c r="T8" i="12"/>
  <c r="T32" i="12" s="1"/>
  <c r="D8" i="12"/>
  <c r="D32" i="12" s="1"/>
  <c r="M8" i="12"/>
  <c r="M32" i="12" s="1"/>
  <c r="O8" i="12"/>
  <c r="O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I33" i="12" l="1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<sst xmlns="http://schemas.openxmlformats.org/spreadsheetml/2006/main" count="506" uniqueCount="390">
  <si>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</si>
  <si>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</si>
  <si>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</si>
  <si>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</si>
  <si>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</si>
  <si>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</si>
  <si>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</si>
  <si>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</si>
  <si>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</si>
  <si>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</si>
  <si>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</si>
  <si>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</si>
  <si>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</si>
  <si>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</si>
  <si>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</si>
  <si>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</si>
  <si>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</si>
  <si>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</si>
  <si>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</si>
  <si>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</si>
  <si>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</si>
  <si>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</si>
  <si>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</si>
  <si>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</si>
  <si>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</si>
  <si>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</si>
  <si>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</si>
  <si>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</si>
  <si>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</si>
  <si>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</si>
  <si>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</si>
  <si>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</si>
  <si>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</si>
  <si>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</si>
  <si>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</si>
  <si>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</si>
  <si>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</si>
  <si>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</si>
  <si>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</si>
  <si>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</si>
  <si>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</si>
  <si>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</si>
  <si>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</si>
  <si>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</si>
  <si>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</si>
  <si>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</si>
  <si>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</si>
  <si>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</si>
  <si>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</si>
  <si>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</si>
  <si>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</si>
  <si>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</si>
  <si>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</si>
  <si>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</si>
  <si>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</si>
  <si>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</si>
  <si>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</si>
  <si>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</si>
  <si>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</si>
  <si>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</si>
  <si>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</si>
  <si>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</si>
  <si>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</si>
  <si>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</si>
  <si>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</si>
  <si>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</si>
  <si>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</si>
  <si>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</si>
  <si>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</si>
  <si>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</si>
  <si>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</si>
  <si>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</si>
  <si>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</si>
  <si>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</si>
  <si>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</si>
  <si>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</si>
  <si>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</si>
  <si>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</si>
  <si>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</si>
  <si>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</si>
  <si>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</si>
  <si>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</si>
  <si>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</si>
  <si>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</si>
  <si>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</si>
  <si>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</si>
  <si>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</si>
  <si>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</si>
  <si>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</si>
  <si>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</si>
  <si>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</si>
  <si>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</si>
  <si>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</si>
  <si>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</si>
  <si>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DASTUGUE</t>
  </si>
  <si>
    <t>MICHELIN</t>
  </si>
  <si>
    <t>BAYLE</t>
  </si>
  <si>
    <t>ROUSSEL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</si>
  <si>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</si>
  <si>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</si>
  <si>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</si>
  <si>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</si>
  <si>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</si>
  <si>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</si>
  <si>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</si>
  <si>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</si>
  <si>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</si>
  <si>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</si>
  <si>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</si>
  <si>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</si>
  <si>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</si>
  <si>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</si>
  <si>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</si>
  <si>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</si>
  <si>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</si>
  <si>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</si>
  <si>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</si>
  <si>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</si>
  <si>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</si>
  <si>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</si>
  <si>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</si>
  <si>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</si>
  <si>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</si>
  <si>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</si>
  <si>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</si>
  <si>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</si>
  <si>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</si>
  <si>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</si>
  <si>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</si>
  <si>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</si>
  <si>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</si>
  <si>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</si>
  <si>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</si>
  <si>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</si>
  <si>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</si>
  <si>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</si>
  <si>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</si>
  <si>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</si>
  <si>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</si>
  <si>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</si>
  <si>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</si>
  <si>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</si>
  <si>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</si>
  <si>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</si>
  <si>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</si>
  <si>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</si>
  <si>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</si>
  <si>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</si>
  <si>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</si>
  <si>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</si>
  <si>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</si>
  <si>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</si>
  <si>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</si>
  <si>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</si>
  <si>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</si>
  <si>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</si>
  <si>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</si>
  <si>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</si>
  <si>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</si>
  <si>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</si>
  <si>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</si>
  <si>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</si>
  <si>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</si>
  <si>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</si>
  <si>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</si>
  <si>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</si>
  <si>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</si>
  <si>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</si>
  <si>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</si>
  <si>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</si>
  <si>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</si>
  <si>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</si>
  <si>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</si>
  <si>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</si>
  <si>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</si>
  <si>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</si>
  <si>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</si>
  <si>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</si>
  <si>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</si>
  <si>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</si>
  <si>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</si>
  <si>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</si>
  <si>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</si>
  <si>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</si>
  <si>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</si>
  <si>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</si>
  <si>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</si>
  <si>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</si>
  <si>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</si>
  <si>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</si>
  <si>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</si>
  <si>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</si>
  <si>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</si>
  <si>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</si>
  <si>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</si>
  <si>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</si>
  <si>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</si>
  <si>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</si>
  <si>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</si>
  <si>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</si>
  <si>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</si>
  <si>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</si>
  <si>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</si>
  <si>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</si>
  <si>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</si>
  <si>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</si>
  <si>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</si>
  <si>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</si>
  <si>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</si>
  <si>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</si>
  <si>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</si>
  <si>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</si>
  <si>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</si>
  <si>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</si>
  <si>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</si>
  <si>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</si>
  <si>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</si>
  <si>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</si>
  <si>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</si>
  <si>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</si>
  <si>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</si>
  <si>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</si>
  <si>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</si>
  <si>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</si>
  <si>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</si>
  <si>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</si>
  <si>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</si>
  <si>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</si>
  <si>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</si>
  <si>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</si>
  <si>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</si>
  <si>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</si>
  <si>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</si>
  <si>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</si>
  <si>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</si>
  <si>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</si>
  <si>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</si>
  <si>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</si>
  <si>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</si>
  <si>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</si>
  <si>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</si>
  <si>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</si>
  <si>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</si>
  <si>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</si>
  <si>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</si>
  <si>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</si>
  <si>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</si>
  <si>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</si>
  <si>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</si>
  <si>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</si>
  <si>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</si>
  <si>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</si>
  <si>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</si>
  <si>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</si>
  <si>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</si>
  <si>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</si>
  <si>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</si>
  <si>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</si>
  <si>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</si>
  <si>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</si>
  <si>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</si>
  <si>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</si>
  <si>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</si>
  <si>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</si>
  <si>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</si>
  <si>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</si>
  <si>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</si>
  <si>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</si>
  <si>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</si>
  <si>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</si>
  <si>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</si>
  <si>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</si>
  <si>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</si>
  <si>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</si>
  <si>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</si>
  <si>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</si>
  <si>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</si>
  <si>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</si>
  <si>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</si>
  <si>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</si>
  <si>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</si>
  <si>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</si>
  <si>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</si>
  <si>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</si>
  <si>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</si>
  <si>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</si>
  <si>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</si>
  <si>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</si>
  <si>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</si>
  <si>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</si>
  <si>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</si>
  <si>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</si>
  <si>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</si>
  <si>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</si>
  <si>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</si>
  <si>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</si>
  <si>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</si>
  <si>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</si>
  <si>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</si>
  <si>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</si>
  <si>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</si>
  <si>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</si>
  <si>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</si>
  <si>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</si>
  <si>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</si>
  <si>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</si>
  <si>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</si>
  <si>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</si>
  <si>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</si>
  <si>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</si>
  <si>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</si>
  <si>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</si>
  <si>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</si>
  <si>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</si>
  <si>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</si>
  <si>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</si>
  <si>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</si>
  <si>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</si>
  <si>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</si>
  <si>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</si>
  <si>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</si>
  <si>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 xml:space="preserve">BOUTAN </t>
  </si>
  <si>
    <t>Julien</t>
  </si>
  <si>
    <t>POUYADOU</t>
  </si>
  <si>
    <t>26-27_A1_US Eauze_Première_EXT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</si>
  <si>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</si>
  <si>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</si>
  <si>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</si>
  <si>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</si>
  <si>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</si>
  <si>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</si>
  <si>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</si>
  <si>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</si>
  <si>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</si>
  <si>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</si>
  <si>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</si>
  <si>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</si>
  <si>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</si>
  <si>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</si>
  <si>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</si>
  <si>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</si>
  <si>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</si>
  <si>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</si>
  <si>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Julian</t>
  </si>
  <si>
    <t>Maxime</t>
  </si>
  <si>
    <t>Mathis</t>
  </si>
  <si>
    <t>MULLIER</t>
  </si>
  <si>
    <t>Martin</t>
  </si>
  <si>
    <t>RICHIARDONNE</t>
  </si>
  <si>
    <t>Gregory</t>
  </si>
  <si>
    <t>LOUREIRO LABAZUY</t>
  </si>
  <si>
    <t>Antonio</t>
  </si>
  <si>
    <t>MOUDENS</t>
  </si>
  <si>
    <t>Alexis</t>
  </si>
  <si>
    <t>BOUTELOUP</t>
  </si>
  <si>
    <t>Romain</t>
  </si>
  <si>
    <t>Temps de jeu effectif</t>
  </si>
  <si>
    <t>Total</t>
  </si>
  <si>
    <t>25-26</t>
  </si>
  <si>
    <t>Rabastens-Coufouleux</t>
  </si>
  <si>
    <t>8eme</t>
  </si>
  <si>
    <t>0-20 s</t>
  </si>
  <si>
    <t>20-40 s</t>
  </si>
  <si>
    <t>40-60 s</t>
  </si>
  <si>
    <t>60-90 s</t>
  </si>
  <si>
    <t>&gt;90 s</t>
  </si>
  <si>
    <t>Durée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</si>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</sst>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6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28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25" borderId="19" xfId="0" applyFill="1" applyBorder="1"/>
    <xf numFmtId="0" fontId="0" fillId="25" borderId="20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30" fillId="17" borderId="0" xfId="0" applyFont="1" applyFill="1" applyAlignment="1">
      <alignment horizontal="left"/>
    </xf>
    <xf numFmtId="0" fontId="24" fillId="17" borderId="0" xfId="0" applyFont="1" applyFill="1"/>
    <xf numFmtId="0" fontId="32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7" fillId="24" borderId="18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9" fillId="24" borderId="16" xfId="0" applyFont="1" applyFill="1" applyBorder="1" applyAlignment="1">
      <alignment horizontal="center" vertical="center"/>
    </xf>
    <xf numFmtId="0" fontId="29" fillId="24" borderId="38" xfId="0" applyFont="1" applyFill="1" applyBorder="1" applyAlignment="1">
      <alignment horizontal="center" vertical="center"/>
    </xf>
    <xf numFmtId="0" fontId="29" fillId="24" borderId="18" xfId="0" applyFont="1" applyFill="1" applyBorder="1" applyAlignment="1">
      <alignment horizontal="center" vertical="center"/>
    </xf>
    <xf numFmtId="0" fontId="31" fillId="24" borderId="21" xfId="0" applyFont="1" applyFill="1" applyBorder="1" applyAlignment="1">
      <alignment horizontal="center" vertical="center"/>
    </xf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7" fillId="24" borderId="17" xfId="0" applyFont="1" applyFill="1" applyBorder="1" applyAlignment="1">
      <alignment vertical="center"/>
    </xf>
    <xf numFmtId="0" fontId="27" fillId="24" borderId="11" xfId="0" applyFont="1" applyFill="1" applyBorder="1" applyAlignment="1">
      <alignment horizontal="center" vertical="center"/>
    </xf>
    <xf numFmtId="0" fontId="0" fillId="0" borderId="24" xfId="0" applyBorder="1"/>
    <xf numFmtId="0" fontId="0" fillId="17" borderId="25" xfId="0" applyFill="1" applyBorder="1"/>
    <xf numFmtId="0" fontId="32" fillId="17" borderId="0" xfId="0" applyFont="1" applyFill="1"/>
    <xf numFmtId="14" fontId="0" fillId="17" borderId="0" xfId="0" applyNumberFormat="1" applyFill="1" applyAlignment="1">
      <alignment horizontal="left"/>
    </xf>
    <xf numFmtId="0" fontId="26" fillId="0" borderId="50" xfId="0" applyFont="1" applyBorder="1" applyAlignment="1">
      <alignment horizontal="left" vertical="center" wrapText="1"/>
    </xf>
    <xf numFmtId="0" fontId="27" fillId="24" borderId="25" xfId="0" applyFont="1" applyFill="1" applyBorder="1" applyAlignment="1">
      <alignment horizontal="center" vertical="center"/>
    </xf>
    <xf numFmtId="0" fontId="27" fillId="13" borderId="25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5" xfId="0" applyBorder="1"/>
    <xf numFmtId="0" fontId="27" fillId="24" borderId="21" xfId="0" applyFont="1" applyFill="1" applyBorder="1" applyAlignment="1">
      <alignment horizontal="center" vertical="center"/>
    </xf>
    <xf numFmtId="0" fontId="27" fillId="24" borderId="23" xfId="0" applyFont="1" applyFill="1" applyBorder="1" applyAlignment="1">
      <alignment horizontal="center" vertical="center"/>
    </xf>
    <xf numFmtId="0" fontId="27" fillId="28" borderId="21" xfId="0" applyFont="1" applyFill="1" applyBorder="1" applyAlignment="1">
      <alignment horizontal="center" vertical="center"/>
    </xf>
    <xf numFmtId="0" fontId="27" fillId="28" borderId="23" xfId="0" applyFont="1" applyFill="1" applyBorder="1" applyAlignment="1">
      <alignment horizontal="center" vertical="center"/>
    </xf>
    <xf numFmtId="0" fontId="29" fillId="28" borderId="38" xfId="0" applyFont="1" applyFill="1" applyBorder="1" applyAlignment="1">
      <alignment horizontal="center" vertical="center"/>
    </xf>
    <xf numFmtId="0" fontId="29" fillId="28" borderId="18" xfId="0" applyFont="1" applyFill="1" applyBorder="1" applyAlignment="1">
      <alignment horizontal="center" vertical="center"/>
    </xf>
    <xf numFmtId="0" fontId="26" fillId="0" borderId="34" xfId="0" applyFont="1" applyBorder="1" applyAlignment="1">
      <alignment horizontal="center" vertical="center" wrapText="1"/>
    </xf>
    <xf numFmtId="165" fontId="0" fillId="25" borderId="20" xfId="0" applyNumberFormat="1" applyFill="1" applyBorder="1"/>
    <xf numFmtId="165" fontId="0" fillId="17" borderId="23" xfId="0" applyNumberFormat="1" applyFill="1" applyBorder="1"/>
    <xf numFmtId="0" fontId="36" fillId="24" borderId="36" xfId="0" applyFont="1" applyFill="1" applyBorder="1"/>
    <xf numFmtId="165" fontId="36" fillId="24" borderId="37" xfId="0" applyNumberFormat="1" applyFont="1" applyFill="1" applyBorder="1"/>
    <xf numFmtId="0" fontId="26" fillId="0" borderId="0" xfId="0" applyFont="1" applyAlignment="1">
      <alignment horizontal="center" vertical="center" wrapText="1"/>
    </xf>
    <xf numFmtId="0" fontId="32" fillId="0" borderId="19" xfId="0" applyFont="1" applyBorder="1"/>
    <xf numFmtId="0" fontId="37" fillId="29" borderId="52" xfId="0" applyFont="1" applyFill="1" applyBorder="1" applyAlignment="1">
      <alignment horizontal="center" vertical="center"/>
    </xf>
    <xf numFmtId="0" fontId="40" fillId="30" borderId="53" xfId="0" applyFont="1" applyFill="1" applyBorder="1" applyAlignment="1">
      <alignment horizontal="center" vertical="center"/>
    </xf>
    <xf numFmtId="0" fontId="39" fillId="30" borderId="54" xfId="0" applyFont="1" applyFill="1" applyBorder="1" applyAlignment="1">
      <alignment horizontal="center" vertical="center"/>
    </xf>
    <xf numFmtId="0" fontId="39" fillId="16" borderId="55" xfId="0" applyFont="1" applyFill="1" applyBorder="1" applyAlignment="1">
      <alignment horizontal="center" vertical="center"/>
    </xf>
    <xf numFmtId="0" fontId="38" fillId="29" borderId="56" xfId="0" applyFont="1" applyFill="1" applyBorder="1" applyAlignment="1">
      <alignment horizontal="center" vertical="center"/>
    </xf>
    <xf numFmtId="0" fontId="40" fillId="16" borderId="57" xfId="0" applyFont="1" applyFill="1" applyBorder="1" applyAlignment="1">
      <alignment horizontal="center" vertical="center"/>
    </xf>
    <xf numFmtId="0" fontId="38" fillId="29" borderId="58" xfId="0" applyFont="1" applyFill="1" applyBorder="1" applyAlignment="1">
      <alignment horizontal="center" vertical="center"/>
    </xf>
    <xf numFmtId="0" fontId="40" fillId="30" borderId="59" xfId="0" applyFont="1" applyFill="1" applyBorder="1" applyAlignment="1">
      <alignment horizontal="center" vertical="center"/>
    </xf>
    <xf numFmtId="0" fontId="40" fillId="16" borderId="51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53" xfId="0" applyFill="1" applyBorder="1" applyAlignment="1">
      <alignment horizontal="center" vertical="center" wrapText="1"/>
    </xf>
    <xf numFmtId="0" fontId="0" fillId="17" borderId="53" xfId="0" applyFill="1" applyBorder="1" applyAlignment="1">
      <alignment horizontal="center" vertical="center" wrapText="1"/>
    </xf>
    <xf numFmtId="0" fontId="0" fillId="32" borderId="53" xfId="0" applyFill="1" applyBorder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33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165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 wrapText="1"/>
    </xf>
    <xf numFmtId="0" fontId="0" fillId="24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31" fillId="24" borderId="39" xfId="0" applyFont="1" applyFill="1" applyBorder="1" applyAlignment="1">
      <alignment horizontal="center" vertical="center"/>
    </xf>
    <xf numFmtId="0" fontId="31" fillId="24" borderId="40" xfId="0" applyFont="1" applyFill="1" applyBorder="1" applyAlignment="1">
      <alignment horizontal="center" vertical="center"/>
    </xf>
    <xf numFmtId="0" fontId="31" fillId="28" borderId="39" xfId="0" applyFont="1" applyFill="1" applyBorder="1" applyAlignment="1">
      <alignment horizontal="center" vertical="center"/>
    </xf>
    <xf numFmtId="0" fontId="31" fillId="28" borderId="40" xfId="0" applyFont="1" applyFill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0" fillId="25" borderId="36" xfId="0" applyFill="1" applyBorder="1" applyAlignment="1">
      <alignment horizontal="left"/>
    </xf>
    <xf numFmtId="0" fontId="0" fillId="25" borderId="37" xfId="0" applyFill="1" applyBorder="1" applyAlignment="1">
      <alignment horizontal="left"/>
    </xf>
    <xf numFmtId="0" fontId="35" fillId="17" borderId="42" xfId="0" applyFont="1" applyFill="1" applyBorder="1" applyAlignment="1">
      <alignment horizontal="center" vertical="center"/>
    </xf>
    <xf numFmtId="0" fontId="35" fillId="17" borderId="43" xfId="0" applyFont="1" applyFill="1" applyBorder="1" applyAlignment="1">
      <alignment horizontal="center" vertical="center"/>
    </xf>
    <xf numFmtId="0" fontId="35" fillId="17" borderId="44" xfId="0" applyFont="1" applyFill="1" applyBorder="1" applyAlignment="1">
      <alignment horizontal="center" vertical="center"/>
    </xf>
    <xf numFmtId="0" fontId="35" fillId="17" borderId="45" xfId="0" applyFont="1" applyFill="1" applyBorder="1" applyAlignment="1">
      <alignment horizontal="center" vertical="center"/>
    </xf>
    <xf numFmtId="0" fontId="35" fillId="17" borderId="0" xfId="0" applyFont="1" applyFill="1" applyAlignment="1">
      <alignment horizontal="center" vertical="center"/>
    </xf>
    <xf numFmtId="0" fontId="35" fillId="17" borderId="46" xfId="0" applyFont="1" applyFill="1" applyBorder="1" applyAlignment="1">
      <alignment horizontal="center" vertical="center"/>
    </xf>
    <xf numFmtId="0" fontId="35" fillId="17" borderId="47" xfId="0" applyFont="1" applyFill="1" applyBorder="1" applyAlignment="1">
      <alignment horizontal="center" vertical="center"/>
    </xf>
    <xf numFmtId="0" fontId="35" fillId="17" borderId="48" xfId="0" applyFont="1" applyFill="1" applyBorder="1" applyAlignment="1">
      <alignment horizontal="center" vertical="center"/>
    </xf>
    <xf numFmtId="0" fontId="35" fillId="17" borderId="49" xfId="0" applyFont="1" applyFill="1" applyBorder="1" applyAlignment="1">
      <alignment horizontal="center" vertical="center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8" borderId="16" xfId="0" applyFont="1" applyFill="1" applyBorder="1" applyAlignment="1">
      <alignment horizontal="center" vertical="center"/>
    </xf>
    <xf numFmtId="0" fontId="27" fillId="28" borderId="18" xfId="0" applyFont="1" applyFill="1" applyBorder="1" applyAlignment="1">
      <alignment horizontal="center" vertical="center"/>
    </xf>
    <xf numFmtId="0" fontId="31" fillId="24" borderId="41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center" vertical="center"/>
    </xf>
    <xf numFmtId="0" fontId="27" fillId="13" borderId="17" xfId="0" applyFont="1" applyFill="1" applyBorder="1" applyAlignment="1">
      <alignment horizontal="center" vertical="center"/>
    </xf>
    <xf numFmtId="0" fontId="27" fillId="13" borderId="18" xfId="0" applyFont="1" applyFill="1" applyBorder="1" applyAlignment="1">
      <alignment horizontal="center" vertical="center"/>
    </xf>
    <xf numFmtId="0" fontId="29" fillId="13" borderId="24" xfId="0" applyFont="1" applyFill="1" applyBorder="1" applyAlignment="1">
      <alignment horizontal="center" vertical="center"/>
    </xf>
    <xf numFmtId="0" fontId="29" fillId="13" borderId="25" xfId="0" applyFont="1" applyFill="1" applyBorder="1" applyAlignment="1">
      <alignment horizontal="center" vertical="center"/>
    </xf>
    <xf numFmtId="0" fontId="34" fillId="27" borderId="16" xfId="0" applyFont="1" applyFill="1" applyBorder="1" applyAlignment="1">
      <alignment horizontal="center" vertical="center" wrapText="1"/>
    </xf>
    <xf numFmtId="0" fontId="34" fillId="27" borderId="17" xfId="0" applyFont="1" applyFill="1" applyBorder="1" applyAlignment="1">
      <alignment horizontal="center" vertical="center" wrapText="1"/>
    </xf>
    <xf numFmtId="0" fontId="34" fillId="27" borderId="18" xfId="0" applyFont="1" applyFill="1" applyBorder="1" applyAlignment="1">
      <alignment horizontal="center" vertical="center" wrapText="1"/>
    </xf>
    <xf numFmtId="0" fontId="34" fillId="27" borderId="21" xfId="0" applyFont="1" applyFill="1" applyBorder="1" applyAlignment="1">
      <alignment horizontal="center" vertical="center" wrapText="1"/>
    </xf>
    <xf numFmtId="0" fontId="34" fillId="27" borderId="22" xfId="0" applyFont="1" applyFill="1" applyBorder="1" applyAlignment="1">
      <alignment horizontal="center" vertical="center" wrapText="1"/>
    </xf>
    <xf numFmtId="0" fontId="34" fillId="27" borderId="23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48"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50</xdr:row>
      <xdr:rowOff>206375</xdr:rowOff>
    </xdr:from>
    <xdr:to>
      <xdr:col>5</xdr:col>
      <xdr:colOff>714375</xdr:colOff>
      <xdr:row>50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50</xdr:row>
      <xdr:rowOff>263525</xdr:rowOff>
    </xdr:from>
    <xdr:to>
      <xdr:col>14</xdr:col>
      <xdr:colOff>38099</xdr:colOff>
      <xdr:row>50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>
    <xdr:from>
      <xdr:col>6</xdr:col>
      <xdr:colOff>95250</xdr:colOff>
      <xdr:row>50</xdr:row>
      <xdr:rowOff>352425</xdr:rowOff>
    </xdr:from>
    <xdr:to>
      <xdr:col>7</xdr:col>
      <xdr:colOff>130175</xdr:colOff>
      <xdr:row>50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4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47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46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5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31" totalsRowShown="0">
  <autoFilter ref="A1:E31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43">
      <calculatedColumnFormula>LstEffectif[[#This Row],[prenom]] &amp; " " &amp;LstEffectif[[#This Row],[nom]]</calculatedColumnFormula>
    </tableColumn>
    <tableColumn id="5" xr3:uid="{EB017694-E6D2-7440-91BF-61113926AB7D}" name="NOM Prénom" dataDxfId="42">
      <calculatedColumnFormula>LstEffectif[[#This Row],[nom]]&amp; " " &amp;LstEffectif[[#This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0" totalsRowShown="0" headerRowDxfId="41" dataDxfId="39" headerRowBorderDxfId="40" tableBorderDxfId="38" totalsRowBorderDxfId="37">
  <autoFilter ref="Q1:R50" xr:uid="{6D1F5F0A-5FD5-AC4E-A195-33A78A5E0E58}"/>
  <tableColumns count="2">
    <tableColumn id="1" xr3:uid="{8A0D5429-5616-B849-BD27-167A576FE99E}" name="Nom de cellule à créer" dataDxfId="36"/>
    <tableColumn id="2" xr3:uid="{19545507-672A-9F40-8818-E4C9060AA52B}" name="Libellé" dataDxfId="3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34" headerRowBorderDxfId="33" tableBorderDxfId="32" totalsRowBorderDxfId="31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30" headerRowBorderDxfId="29" tableBorderDxfId="28" totalsRowBorderDxfId="27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6" dataDxfId="25">
  <autoFilter ref="I14:I20" xr:uid="{CC940AF9-E81A-F746-8EAD-392809C3CFBE}"/>
  <tableColumns count="1">
    <tableColumn id="1" xr3:uid="{816CA1DF-3681-2948-A622-26353E2B9A97}" name="LISTE_LECTEUR_VIDEO" dataDxfId="2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10" totalsRowShown="0">
  <autoFilter ref="A1:A10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23" dataDxfId="22">
  <autoFilter ref="C1:C4" xr:uid="{61FC7709-08E5-D048-A38B-441B18CF5D35}"/>
  <tableColumns count="1">
    <tableColumn id="1" xr3:uid="{C41B523D-40DA-AF48-A2C2-015B04960B0A}" name="LIEU_MATCH" dataDxfId="2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20" dataDxfId="19">
  <autoFilter ref="C6:C9" xr:uid="{86EA01CF-5567-6445-9906-AD2B60CA0A8A}"/>
  <tableColumns count="1">
    <tableColumn id="1" xr3:uid="{B57F8324-6F25-7B40-9B20-1BFDF9708631}" name="PHASE" dataDxfId="1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17" dataDxfId="16">
  <autoFilter ref="C11:C14" xr:uid="{DAA9B017-78F0-D447-B788-CF8333AEAC38}"/>
  <tableColumns count="1">
    <tableColumn id="1" xr3:uid="{C5E86C3D-762A-054E-B864-5A67DBB9A8CA}" name="RESULTAT" dataDxfId="1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14" dataDxfId="13">
  <autoFilter ref="C16:C20" xr:uid="{F661D9E2-619C-DA44-92C5-8A09E8E281AC}"/>
  <tableColumns count="1">
    <tableColumn id="1" xr3:uid="{ADD3AF05-089E-D149-9728-7C2A6F62FA22}" name="EQUIPE_NIV" dataDxfId="1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11" dataDxfId="9" headerRowBorderDxfId="10" tableBorderDxfId="8" totalsRowBorderDxfId="7">
  <autoFilter ref="K1:K3" xr:uid="{391966D0-8F83-3948-82BB-835638F7D3FE}"/>
  <tableColumns count="1">
    <tableColumn id="1" xr3:uid="{F45BF991-6668-F741-B07C-7905B99AC752}" name="LISTE_JOUEURS_JOURNAL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>
      <selection activeCell="F46" sqref="F46"/>
    </sheetView>
    <sheetView workbookViewId="1"/>
  </sheetViews>
  <sheetFormatPr baseColWidth="10" defaultRowHeight="13"/>
  <cols>
    <col min="1" max="1" width="8.33203125" style="137" bestFit="1" customWidth="1"/>
    <col min="2" max="2" width="17.83203125" customWidth="1"/>
    <col min="3" max="3" width="24.83203125" customWidth="1"/>
    <col min="4" max="4" width="14.1640625" style="137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417" width="10.83203125" style="29"/>
  </cols>
  <sheetData>
    <row r="1" spans="1:8" s="29" customFormat="1" ht="14" thickBot="1">
      <c r="A1" s="137"/>
      <c r="D1" s="137"/>
    </row>
    <row r="2" spans="1:8" ht="19" customHeight="1">
      <c r="B2" s="172" t="s">
        <v>303</v>
      </c>
      <c r="C2" s="172"/>
      <c r="E2" s="173" t="s">
        <v>304</v>
      </c>
      <c r="F2" s="174"/>
      <c r="G2" s="174"/>
      <c r="H2" s="175"/>
    </row>
    <row r="3" spans="1:8" ht="19" customHeight="1">
      <c r="B3" s="172"/>
      <c r="C3" s="172"/>
      <c r="E3" s="176"/>
      <c r="F3" s="177"/>
      <c r="G3" s="177"/>
      <c r="H3" s="178"/>
    </row>
    <row r="4" spans="1:8" ht="19" customHeight="1" thickBot="1">
      <c r="B4" s="172"/>
      <c r="C4" s="172"/>
      <c r="E4" s="179"/>
      <c r="F4" s="180"/>
      <c r="G4" s="180"/>
      <c r="H4" s="181"/>
    </row>
    <row r="5" spans="1:8" s="29" customFormat="1">
      <c r="A5" s="137"/>
      <c r="D5" s="137"/>
    </row>
    <row r="6" spans="1:8">
      <c r="B6" s="106" t="s">
        <v>274</v>
      </c>
      <c r="C6" s="107" t="s">
        <v>358</v>
      </c>
      <c r="E6" t="s">
        <v>137</v>
      </c>
      <c r="F6" t="s">
        <v>138</v>
      </c>
      <c r="G6" t="s">
        <v>242</v>
      </c>
      <c r="H6" t="s">
        <v>241</v>
      </c>
    </row>
    <row r="7" spans="1:8">
      <c r="B7" s="29"/>
      <c r="C7" s="29"/>
      <c r="E7">
        <v>1</v>
      </c>
      <c r="G7" t="s">
        <v>244</v>
      </c>
    </row>
    <row r="8" spans="1:8">
      <c r="B8" s="106" t="s">
        <v>312</v>
      </c>
      <c r="C8" s="107">
        <v>46167</v>
      </c>
      <c r="E8">
        <v>2</v>
      </c>
      <c r="G8" t="s">
        <v>244</v>
      </c>
    </row>
    <row r="9" spans="1:8">
      <c r="B9" s="29"/>
      <c r="C9" s="29"/>
      <c r="E9">
        <v>3</v>
      </c>
      <c r="G9" t="s">
        <v>244</v>
      </c>
    </row>
    <row r="10" spans="1:8">
      <c r="B10" s="106" t="s">
        <v>275</v>
      </c>
      <c r="C10" s="107" t="s">
        <v>359</v>
      </c>
      <c r="E10">
        <v>4</v>
      </c>
      <c r="G10" t="s">
        <v>244</v>
      </c>
    </row>
    <row r="11" spans="1:8">
      <c r="B11" s="29"/>
      <c r="C11" s="29"/>
      <c r="E11">
        <v>5</v>
      </c>
      <c r="G11" t="s">
        <v>244</v>
      </c>
    </row>
    <row r="12" spans="1:8">
      <c r="B12" s="106" t="s">
        <v>311</v>
      </c>
      <c r="C12" s="107" t="s">
        <v>290</v>
      </c>
      <c r="E12">
        <v>6</v>
      </c>
      <c r="G12" t="s">
        <v>244</v>
      </c>
    </row>
    <row r="13" spans="1:8">
      <c r="B13" s="29"/>
      <c r="C13" s="29"/>
      <c r="E13">
        <v>7</v>
      </c>
      <c r="G13" t="s">
        <v>244</v>
      </c>
    </row>
    <row r="14" spans="1:8">
      <c r="B14" s="106" t="s">
        <v>276</v>
      </c>
      <c r="C14" s="107" t="s">
        <v>293</v>
      </c>
      <c r="E14">
        <v>8</v>
      </c>
      <c r="G14" t="s">
        <v>244</v>
      </c>
    </row>
    <row r="15" spans="1:8">
      <c r="B15" s="29"/>
      <c r="C15" s="138"/>
      <c r="E15" s="99">
        <v>9</v>
      </c>
      <c r="F15" s="99"/>
      <c r="G15" s="99" t="s">
        <v>262</v>
      </c>
      <c r="H15" s="99"/>
    </row>
    <row r="16" spans="1:8">
      <c r="B16" s="106" t="s">
        <v>277</v>
      </c>
      <c r="C16" s="108" t="s">
        <v>360</v>
      </c>
      <c r="E16">
        <v>10</v>
      </c>
      <c r="G16" t="s">
        <v>262</v>
      </c>
    </row>
    <row r="17" spans="1:8">
      <c r="B17" s="29"/>
      <c r="C17" s="29"/>
      <c r="E17">
        <v>11</v>
      </c>
      <c r="G17" t="s">
        <v>262</v>
      </c>
    </row>
    <row r="18" spans="1:8">
      <c r="B18" s="106" t="s">
        <v>278</v>
      </c>
      <c r="C18" s="107" t="s">
        <v>273</v>
      </c>
      <c r="E18">
        <v>12</v>
      </c>
      <c r="G18" t="s">
        <v>262</v>
      </c>
    </row>
    <row r="19" spans="1:8">
      <c r="B19" s="29"/>
      <c r="C19" s="138"/>
      <c r="E19">
        <v>13</v>
      </c>
      <c r="G19" t="s">
        <v>262</v>
      </c>
    </row>
    <row r="20" spans="1:8">
      <c r="B20" s="106" t="s">
        <v>310</v>
      </c>
      <c r="C20" s="107" t="s">
        <v>306</v>
      </c>
      <c r="E20">
        <v>14</v>
      </c>
      <c r="G20" t="s">
        <v>262</v>
      </c>
    </row>
    <row r="21" spans="1:8">
      <c r="B21" s="29"/>
      <c r="C21" s="29"/>
      <c r="E21" s="94">
        <v>15</v>
      </c>
      <c r="F21" s="94"/>
      <c r="G21" s="94" t="s">
        <v>262</v>
      </c>
      <c r="H21" s="94"/>
    </row>
    <row r="22" spans="1:8">
      <c r="B22" s="29"/>
      <c r="C22" s="29"/>
      <c r="E22">
        <v>16</v>
      </c>
      <c r="G22" t="s">
        <v>244</v>
      </c>
    </row>
    <row r="23" spans="1:8">
      <c r="B23" s="29"/>
      <c r="C23" s="29"/>
      <c r="E23">
        <v>17</v>
      </c>
    </row>
    <row r="24" spans="1:8">
      <c r="B24" s="29"/>
      <c r="C24" s="29"/>
      <c r="E24">
        <v>18</v>
      </c>
    </row>
    <row r="25" spans="1:8">
      <c r="B25" s="29"/>
      <c r="C25" s="29"/>
      <c r="E25">
        <v>19</v>
      </c>
    </row>
    <row r="26" spans="1:8">
      <c r="B26" s="29"/>
      <c r="C26" s="29"/>
      <c r="E26">
        <v>20</v>
      </c>
    </row>
    <row r="27" spans="1:8">
      <c r="B27" s="29"/>
      <c r="C27" s="29"/>
      <c r="E27">
        <v>21</v>
      </c>
    </row>
    <row r="28" spans="1:8">
      <c r="B28" s="29"/>
      <c r="C28" s="29"/>
      <c r="E28">
        <v>22</v>
      </c>
    </row>
    <row r="29" spans="1:8" s="29" customFormat="1">
      <c r="A29" s="137"/>
      <c r="D29" s="137"/>
    </row>
    <row r="30" spans="1:8" s="29" customFormat="1">
      <c r="A30" s="137"/>
      <c r="D30" s="137"/>
    </row>
    <row r="31" spans="1:8" s="29" customFormat="1">
      <c r="A31" s="137"/>
      <c r="D31" s="137"/>
    </row>
    <row r="32" spans="1:8" s="29" customFormat="1">
      <c r="A32" s="137"/>
      <c r="D32" s="137"/>
    </row>
    <row r="33" spans="1:4" s="29" customFormat="1">
      <c r="A33" s="137"/>
      <c r="D33" s="137"/>
    </row>
    <row r="34" spans="1:4" s="29" customFormat="1">
      <c r="A34" s="137"/>
      <c r="D34" s="137"/>
    </row>
    <row r="35" spans="1:4" s="29" customFormat="1">
      <c r="A35" s="137"/>
      <c r="D35" s="137"/>
    </row>
    <row r="36" spans="1:4" s="29" customFormat="1">
      <c r="A36" s="137"/>
      <c r="D36" s="137"/>
    </row>
    <row r="37" spans="1:4" s="29" customFormat="1">
      <c r="A37" s="137"/>
      <c r="D37" s="137"/>
    </row>
    <row r="38" spans="1:4" s="29" customFormat="1">
      <c r="A38" s="137"/>
      <c r="D38" s="137"/>
    </row>
    <row r="39" spans="1:4" s="29" customFormat="1">
      <c r="A39" s="137"/>
      <c r="D39" s="137"/>
    </row>
    <row r="40" spans="1:4" s="29" customFormat="1">
      <c r="A40" s="137"/>
      <c r="D40" s="137"/>
    </row>
    <row r="41" spans="1:4" s="29" customFormat="1">
      <c r="A41" s="137"/>
      <c r="D41" s="137"/>
    </row>
    <row r="42" spans="1:4" s="29" customFormat="1">
      <c r="A42" s="137"/>
      <c r="D42" s="137"/>
    </row>
    <row r="43" spans="1:4" s="29" customFormat="1">
      <c r="A43" s="137"/>
      <c r="D43" s="137"/>
    </row>
    <row r="44" spans="1:4" s="29" customFormat="1">
      <c r="A44" s="137"/>
      <c r="D44" s="137"/>
    </row>
    <row r="45" spans="1:4" s="29" customFormat="1">
      <c r="A45" s="137"/>
      <c r="D45" s="137"/>
    </row>
    <row r="46" spans="1:4" s="29" customFormat="1">
      <c r="A46" s="137"/>
      <c r="D46" s="137"/>
    </row>
    <row r="47" spans="1:4" s="29" customFormat="1">
      <c r="A47" s="137"/>
      <c r="D47" s="137"/>
    </row>
    <row r="48" spans="1:4" s="29" customFormat="1">
      <c r="A48" s="137"/>
      <c r="D48" s="137"/>
    </row>
    <row r="49" spans="1:4" s="29" customFormat="1">
      <c r="A49" s="137"/>
      <c r="D49" s="137"/>
    </row>
    <row r="50" spans="1:4" s="29" customFormat="1">
      <c r="A50" s="137"/>
      <c r="D50" s="137"/>
    </row>
    <row r="51" spans="1:4" s="29" customFormat="1">
      <c r="A51" s="137"/>
      <c r="D51" s="137"/>
    </row>
    <row r="52" spans="1:4" s="29" customFormat="1">
      <c r="A52" s="137"/>
      <c r="D52" s="137"/>
    </row>
    <row r="53" spans="1:4" s="29" customFormat="1">
      <c r="A53" s="137"/>
      <c r="D53" s="137"/>
    </row>
    <row r="54" spans="1:4" s="29" customFormat="1">
      <c r="A54" s="137"/>
      <c r="D54" s="137"/>
    </row>
    <row r="55" spans="1:4" s="29" customFormat="1">
      <c r="A55" s="137"/>
      <c r="D55" s="137"/>
    </row>
    <row r="56" spans="1:4" s="29" customFormat="1">
      <c r="A56" s="137"/>
      <c r="D56" s="137"/>
    </row>
    <row r="57" spans="1:4" s="29" customFormat="1">
      <c r="A57" s="137"/>
      <c r="D57" s="137"/>
    </row>
    <row r="58" spans="1:4" s="29" customFormat="1">
      <c r="A58" s="137"/>
      <c r="D58" s="137"/>
    </row>
    <row r="59" spans="1:4" s="29" customFormat="1" hidden="1">
      <c r="A59" s="137"/>
      <c r="B59" s="29" t="s">
        <v>279</v>
      </c>
      <c r="C59" s="29" t="s">
        <v>324</v>
      </c>
      <c r="D59" s="137"/>
    </row>
    <row r="60" spans="1:4" s="29" customFormat="1">
      <c r="A60" s="137"/>
      <c r="D60" s="137"/>
    </row>
    <row r="61" spans="1:4" s="29" customFormat="1">
      <c r="A61" s="137"/>
      <c r="D61" s="137"/>
    </row>
    <row r="62" spans="1:4" s="29" customFormat="1">
      <c r="A62" s="137"/>
      <c r="D62" s="137"/>
    </row>
    <row r="63" spans="1:4" s="29" customFormat="1">
      <c r="A63" s="137"/>
      <c r="D63" s="137"/>
    </row>
    <row r="64" spans="1:4" s="29" customFormat="1">
      <c r="A64" s="137"/>
      <c r="D64" s="137"/>
    </row>
    <row r="65" spans="1:4" s="29" customFormat="1">
      <c r="A65" s="137"/>
      <c r="D65" s="137"/>
    </row>
    <row r="66" spans="1:4" s="29" customFormat="1">
      <c r="A66" s="137"/>
      <c r="D66" s="137"/>
    </row>
    <row r="67" spans="1:4" s="29" customFormat="1">
      <c r="A67" s="137"/>
      <c r="D67" s="137"/>
    </row>
    <row r="68" spans="1:4" s="29" customFormat="1">
      <c r="A68" s="137"/>
      <c r="D68" s="137"/>
    </row>
    <row r="69" spans="1:4" s="29" customFormat="1">
      <c r="A69" s="137"/>
      <c r="D69" s="137"/>
    </row>
    <row r="70" spans="1:4" s="29" customFormat="1">
      <c r="A70" s="137"/>
      <c r="D70" s="137"/>
    </row>
    <row r="71" spans="1:4" s="29" customFormat="1">
      <c r="A71" s="137"/>
      <c r="D71" s="137"/>
    </row>
    <row r="72" spans="1:4" s="29" customFormat="1">
      <c r="A72" s="137"/>
      <c r="D72" s="137"/>
    </row>
    <row r="73" spans="1:4" s="29" customFormat="1">
      <c r="A73" s="137"/>
      <c r="D73" s="137"/>
    </row>
    <row r="74" spans="1:4" s="29" customFormat="1">
      <c r="A74" s="137"/>
      <c r="D74" s="137"/>
    </row>
    <row r="75" spans="1:4" s="29" customFormat="1">
      <c r="A75" s="137"/>
      <c r="D75" s="137"/>
    </row>
    <row r="76" spans="1:4" s="29" customFormat="1">
      <c r="A76" s="137"/>
      <c r="D76" s="137"/>
    </row>
    <row r="77" spans="1:4" s="29" customFormat="1">
      <c r="A77" s="137"/>
      <c r="D77" s="137"/>
    </row>
    <row r="78" spans="1:4" s="29" customFormat="1">
      <c r="A78" s="137"/>
      <c r="D78" s="137"/>
    </row>
    <row r="79" spans="1:4" s="29" customFormat="1">
      <c r="A79" s="137"/>
      <c r="D79" s="137"/>
    </row>
    <row r="80" spans="1:4" s="29" customFormat="1">
      <c r="A80" s="137"/>
      <c r="D80" s="137"/>
    </row>
    <row r="81" spans="1:4" s="29" customFormat="1">
      <c r="A81" s="137"/>
      <c r="D81" s="137"/>
    </row>
    <row r="82" spans="1:4" s="29" customFormat="1">
      <c r="A82" s="137"/>
      <c r="D82" s="137"/>
    </row>
    <row r="83" spans="1:4" s="29" customFormat="1">
      <c r="A83" s="137"/>
      <c r="D83" s="137"/>
    </row>
    <row r="84" spans="1:4" s="29" customFormat="1">
      <c r="A84" s="137"/>
      <c r="D84" s="137"/>
    </row>
    <row r="85" spans="1:4" s="29" customFormat="1">
      <c r="A85" s="137"/>
      <c r="D85" s="137"/>
    </row>
    <row r="86" spans="1:4" s="29" customFormat="1">
      <c r="A86" s="137"/>
      <c r="D86" s="137"/>
    </row>
    <row r="87" spans="1:4" s="29" customFormat="1">
      <c r="A87" s="137"/>
      <c r="D87" s="137"/>
    </row>
    <row r="88" spans="1:4" s="29" customFormat="1">
      <c r="A88" s="137"/>
      <c r="D88" s="137"/>
    </row>
    <row r="89" spans="1:4" s="29" customFormat="1">
      <c r="A89" s="137"/>
      <c r="D89" s="137"/>
    </row>
    <row r="90" spans="1:4" s="29" customFormat="1">
      <c r="A90" s="137"/>
      <c r="D90" s="137"/>
    </row>
    <row r="91" spans="1:4" s="29" customFormat="1">
      <c r="A91" s="137"/>
      <c r="D91" s="137"/>
    </row>
    <row r="92" spans="1:4" s="29" customFormat="1">
      <c r="A92" s="137"/>
      <c r="D92" s="137"/>
    </row>
    <row r="93" spans="1:4" s="29" customFormat="1">
      <c r="A93" s="137"/>
      <c r="D93" s="137"/>
    </row>
    <row r="94" spans="1:4" s="29" customFormat="1">
      <c r="A94" s="137"/>
      <c r="D94" s="137"/>
    </row>
    <row r="95" spans="1:4" s="29" customFormat="1">
      <c r="A95" s="137"/>
      <c r="D95" s="137"/>
    </row>
    <row r="96" spans="1:4" s="29" customFormat="1">
      <c r="A96" s="137"/>
      <c r="D96" s="137"/>
    </row>
    <row r="97" spans="1:4" s="29" customFormat="1">
      <c r="A97" s="137"/>
      <c r="D97" s="137"/>
    </row>
    <row r="98" spans="1:4" s="29" customFormat="1">
      <c r="A98" s="137"/>
      <c r="D98" s="137"/>
    </row>
    <row r="99" spans="1:4" s="29" customFormat="1">
      <c r="A99" s="137"/>
      <c r="D99" s="137"/>
    </row>
    <row r="100" spans="1:4" s="29" customFormat="1">
      <c r="A100" s="137"/>
      <c r="D100" s="137"/>
    </row>
    <row r="101" spans="1:4" s="29" customFormat="1">
      <c r="A101" s="137"/>
      <c r="D101" s="137"/>
    </row>
    <row r="102" spans="1:4" s="29" customFormat="1">
      <c r="A102" s="137"/>
      <c r="D102" s="137"/>
    </row>
    <row r="103" spans="1:4" s="29" customFormat="1">
      <c r="A103" s="137"/>
      <c r="D103" s="137"/>
    </row>
    <row r="104" spans="1:4" s="29" customFormat="1">
      <c r="A104" s="137"/>
      <c r="D104" s="137"/>
    </row>
    <row r="105" spans="1:4" s="29" customFormat="1">
      <c r="A105" s="137"/>
      <c r="D105" s="137"/>
    </row>
    <row r="106" spans="1:4" s="29" customFormat="1">
      <c r="A106" s="137"/>
      <c r="D106" s="137"/>
    </row>
    <row r="107" spans="1:4" s="29" customFormat="1">
      <c r="A107" s="137"/>
      <c r="D107" s="137"/>
    </row>
    <row r="108" spans="1:4" s="29" customFormat="1">
      <c r="A108" s="137"/>
      <c r="D108" s="137"/>
    </row>
    <row r="109" spans="1:4" s="29" customFormat="1">
      <c r="A109" s="137"/>
      <c r="D109" s="137"/>
    </row>
    <row r="110" spans="1:4" s="29" customFormat="1">
      <c r="A110" s="137"/>
      <c r="D110" s="137"/>
    </row>
    <row r="111" spans="1:4" s="29" customFormat="1">
      <c r="A111" s="137"/>
      <c r="D111" s="137"/>
    </row>
    <row r="112" spans="1:4" s="29" customFormat="1">
      <c r="A112" s="137"/>
      <c r="D112" s="137"/>
    </row>
    <row r="113" spans="1:4" s="29" customFormat="1">
      <c r="A113" s="137"/>
      <c r="D113" s="137"/>
    </row>
    <row r="114" spans="1:4" s="29" customFormat="1">
      <c r="A114" s="137"/>
      <c r="D114" s="137"/>
    </row>
    <row r="115" spans="1:4" s="29" customFormat="1">
      <c r="A115" s="137"/>
      <c r="D115" s="137"/>
    </row>
    <row r="116" spans="1:4" s="29" customFormat="1">
      <c r="A116" s="137"/>
      <c r="D116" s="137"/>
    </row>
    <row r="117" spans="1:4" s="29" customFormat="1">
      <c r="A117" s="137"/>
      <c r="D117" s="137"/>
    </row>
    <row r="118" spans="1:4" s="29" customFormat="1">
      <c r="A118" s="137"/>
      <c r="D118" s="137"/>
    </row>
    <row r="119" spans="1:4" s="29" customFormat="1">
      <c r="A119" s="137"/>
      <c r="D119" s="137"/>
    </row>
    <row r="120" spans="1:4" s="29" customFormat="1">
      <c r="A120" s="137"/>
      <c r="D120" s="137"/>
    </row>
    <row r="121" spans="1:4" s="29" customFormat="1">
      <c r="A121" s="137"/>
      <c r="D121" s="137"/>
    </row>
    <row r="122" spans="1:4" s="29" customFormat="1">
      <c r="A122" s="137"/>
      <c r="D122" s="137"/>
    </row>
    <row r="123" spans="1:4" s="29" customFormat="1">
      <c r="A123" s="137"/>
      <c r="D123" s="137"/>
    </row>
    <row r="124" spans="1:4" s="29" customFormat="1">
      <c r="A124" s="137"/>
      <c r="D124" s="137"/>
    </row>
    <row r="125" spans="1:4" s="29" customFormat="1">
      <c r="A125" s="137"/>
      <c r="D125" s="137"/>
    </row>
    <row r="126" spans="1:4" s="29" customFormat="1">
      <c r="A126" s="137"/>
      <c r="D126" s="137"/>
    </row>
    <row r="127" spans="1:4" s="29" customFormat="1">
      <c r="A127" s="137"/>
      <c r="D127" s="137"/>
    </row>
    <row r="128" spans="1:4" s="29" customFormat="1">
      <c r="A128" s="137"/>
      <c r="D128" s="137"/>
    </row>
    <row r="129" spans="1:4" s="29" customFormat="1">
      <c r="A129" s="137"/>
      <c r="D129" s="137"/>
    </row>
    <row r="130" spans="1:4" s="29" customFormat="1">
      <c r="A130" s="137"/>
      <c r="D130" s="137"/>
    </row>
    <row r="131" spans="1:4" s="29" customFormat="1">
      <c r="A131" s="137"/>
      <c r="D131" s="137"/>
    </row>
    <row r="132" spans="1:4" s="29" customFormat="1">
      <c r="A132" s="137"/>
      <c r="D132" s="137"/>
    </row>
    <row r="133" spans="1:4" s="29" customFormat="1">
      <c r="A133" s="137"/>
      <c r="D133" s="137"/>
    </row>
    <row r="134" spans="1:4" s="29" customFormat="1">
      <c r="A134" s="137"/>
      <c r="D134" s="137"/>
    </row>
    <row r="135" spans="1:4" s="29" customFormat="1">
      <c r="A135" s="137"/>
      <c r="D135" s="137"/>
    </row>
    <row r="136" spans="1:4" s="29" customFormat="1">
      <c r="A136" s="137"/>
      <c r="D136" s="137"/>
    </row>
    <row r="137" spans="1:4" s="29" customFormat="1">
      <c r="A137" s="137"/>
      <c r="D137" s="137"/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zoomScale="90" zoomScaleNormal="90" workbookViewId="0">
      <selection activeCell="L8" sqref="L8"/>
    </sheetView>
    <sheetView workbookViewId="1"/>
  </sheetViews>
  <sheetFormatPr baseColWidth="10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8" width="12.83203125" style="29" customWidth="1"/>
    <col min="19" max="19" width="20" style="29" bestFit="1" customWidth="1"/>
    <col min="20" max="20" width="19.1640625" style="29" bestFit="1" customWidth="1"/>
    <col min="21" max="21" width="12.83203125" style="29" customWidth="1"/>
    <col min="22" max="22" width="15.5" style="29" bestFit="1" customWidth="1"/>
    <col min="23" max="23" width="18.5" style="29" bestFit="1" customWidth="1"/>
    <col min="24" max="24" width="7.33203125" style="29" customWidth="1"/>
    <col min="25" max="25" width="3.33203125" style="29" bestFit="1" customWidth="1"/>
    <col min="26" max="26" width="14.5" style="29" bestFit="1" customWidth="1"/>
    <col min="27" max="27" width="14.5" style="29" customWidth="1"/>
    <col min="28" max="28" width="10.83203125" style="29"/>
    <col min="29" max="29" width="26.5" style="29" bestFit="1" customWidth="1"/>
    <col min="30" max="695" width="10.83203125" style="29"/>
  </cols>
  <sheetData>
    <row r="1" spans="1:16" ht="39" customHeight="1">
      <c r="A1" s="29" t="s">
        <v>136</v>
      </c>
      <c r="C1" s="182" t="str">
        <f>"Match "&amp;IF('Compo'!C14="Aller","A",IF('Compo'!C14="Retour","R","PF"))&amp;'Compo'!C16&amp;IF('Compo'!C12="Extérieur"," : "&amp;'Compo'!C10&amp;" / MXV"," : MXV / "&amp;'Compo'!C10)</f>
        <v>Match PF8eme : MXV / Rabastens-Coufouleux</v>
      </c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29"/>
    </row>
    <row r="2" spans="1:16" ht="10" customHeight="1" thickBot="1">
      <c r="A2" s="29"/>
      <c r="B2" s="29"/>
      <c r="C2" s="69"/>
      <c r="D2" s="31"/>
      <c r="E2" s="31"/>
      <c r="F2" s="30"/>
      <c r="G2" s="30"/>
      <c r="H2" s="30"/>
      <c r="I2" s="30"/>
      <c r="J2" s="30"/>
      <c r="K2" s="30"/>
      <c r="L2" s="30"/>
      <c r="M2" s="30"/>
      <c r="N2" s="30"/>
      <c r="O2" s="69"/>
      <c r="P2" s="29"/>
    </row>
    <row r="3" spans="1:16" ht="10" customHeight="1" thickTop="1">
      <c r="A3" s="29"/>
      <c r="B3" s="29"/>
      <c r="C3" s="70"/>
      <c r="D3" s="61"/>
      <c r="E3" s="61"/>
      <c r="F3" s="62"/>
      <c r="G3" s="62"/>
      <c r="H3" s="62"/>
      <c r="I3" s="62"/>
      <c r="J3" s="62"/>
      <c r="K3" s="62"/>
      <c r="L3" s="62"/>
      <c r="M3" s="62"/>
      <c r="N3" s="62"/>
      <c r="O3" s="71"/>
      <c r="P3" s="29"/>
    </row>
    <row r="4" spans="1:16" ht="42" customHeight="1">
      <c r="A4" s="29"/>
      <c r="B4" s="29"/>
      <c r="C4" s="72"/>
      <c r="D4" s="189" t="s">
        <v>215</v>
      </c>
      <c r="E4" s="189"/>
      <c r="F4" s="39" t="s">
        <v>90</v>
      </c>
      <c r="G4" s="64"/>
      <c r="H4" s="39" t="s">
        <v>125</v>
      </c>
      <c r="I4" s="30"/>
      <c r="J4" s="69"/>
      <c r="K4" s="69"/>
      <c r="L4" s="32" t="s">
        <v>112</v>
      </c>
      <c r="M4" s="69"/>
      <c r="N4" s="32" t="s">
        <v>113</v>
      </c>
      <c r="O4" s="73"/>
      <c r="P4" s="29"/>
    </row>
    <row r="5" spans="1:16" ht="10" customHeight="1" thickBot="1">
      <c r="A5" s="29"/>
      <c r="B5" s="29"/>
      <c r="C5" s="74"/>
      <c r="D5" s="65"/>
      <c r="E5" s="65"/>
      <c r="F5" s="66"/>
      <c r="G5" s="66"/>
      <c r="H5" s="66"/>
      <c r="I5" s="66"/>
      <c r="J5" s="66"/>
      <c r="K5" s="66"/>
      <c r="L5" s="66"/>
      <c r="M5" s="66"/>
      <c r="N5" s="66"/>
      <c r="O5" s="75"/>
      <c r="P5" s="29"/>
    </row>
    <row r="6" spans="1:16" ht="10" customHeight="1" thickTop="1" thickBot="1">
      <c r="A6" s="29"/>
      <c r="B6" s="29"/>
      <c r="C6" s="69"/>
      <c r="D6" s="31"/>
      <c r="E6" s="31"/>
      <c r="F6" s="30"/>
      <c r="G6" s="30"/>
      <c r="H6" s="30"/>
      <c r="I6" s="30"/>
      <c r="J6" s="30"/>
      <c r="K6" s="30"/>
      <c r="L6" s="30"/>
      <c r="M6" s="30"/>
      <c r="N6" s="30"/>
      <c r="O6" s="69"/>
      <c r="P6" s="29"/>
    </row>
    <row r="7" spans="1:16" ht="10" customHeight="1" thickTop="1">
      <c r="A7" s="29"/>
      <c r="B7" s="29"/>
      <c r="C7" s="77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9"/>
      <c r="P7" s="29"/>
    </row>
    <row r="8" spans="1:16" ht="26" customHeight="1">
      <c r="A8" s="29"/>
      <c r="B8" s="29"/>
      <c r="C8" s="72"/>
      <c r="D8" s="26" t="s">
        <v>367</v>
      </c>
      <c r="E8" s="31"/>
      <c r="F8" s="37"/>
      <c r="G8" s="30"/>
      <c r="H8" s="167"/>
      <c r="I8" s="30"/>
      <c r="J8" s="168"/>
      <c r="K8" s="30"/>
      <c r="L8" s="169"/>
      <c r="M8" s="30"/>
      <c r="N8" s="30"/>
      <c r="O8" s="73"/>
      <c r="P8" s="29"/>
    </row>
    <row r="9" spans="1:16" ht="10" customHeight="1" thickBot="1">
      <c r="A9" s="29"/>
      <c r="B9" s="29"/>
      <c r="C9" s="74"/>
      <c r="D9" s="65"/>
      <c r="E9" s="65"/>
      <c r="F9" s="66"/>
      <c r="G9" s="66"/>
      <c r="H9" s="66"/>
      <c r="I9" s="66"/>
      <c r="J9" s="66"/>
      <c r="K9" s="66"/>
      <c r="L9" s="66"/>
      <c r="M9" s="66"/>
      <c r="N9" s="66"/>
      <c r="O9" s="75"/>
      <c r="P9" s="29"/>
    </row>
    <row r="10" spans="1:16" ht="10" customHeight="1" thickTop="1" thickBot="1">
      <c r="A10" s="29"/>
      <c r="B10" s="29"/>
      <c r="C10" s="76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76"/>
      <c r="P10" s="29"/>
    </row>
    <row r="11" spans="1:16" ht="10" customHeight="1" thickTop="1">
      <c r="A11" s="29"/>
      <c r="B11" s="29" t="s">
        <v>114</v>
      </c>
      <c r="C11" s="77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9"/>
      <c r="P11" s="29"/>
    </row>
    <row r="12" spans="1:16" ht="15" customHeight="1">
      <c r="A12" s="29"/>
      <c r="B12" s="29"/>
      <c r="C12" s="80"/>
      <c r="D12" s="183" t="s">
        <v>70</v>
      </c>
      <c r="E12" s="183"/>
      <c r="F12" s="184"/>
      <c r="G12" s="184"/>
      <c r="H12" s="184"/>
      <c r="I12" s="184"/>
      <c r="J12" s="184"/>
      <c r="K12" s="184"/>
      <c r="L12" s="184"/>
      <c r="M12" s="184"/>
      <c r="N12" s="184"/>
      <c r="O12" s="81"/>
      <c r="P12" s="29"/>
    </row>
    <row r="13" spans="1:16">
      <c r="A13" s="29"/>
      <c r="B13" s="29"/>
      <c r="C13" s="80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81"/>
      <c r="P13" s="29"/>
    </row>
    <row r="14" spans="1:16" ht="42" customHeight="1">
      <c r="A14" s="29"/>
      <c r="B14" s="29"/>
      <c r="C14" s="80"/>
      <c r="D14" s="26" t="s">
        <v>69</v>
      </c>
      <c r="E14" s="25"/>
      <c r="F14" s="33" t="s">
        <v>73</v>
      </c>
      <c r="G14" s="25"/>
      <c r="H14" s="33" t="s">
        <v>71</v>
      </c>
      <c r="I14" s="25"/>
      <c r="J14" s="33" t="s">
        <v>74</v>
      </c>
      <c r="K14" s="25"/>
      <c r="L14" s="33" t="s">
        <v>75</v>
      </c>
      <c r="M14" s="25"/>
      <c r="N14" s="33" t="s">
        <v>72</v>
      </c>
      <c r="O14" s="81"/>
      <c r="P14" s="29"/>
    </row>
    <row r="15" spans="1:16" ht="10" customHeight="1">
      <c r="A15" s="29"/>
      <c r="B15" s="29"/>
      <c r="C15" s="80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81"/>
      <c r="P15" s="29"/>
    </row>
    <row r="16" spans="1:16" ht="42" customHeight="1">
      <c r="A16" s="29"/>
      <c r="B16" s="29"/>
      <c r="C16" s="80"/>
      <c r="D16" s="26" t="s">
        <v>329</v>
      </c>
      <c r="E16" s="25"/>
      <c r="F16" s="33" t="s">
        <v>76</v>
      </c>
      <c r="G16" s="25"/>
      <c r="H16" s="33" t="s">
        <v>77</v>
      </c>
      <c r="I16" s="28"/>
      <c r="J16" s="33" t="s">
        <v>115</v>
      </c>
      <c r="K16" s="31"/>
      <c r="L16" s="69"/>
      <c r="M16" s="69"/>
      <c r="N16" s="69"/>
      <c r="O16" s="73"/>
      <c r="P16" s="29"/>
    </row>
    <row r="17" spans="1:18" ht="10" customHeight="1">
      <c r="A17" s="29"/>
      <c r="B17" s="29"/>
      <c r="C17" s="80"/>
      <c r="D17" s="24"/>
      <c r="E17" s="24"/>
      <c r="F17" s="24"/>
      <c r="G17" s="24"/>
      <c r="H17" s="24"/>
      <c r="I17" s="24"/>
      <c r="J17" s="24"/>
      <c r="K17" s="67"/>
      <c r="L17" s="67"/>
      <c r="M17" s="67"/>
      <c r="N17" s="67"/>
      <c r="O17" s="73"/>
      <c r="P17" s="29"/>
    </row>
    <row r="18" spans="1:18" ht="42" customHeight="1">
      <c r="A18" s="29"/>
      <c r="B18" s="29"/>
      <c r="C18" s="80"/>
      <c r="D18" s="26" t="s">
        <v>330</v>
      </c>
      <c r="E18" s="25"/>
      <c r="F18" s="33" t="s">
        <v>76</v>
      </c>
      <c r="G18" s="25"/>
      <c r="H18" s="33" t="s">
        <v>77</v>
      </c>
      <c r="I18" s="28"/>
      <c r="J18" s="63"/>
      <c r="K18" s="31"/>
      <c r="L18" s="69"/>
      <c r="M18" s="69"/>
      <c r="N18" s="69"/>
      <c r="O18" s="73"/>
      <c r="P18" s="29"/>
    </row>
    <row r="19" spans="1:18" s="29" customFormat="1" ht="10" customHeight="1">
      <c r="C19" s="72"/>
      <c r="D19" s="31"/>
      <c r="E19" s="31"/>
      <c r="F19" s="87"/>
      <c r="G19" s="31"/>
      <c r="H19" s="87"/>
      <c r="I19" s="31"/>
      <c r="J19" s="88"/>
      <c r="K19" s="31"/>
      <c r="L19" s="69"/>
      <c r="M19" s="69"/>
      <c r="N19" s="69"/>
      <c r="O19" s="73"/>
    </row>
    <row r="20" spans="1:18" ht="42" customHeight="1">
      <c r="A20" s="29"/>
      <c r="B20" s="29"/>
      <c r="C20" s="80"/>
      <c r="D20" s="89" t="s">
        <v>216</v>
      </c>
      <c r="E20" s="64"/>
      <c r="F20" s="33" t="s">
        <v>217</v>
      </c>
      <c r="G20" s="64"/>
      <c r="H20" s="33" t="s">
        <v>218</v>
      </c>
      <c r="I20" s="64"/>
      <c r="J20" s="33" t="s">
        <v>219</v>
      </c>
      <c r="K20" s="64"/>
      <c r="L20" s="33" t="s">
        <v>220</v>
      </c>
      <c r="M20" s="69"/>
      <c r="N20" s="69"/>
      <c r="O20" s="73"/>
      <c r="P20" s="29"/>
    </row>
    <row r="21" spans="1:18" ht="10" customHeight="1">
      <c r="A21" s="29"/>
      <c r="B21" s="29"/>
      <c r="C21" s="80"/>
      <c r="D21" s="24"/>
      <c r="E21" s="24"/>
      <c r="F21" s="24"/>
      <c r="G21" s="24"/>
      <c r="H21" s="24"/>
      <c r="I21" s="24"/>
      <c r="J21" s="24"/>
      <c r="K21" s="67"/>
      <c r="L21" s="67"/>
      <c r="M21" s="67"/>
      <c r="N21" s="67"/>
      <c r="O21" s="73"/>
      <c r="P21" s="29"/>
    </row>
    <row r="22" spans="1:18" ht="42" customHeight="1">
      <c r="A22" s="29"/>
      <c r="B22" s="29"/>
      <c r="C22" s="80"/>
      <c r="D22" s="89" t="s">
        <v>216</v>
      </c>
      <c r="E22" s="64"/>
      <c r="F22" s="33" t="s">
        <v>60</v>
      </c>
      <c r="G22" s="64"/>
      <c r="H22" s="33" t="s">
        <v>78</v>
      </c>
      <c r="I22" s="64"/>
      <c r="J22" s="33" t="s">
        <v>326</v>
      </c>
      <c r="K22" s="64"/>
      <c r="L22" s="69"/>
      <c r="M22" s="69"/>
      <c r="N22" s="51" t="s">
        <v>368</v>
      </c>
      <c r="O22" s="73"/>
      <c r="P22" s="29"/>
    </row>
    <row r="23" spans="1:18" ht="10" customHeight="1">
      <c r="A23" s="29"/>
      <c r="B23" s="29"/>
      <c r="C23" s="80"/>
      <c r="D23" s="24"/>
      <c r="E23" s="24"/>
      <c r="F23" s="24"/>
      <c r="G23" s="24"/>
      <c r="H23" s="24"/>
      <c r="I23" s="24"/>
      <c r="J23" s="24"/>
      <c r="K23" s="67"/>
      <c r="L23" s="67"/>
      <c r="M23" s="67"/>
      <c r="N23" s="67"/>
      <c r="O23" s="73"/>
      <c r="P23" s="29"/>
    </row>
    <row r="24" spans="1:18" ht="42" customHeight="1">
      <c r="A24" s="29"/>
      <c r="B24" s="29"/>
      <c r="C24" s="80"/>
      <c r="D24" s="89" t="s">
        <v>135</v>
      </c>
      <c r="E24" s="25"/>
      <c r="F24" s="34" t="s">
        <v>250</v>
      </c>
      <c r="G24" s="25"/>
      <c r="H24" s="34" t="s">
        <v>251</v>
      </c>
      <c r="I24" s="28"/>
      <c r="J24" s="64"/>
      <c r="K24" s="63"/>
      <c r="L24" s="64"/>
      <c r="M24" s="64"/>
      <c r="N24" s="63"/>
      <c r="O24" s="81"/>
      <c r="P24" s="29"/>
    </row>
    <row r="25" spans="1:18" s="29" customFormat="1" ht="10" customHeight="1">
      <c r="C25" s="72"/>
      <c r="D25" s="31"/>
      <c r="E25" s="31"/>
      <c r="F25" s="87"/>
      <c r="G25" s="31"/>
      <c r="H25" s="87"/>
      <c r="I25" s="31"/>
      <c r="J25" s="31"/>
      <c r="K25" s="88"/>
      <c r="L25" s="31"/>
      <c r="M25" s="31"/>
      <c r="N25" s="88"/>
      <c r="O25" s="73"/>
    </row>
    <row r="26" spans="1:18" ht="42" customHeight="1">
      <c r="A26" s="29"/>
      <c r="B26" s="29"/>
      <c r="C26" s="80"/>
      <c r="D26" s="89" t="s">
        <v>245</v>
      </c>
      <c r="E26" s="64"/>
      <c r="F26" s="34" t="s">
        <v>246</v>
      </c>
      <c r="G26" s="64"/>
      <c r="H26" s="34" t="s">
        <v>247</v>
      </c>
      <c r="I26" s="64"/>
      <c r="J26" s="34" t="s">
        <v>248</v>
      </c>
      <c r="K26" s="63"/>
      <c r="L26" s="34" t="s">
        <v>249</v>
      </c>
      <c r="M26" s="64"/>
      <c r="N26" s="34" t="s">
        <v>175</v>
      </c>
      <c r="O26" s="81"/>
      <c r="P26" s="29"/>
    </row>
    <row r="27" spans="1:18" ht="10" customHeight="1">
      <c r="A27" s="29"/>
      <c r="B27" s="29"/>
      <c r="C27" s="80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81"/>
      <c r="P27" s="29"/>
    </row>
    <row r="28" spans="1:18" ht="42" customHeight="1">
      <c r="A28" s="29"/>
      <c r="B28" s="29"/>
      <c r="C28" s="80"/>
      <c r="D28" s="26" t="s">
        <v>89</v>
      </c>
      <c r="E28" s="25"/>
      <c r="F28" s="51" t="s">
        <v>80</v>
      </c>
      <c r="G28" s="25"/>
      <c r="H28" s="51" t="s">
        <v>121</v>
      </c>
      <c r="I28" s="25"/>
      <c r="J28" s="51" t="s">
        <v>232</v>
      </c>
      <c r="K28" s="25"/>
      <c r="L28" s="51" t="s">
        <v>81</v>
      </c>
      <c r="M28" s="25"/>
      <c r="N28" s="51" t="s">
        <v>82</v>
      </c>
      <c r="O28" s="81"/>
      <c r="P28" s="29"/>
      <c r="R28" s="29" t="s">
        <v>136</v>
      </c>
    </row>
    <row r="29" spans="1:18" ht="10" customHeight="1">
      <c r="A29" s="29"/>
      <c r="B29" s="29"/>
      <c r="C29" s="80"/>
      <c r="D29" s="64"/>
      <c r="E29" s="64"/>
      <c r="F29" s="68"/>
      <c r="G29" s="64"/>
      <c r="H29" s="68"/>
      <c r="I29" s="64"/>
      <c r="J29" s="68"/>
      <c r="K29" s="64"/>
      <c r="L29" s="68"/>
      <c r="M29" s="64"/>
      <c r="N29" s="68"/>
      <c r="O29" s="81"/>
      <c r="P29" s="29"/>
    </row>
    <row r="30" spans="1:18" ht="42" customHeight="1">
      <c r="A30" s="29"/>
      <c r="B30" s="29"/>
      <c r="C30" s="80"/>
      <c r="D30" s="26" t="s">
        <v>118</v>
      </c>
      <c r="E30" s="25"/>
      <c r="F30" s="35" t="s">
        <v>84</v>
      </c>
      <c r="G30" s="25"/>
      <c r="H30" s="35" t="s">
        <v>85</v>
      </c>
      <c r="I30" s="25"/>
      <c r="J30" s="35" t="s">
        <v>86</v>
      </c>
      <c r="K30" s="25"/>
      <c r="L30" s="35" t="s">
        <v>87</v>
      </c>
      <c r="M30" s="28"/>
      <c r="N30" s="27" t="s">
        <v>88</v>
      </c>
      <c r="O30" s="81"/>
      <c r="P30" s="29"/>
    </row>
    <row r="31" spans="1:18" ht="10" customHeight="1" thickBot="1">
      <c r="A31" s="29"/>
      <c r="B31" s="29"/>
      <c r="C31" s="74"/>
      <c r="D31" s="65"/>
      <c r="E31" s="65"/>
      <c r="F31" s="66"/>
      <c r="G31" s="66"/>
      <c r="H31" s="66"/>
      <c r="I31" s="66"/>
      <c r="J31" s="66"/>
      <c r="K31" s="66"/>
      <c r="L31" s="66"/>
      <c r="M31" s="66"/>
      <c r="N31" s="66"/>
      <c r="O31" s="75"/>
      <c r="P31" s="29"/>
    </row>
    <row r="32" spans="1:18" ht="10" customHeight="1" thickTop="1" thickBot="1">
      <c r="A32" s="29"/>
      <c r="B32" s="29"/>
      <c r="C32" s="69"/>
      <c r="D32" s="31"/>
      <c r="E32" s="31"/>
      <c r="F32" s="30"/>
      <c r="G32" s="30"/>
      <c r="H32" s="30"/>
      <c r="I32" s="30"/>
      <c r="J32" s="30"/>
      <c r="K32" s="30"/>
      <c r="L32" s="30"/>
      <c r="M32" s="30"/>
      <c r="N32" s="30"/>
      <c r="O32" s="69"/>
      <c r="P32" s="29"/>
    </row>
    <row r="33" spans="1:21" ht="10" customHeight="1" thickTop="1">
      <c r="A33" s="29"/>
      <c r="B33" s="29"/>
      <c r="C33" s="70"/>
      <c r="D33" s="61"/>
      <c r="E33" s="61"/>
      <c r="F33" s="62"/>
      <c r="G33" s="62"/>
      <c r="H33" s="62"/>
      <c r="I33" s="62"/>
      <c r="J33" s="62"/>
      <c r="K33" s="62"/>
      <c r="L33" s="62"/>
      <c r="M33" s="62"/>
      <c r="N33" s="62"/>
      <c r="O33" s="71"/>
      <c r="P33" s="29"/>
    </row>
    <row r="34" spans="1:21" ht="15" customHeight="1">
      <c r="A34" s="29"/>
      <c r="B34" s="29"/>
      <c r="C34" s="109"/>
      <c r="D34" s="187" t="s">
        <v>68</v>
      </c>
      <c r="E34" s="187"/>
      <c r="F34" s="188"/>
      <c r="G34" s="188"/>
      <c r="H34" s="188"/>
      <c r="I34" s="188"/>
      <c r="J34" s="188"/>
      <c r="K34" s="188"/>
      <c r="L34" s="188"/>
      <c r="M34" s="188"/>
      <c r="N34" s="188"/>
      <c r="O34" s="110"/>
      <c r="P34" s="29"/>
    </row>
    <row r="35" spans="1:21" ht="13" customHeight="1">
      <c r="A35" s="29"/>
      <c r="B35" s="29"/>
      <c r="C35" s="109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110"/>
      <c r="P35" s="29"/>
    </row>
    <row r="36" spans="1:21" ht="42" customHeight="1">
      <c r="A36" s="29"/>
      <c r="B36" s="29"/>
      <c r="C36" s="109"/>
      <c r="D36" s="86">
        <v>1</v>
      </c>
      <c r="E36" s="85"/>
      <c r="F36" s="86">
        <v>2</v>
      </c>
      <c r="G36" s="85"/>
      <c r="H36" s="86">
        <v>3</v>
      </c>
      <c r="I36" s="85"/>
      <c r="J36" s="86">
        <v>4</v>
      </c>
      <c r="K36" s="85"/>
      <c r="L36" s="86">
        <v>5</v>
      </c>
      <c r="M36" s="85"/>
      <c r="N36" s="86">
        <v>6</v>
      </c>
      <c r="O36" s="110"/>
      <c r="P36" s="29"/>
    </row>
    <row r="37" spans="1:21" ht="10" customHeight="1">
      <c r="A37" s="29"/>
      <c r="B37" s="29"/>
      <c r="C37" s="109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110"/>
      <c r="P37" s="29"/>
    </row>
    <row r="38" spans="1:21" ht="42" customHeight="1">
      <c r="A38" s="29"/>
      <c r="B38" s="29"/>
      <c r="C38" s="109"/>
      <c r="D38" s="86">
        <v>7</v>
      </c>
      <c r="E38" s="85"/>
      <c r="F38" s="86">
        <v>8</v>
      </c>
      <c r="G38" s="85"/>
      <c r="H38" s="86">
        <v>9</v>
      </c>
      <c r="I38" s="85"/>
      <c r="J38" s="86">
        <v>10</v>
      </c>
      <c r="K38" s="85"/>
      <c r="L38" s="86">
        <v>11</v>
      </c>
      <c r="M38" s="85"/>
      <c r="N38" s="86">
        <v>12</v>
      </c>
      <c r="O38" s="110"/>
      <c r="P38" s="29"/>
    </row>
    <row r="39" spans="1:21" ht="10" customHeight="1">
      <c r="A39" s="29"/>
      <c r="B39" s="29"/>
      <c r="C39" s="109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110"/>
      <c r="P39" s="29"/>
    </row>
    <row r="40" spans="1:21" ht="42" customHeight="1">
      <c r="A40" s="29"/>
      <c r="B40" s="29"/>
      <c r="C40" s="109"/>
      <c r="D40" s="86">
        <v>13</v>
      </c>
      <c r="E40" s="85"/>
      <c r="F40" s="86">
        <v>14</v>
      </c>
      <c r="G40" s="85"/>
      <c r="H40" s="86">
        <v>15</v>
      </c>
      <c r="I40" s="85"/>
      <c r="J40" s="86">
        <v>16</v>
      </c>
      <c r="K40" s="85"/>
      <c r="L40" s="86">
        <v>17</v>
      </c>
      <c r="M40" s="85"/>
      <c r="N40" s="86">
        <v>18</v>
      </c>
      <c r="O40" s="110"/>
      <c r="P40" s="29"/>
      <c r="R40" s="30"/>
      <c r="S40" s="30"/>
    </row>
    <row r="41" spans="1:21" ht="10" customHeight="1">
      <c r="A41" s="29"/>
      <c r="B41" s="29"/>
      <c r="C41" s="109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110"/>
      <c r="P41" s="29"/>
      <c r="R41" s="30"/>
      <c r="S41" s="30"/>
    </row>
    <row r="42" spans="1:21" ht="42" customHeight="1">
      <c r="A42" s="29"/>
      <c r="B42" s="29"/>
      <c r="C42" s="109"/>
      <c r="D42" s="86">
        <v>19</v>
      </c>
      <c r="E42" s="85"/>
      <c r="F42" s="86">
        <v>20</v>
      </c>
      <c r="G42" s="85"/>
      <c r="H42" s="86">
        <v>21</v>
      </c>
      <c r="I42" s="85"/>
      <c r="J42" s="86">
        <v>22</v>
      </c>
      <c r="K42" s="85"/>
      <c r="L42" s="84" t="s">
        <v>93</v>
      </c>
      <c r="M42" s="85"/>
      <c r="N42" s="84" t="s">
        <v>83</v>
      </c>
      <c r="O42" s="110"/>
      <c r="P42" s="29"/>
    </row>
    <row r="43" spans="1:21" s="29" customFormat="1" ht="10" customHeight="1" thickBot="1">
      <c r="C43" s="111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3"/>
    </row>
    <row r="44" spans="1:21" ht="10" customHeight="1" thickTop="1" thickBot="1">
      <c r="A44" s="29"/>
      <c r="B44" s="29"/>
      <c r="C44" s="69"/>
      <c r="D44" s="31"/>
      <c r="E44" s="31"/>
      <c r="F44" s="30"/>
      <c r="G44" s="30"/>
      <c r="H44" s="30"/>
      <c r="I44" s="30"/>
      <c r="J44" s="30"/>
      <c r="K44" s="30"/>
      <c r="L44" s="30"/>
      <c r="M44" s="30"/>
      <c r="N44" s="30"/>
      <c r="O44" s="69"/>
      <c r="P44" s="29"/>
    </row>
    <row r="45" spans="1:21" ht="10" customHeight="1" thickTop="1">
      <c r="A45" s="29"/>
      <c r="B45" s="29"/>
      <c r="C45" s="70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71"/>
      <c r="P45" s="29"/>
      <c r="Q45" s="31"/>
      <c r="T45" s="30"/>
      <c r="U45" s="30"/>
    </row>
    <row r="46" spans="1:21" ht="15" customHeight="1">
      <c r="A46" s="29"/>
      <c r="B46" s="29"/>
      <c r="C46" s="72"/>
      <c r="D46" s="183" t="s">
        <v>91</v>
      </c>
      <c r="E46" s="183"/>
      <c r="F46" s="184"/>
      <c r="G46" s="184"/>
      <c r="H46" s="184"/>
      <c r="I46" s="184"/>
      <c r="J46" s="184"/>
      <c r="K46" s="184"/>
      <c r="L46" s="184"/>
      <c r="M46" s="184"/>
      <c r="N46" s="184"/>
      <c r="O46" s="115"/>
      <c r="P46" s="29"/>
      <c r="U46" s="30"/>
    </row>
    <row r="47" spans="1:21" ht="11" customHeight="1">
      <c r="A47" s="29"/>
      <c r="B47" s="29"/>
      <c r="C47" s="72"/>
      <c r="D47" s="69"/>
      <c r="E47" s="69"/>
      <c r="F47" s="69"/>
      <c r="G47" s="69"/>
      <c r="H47" s="69"/>
      <c r="I47" s="69"/>
      <c r="J47" s="69"/>
      <c r="K47" s="69"/>
      <c r="L47" s="69"/>
      <c r="M47" s="69"/>
      <c r="N47" s="69"/>
      <c r="O47" s="73"/>
      <c r="P47" s="29"/>
      <c r="U47" s="30"/>
    </row>
    <row r="48" spans="1:21" ht="14">
      <c r="A48" s="29"/>
      <c r="B48" s="29"/>
      <c r="C48" s="72"/>
      <c r="D48" s="116" t="s">
        <v>92</v>
      </c>
      <c r="E48" s="69"/>
      <c r="F48" s="69"/>
      <c r="G48" s="69"/>
      <c r="H48" s="69"/>
      <c r="I48" s="69"/>
      <c r="J48" s="69"/>
      <c r="K48" s="69"/>
      <c r="L48" s="69"/>
      <c r="M48" s="69"/>
      <c r="N48" s="69"/>
      <c r="O48" s="73"/>
      <c r="P48" s="29"/>
      <c r="Q48" s="29" t="s">
        <v>136</v>
      </c>
      <c r="U48" s="30"/>
    </row>
    <row r="49" spans="1:18" ht="6" customHeight="1">
      <c r="A49" s="29"/>
      <c r="B49" s="29"/>
      <c r="C49" s="72"/>
      <c r="D49" s="69"/>
      <c r="E49" s="69"/>
      <c r="F49" s="69"/>
      <c r="G49" s="69"/>
      <c r="H49" s="69"/>
      <c r="I49" s="69"/>
      <c r="J49" s="69"/>
      <c r="K49" s="69"/>
      <c r="L49" s="117"/>
      <c r="M49" s="117"/>
      <c r="N49" s="69"/>
      <c r="O49" s="73"/>
      <c r="P49" s="29"/>
    </row>
    <row r="50" spans="1:18" ht="42" customHeight="1">
      <c r="A50" s="29"/>
      <c r="B50" s="29"/>
      <c r="C50" s="72"/>
      <c r="D50" s="185">
        <v>6.1917907060185188E-3</v>
      </c>
      <c r="E50" s="186"/>
      <c r="F50" s="186"/>
      <c r="G50" s="69"/>
      <c r="H50" s="40" t="s">
        <v>62</v>
      </c>
      <c r="J50" s="36" t="s">
        <v>61</v>
      </c>
      <c r="K50" s="69"/>
      <c r="L50" s="40" t="s">
        <v>209</v>
      </c>
      <c r="M50" s="117"/>
      <c r="N50" s="37" t="s">
        <v>63</v>
      </c>
      <c r="O50" s="73"/>
      <c r="P50" s="29"/>
    </row>
    <row r="51" spans="1:18" ht="93" customHeight="1" thickBot="1">
      <c r="A51" s="29"/>
      <c r="B51" s="29"/>
      <c r="C51" s="74"/>
      <c r="D51" s="118"/>
      <c r="E51" s="118"/>
      <c r="F51" s="118"/>
      <c r="G51" s="118"/>
      <c r="H51" s="118"/>
      <c r="I51" s="118"/>
      <c r="J51" s="118"/>
      <c r="K51" s="118"/>
      <c r="L51" s="118"/>
      <c r="M51" s="118"/>
      <c r="N51" s="118"/>
      <c r="O51" s="75"/>
      <c r="P51" s="29"/>
      <c r="R51" s="29" t="s">
        <v>136</v>
      </c>
    </row>
    <row r="52" spans="1:18" ht="14" thickTop="1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</row>
    <row r="53" spans="1:18" s="29" customFormat="1"/>
    <row r="54" spans="1:18" s="29" customFormat="1"/>
    <row r="55" spans="1:18" s="29" customFormat="1"/>
    <row r="56" spans="1:18" s="29" customFormat="1"/>
    <row r="57" spans="1:18" s="29" customFormat="1"/>
    <row r="58" spans="1:18" s="29" customFormat="1">
      <c r="Q58" s="29" t="s">
        <v>114</v>
      </c>
    </row>
    <row r="59" spans="1:18" s="29" customFormat="1"/>
    <row r="60" spans="1:18" s="29" customFormat="1"/>
    <row r="61" spans="1:18" s="29" customFormat="1"/>
    <row r="62" spans="1:18" s="29" customFormat="1"/>
    <row r="63" spans="1:18" s="29" customFormat="1"/>
    <row r="64" spans="1:18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pans="12:13" s="29" customFormat="1"/>
    <row r="402" spans="12:13" s="29" customFormat="1"/>
    <row r="403" spans="12:13" s="29" customFormat="1"/>
    <row r="404" spans="12:13" s="29" customFormat="1"/>
    <row r="405" spans="12:13" s="29" customFormat="1"/>
    <row r="406" spans="12:13" s="29" customFormat="1"/>
    <row r="407" spans="12:13" s="29" customFormat="1"/>
    <row r="408" spans="12:13" s="29" customFormat="1"/>
    <row r="409" spans="12:13" s="29" customFormat="1"/>
    <row r="410" spans="12:13" s="29" customFormat="1"/>
    <row r="411" spans="12:13" s="29" customFormat="1"/>
    <row r="412" spans="12:13" s="29" customFormat="1"/>
    <row r="413" spans="12:13" s="29" customFormat="1">
      <c r="L413" s="121"/>
      <c r="M413" s="121"/>
    </row>
    <row r="414" spans="12:13" s="29" customFormat="1">
      <c r="L414" s="121"/>
      <c r="M414" s="121"/>
    </row>
    <row r="415" spans="12:13" s="29" customFormat="1">
      <c r="L415" s="121"/>
      <c r="M415" s="121"/>
    </row>
    <row r="416" spans="12:13" s="29" customFormat="1">
      <c r="L416" s="121"/>
      <c r="M416" s="121"/>
    </row>
    <row r="417" spans="12:29" s="29" customFormat="1">
      <c r="L417" s="121"/>
      <c r="M417" s="121"/>
    </row>
    <row r="418" spans="12:29" s="29" customFormat="1">
      <c r="L418" s="121"/>
      <c r="M418" s="121"/>
    </row>
    <row r="419" spans="12:29" s="29" customFormat="1">
      <c r="L419" s="121"/>
      <c r="M419" s="121"/>
    </row>
    <row r="420" spans="12:29" s="29" customFormat="1">
      <c r="L420" s="121"/>
      <c r="M420" s="121"/>
    </row>
    <row r="421" spans="12:29" s="29" customFormat="1">
      <c r="L421" s="121"/>
      <c r="M421" s="121"/>
    </row>
    <row r="422" spans="12:29" s="29" customFormat="1">
      <c r="L422" s="121"/>
      <c r="M422" s="121"/>
    </row>
    <row r="423" spans="12:29" s="29" customFormat="1">
      <c r="L423" s="121"/>
      <c r="M423" s="121"/>
    </row>
    <row r="424" spans="12:29" s="29" customFormat="1">
      <c r="L424" s="121"/>
      <c r="M424" s="121"/>
    </row>
    <row r="425" spans="12:29" s="29" customFormat="1">
      <c r="L425" s="121"/>
      <c r="M425" s="121"/>
    </row>
    <row r="426" spans="12:29" s="29" customFormat="1">
      <c r="L426" s="121"/>
      <c r="M426" s="121"/>
    </row>
    <row r="427" spans="12:29" s="29" customFormat="1">
      <c r="L427" s="121"/>
      <c r="M427" s="121"/>
    </row>
    <row r="428" spans="12:29" s="29" customFormat="1">
      <c r="L428" s="121"/>
      <c r="M428" s="121"/>
    </row>
    <row r="429" spans="12:29" s="29" customFormat="1">
      <c r="L429" s="121"/>
      <c r="M429" s="121"/>
    </row>
    <row r="430" spans="12:29" s="29" customFormat="1">
      <c r="L430" s="121"/>
      <c r="M430" s="121"/>
    </row>
    <row r="431" spans="12:29" s="29" customFormat="1">
      <c r="L431" s="121"/>
      <c r="M431" s="121"/>
      <c r="Y431" s="120"/>
      <c r="Z431" s="120"/>
      <c r="AA431" s="120"/>
      <c r="AC431" s="120"/>
    </row>
    <row r="432" spans="12:29" s="29" customFormat="1">
      <c r="L432" s="121"/>
      <c r="M432" s="121"/>
    </row>
    <row r="433" spans="12:13" s="29" customFormat="1">
      <c r="L433" s="121"/>
      <c r="M433" s="121"/>
    </row>
    <row r="434" spans="12:13" s="29" customFormat="1">
      <c r="L434" s="121"/>
      <c r="M434" s="121"/>
    </row>
    <row r="435" spans="12:13" s="29" customFormat="1">
      <c r="L435" s="121"/>
      <c r="M435" s="121"/>
    </row>
    <row r="436" spans="12:13" s="29" customFormat="1">
      <c r="L436" s="121"/>
      <c r="M436" s="121"/>
    </row>
    <row r="437" spans="12:13" s="29" customFormat="1">
      <c r="L437" s="121"/>
      <c r="M437" s="121"/>
    </row>
    <row r="438" spans="12:13" s="29" customFormat="1">
      <c r="L438" s="121"/>
      <c r="M438" s="121"/>
    </row>
    <row r="439" spans="12:13" s="29" customFormat="1">
      <c r="L439" s="121"/>
      <c r="M439" s="121"/>
    </row>
    <row r="440" spans="12:13" s="29" customFormat="1">
      <c r="L440" s="121"/>
      <c r="M440" s="121"/>
    </row>
    <row r="441" spans="12:13" s="29" customFormat="1">
      <c r="L441" s="121"/>
      <c r="M441" s="121"/>
    </row>
    <row r="442" spans="12:13" s="29" customFormat="1">
      <c r="L442" s="121"/>
      <c r="M442" s="121"/>
    </row>
    <row r="443" spans="12:13" s="29" customFormat="1">
      <c r="L443" s="121"/>
      <c r="M443" s="121"/>
    </row>
    <row r="444" spans="12:13" s="29" customFormat="1">
      <c r="L444" s="121"/>
      <c r="M444" s="121"/>
    </row>
    <row r="445" spans="12:13" s="29" customFormat="1">
      <c r="L445" s="121"/>
      <c r="M445" s="121"/>
    </row>
    <row r="446" spans="12:13" s="29" customFormat="1">
      <c r="L446" s="121"/>
      <c r="M446" s="121"/>
    </row>
    <row r="447" spans="12:13" s="29" customFormat="1">
      <c r="L447" s="121"/>
      <c r="M447" s="121"/>
    </row>
    <row r="448" spans="12:13" s="29" customFormat="1">
      <c r="L448" s="121"/>
      <c r="M448" s="121"/>
    </row>
    <row r="449" spans="12:13" s="29" customFormat="1">
      <c r="L449" s="121"/>
      <c r="M449" s="121"/>
    </row>
    <row r="450" spans="12:13" s="29" customFormat="1">
      <c r="L450" s="121"/>
      <c r="M450" s="121"/>
    </row>
    <row r="451" spans="12:13" s="29" customFormat="1">
      <c r="L451" s="121"/>
      <c r="M451" s="121"/>
    </row>
    <row r="452" spans="12:13" s="29" customFormat="1">
      <c r="L452" s="121"/>
      <c r="M452" s="121"/>
    </row>
    <row r="453" spans="12:13" s="29" customFormat="1">
      <c r="L453" s="121"/>
      <c r="M453" s="121"/>
    </row>
    <row r="454" spans="12:13" s="29" customFormat="1">
      <c r="L454" s="121"/>
      <c r="M454" s="121"/>
    </row>
    <row r="455" spans="12:13" s="29" customFormat="1">
      <c r="L455" s="121"/>
      <c r="M455" s="121"/>
    </row>
    <row r="456" spans="12:13" s="29" customFormat="1">
      <c r="L456" s="121"/>
      <c r="M456" s="121"/>
    </row>
    <row r="457" spans="12:13" s="29" customFormat="1">
      <c r="L457" s="121"/>
      <c r="M457" s="121"/>
    </row>
    <row r="458" spans="12:13" s="29" customFormat="1">
      <c r="L458" s="121"/>
      <c r="M458" s="121"/>
    </row>
    <row r="459" spans="12:13" s="29" customFormat="1">
      <c r="L459" s="121"/>
      <c r="M459" s="121"/>
    </row>
    <row r="460" spans="12:13" s="29" customFormat="1">
      <c r="L460" s="121"/>
      <c r="M460" s="121"/>
    </row>
    <row r="461" spans="12:13" s="29" customFormat="1">
      <c r="L461" s="121"/>
      <c r="M461" s="121"/>
    </row>
    <row r="462" spans="12:13" s="29" customFormat="1">
      <c r="L462" s="121"/>
      <c r="M462" s="121"/>
    </row>
    <row r="463" spans="12:13" s="29" customFormat="1">
      <c r="L463" s="121"/>
      <c r="M463" s="121"/>
    </row>
    <row r="464" spans="12:13" s="29" customFormat="1">
      <c r="L464" s="121"/>
      <c r="M464" s="121"/>
    </row>
    <row r="465" spans="12:13" s="29" customFormat="1">
      <c r="L465" s="121"/>
      <c r="M465" s="121"/>
    </row>
    <row r="466" spans="12:13" s="29" customFormat="1">
      <c r="L466" s="121"/>
      <c r="M466" s="121"/>
    </row>
    <row r="467" spans="12:13" s="29" customFormat="1">
      <c r="L467" s="121"/>
      <c r="M467" s="121"/>
    </row>
    <row r="468" spans="12:13" s="29" customFormat="1">
      <c r="L468" s="121"/>
      <c r="M468" s="121"/>
    </row>
    <row r="469" spans="12:13" s="29" customFormat="1">
      <c r="L469" s="121"/>
      <c r="M469" s="121"/>
    </row>
    <row r="470" spans="12:13" s="29" customFormat="1">
      <c r="L470" s="121"/>
      <c r="M470" s="121"/>
    </row>
    <row r="471" spans="12:13" s="29" customFormat="1">
      <c r="L471" s="121"/>
      <c r="M471" s="121"/>
    </row>
    <row r="472" spans="12:13" s="29" customFormat="1">
      <c r="L472" s="121"/>
      <c r="M472" s="121"/>
    </row>
    <row r="473" spans="12:13" s="29" customFormat="1">
      <c r="L473" s="121"/>
      <c r="M473" s="121"/>
    </row>
    <row r="474" spans="12:13" s="29" customFormat="1">
      <c r="L474" s="121"/>
      <c r="M474" s="121"/>
    </row>
    <row r="475" spans="12:13" s="29" customFormat="1">
      <c r="L475" s="121"/>
      <c r="M475" s="121"/>
    </row>
    <row r="476" spans="12:13" s="29" customFormat="1">
      <c r="L476" s="121"/>
      <c r="M476" s="121"/>
    </row>
    <row r="477" spans="12:13" s="29" customFormat="1">
      <c r="L477" s="121"/>
      <c r="M477" s="121"/>
    </row>
    <row r="478" spans="12:13" s="29" customFormat="1">
      <c r="L478" s="121"/>
      <c r="M478" s="121"/>
    </row>
    <row r="479" spans="12:13" s="29" customFormat="1">
      <c r="L479" s="121"/>
      <c r="M479" s="121"/>
    </row>
    <row r="480" spans="12:13" s="29" customFormat="1">
      <c r="L480" s="121"/>
      <c r="M480" s="121"/>
    </row>
    <row r="481" spans="12:13" s="29" customFormat="1">
      <c r="L481" s="121"/>
      <c r="M481" s="121"/>
    </row>
    <row r="482" spans="12:13" s="29" customFormat="1">
      <c r="L482" s="121"/>
      <c r="M482" s="121"/>
    </row>
    <row r="483" spans="12:13" s="29" customFormat="1">
      <c r="L483" s="121"/>
      <c r="M483" s="121"/>
    </row>
    <row r="484" spans="12:13" s="29" customFormat="1">
      <c r="L484" s="121"/>
      <c r="M484" s="121"/>
    </row>
    <row r="485" spans="12:13" s="29" customFormat="1">
      <c r="L485" s="121"/>
      <c r="M485" s="121"/>
    </row>
    <row r="486" spans="12:13" s="29" customFormat="1">
      <c r="L486" s="121"/>
      <c r="M486" s="121"/>
    </row>
    <row r="487" spans="12:13" s="29" customFormat="1">
      <c r="L487" s="121"/>
      <c r="M487" s="121"/>
    </row>
    <row r="488" spans="12:13" s="29" customFormat="1">
      <c r="L488" s="121"/>
      <c r="M488" s="121"/>
    </row>
    <row r="489" spans="12:13" s="29" customFormat="1">
      <c r="L489" s="121"/>
      <c r="M489" s="121"/>
    </row>
    <row r="490" spans="12:13" s="29" customFormat="1">
      <c r="L490" s="121"/>
      <c r="M490" s="121"/>
    </row>
    <row r="491" spans="12:13" s="29" customFormat="1">
      <c r="L491" s="121"/>
      <c r="M491" s="121"/>
    </row>
    <row r="492" spans="12:13" s="29" customFormat="1">
      <c r="L492" s="121"/>
      <c r="M492" s="121"/>
    </row>
    <row r="493" spans="12:13" s="29" customFormat="1">
      <c r="L493" s="121"/>
      <c r="M493" s="121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6">
    <mergeCell ref="C1:O1"/>
    <mergeCell ref="D46:N46"/>
    <mergeCell ref="D50:F50"/>
    <mergeCell ref="D34:N34"/>
    <mergeCell ref="D4:E4"/>
    <mergeCell ref="D12:N12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79"/>
  <sheetViews>
    <sheetView workbookViewId="0">
      <selection activeCell="E20" sqref="E20"/>
    </sheetView>
    <sheetView tabSelected="1" workbookViewId="1">
      <selection activeCell="A2" sqref="A2:H14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9"/>
  </cols>
  <sheetData>
    <row r="1" spans="1:17" ht="15" customHeight="1">
      <c r="A1" t="s">
        <v>318</v>
      </c>
      <c r="B1" t="s">
        <v>57</v>
      </c>
      <c r="C1" t="s">
        <v>64</v>
      </c>
      <c r="D1" t="s">
        <v>259</v>
      </c>
      <c r="E1" t="s">
        <v>65</v>
      </c>
      <c r="F1" t="s">
        <v>315</v>
      </c>
      <c r="G1" t="s">
        <v>234</v>
      </c>
      <c r="H1" t="s">
        <v>66</v>
      </c>
      <c r="I1" t="s">
        <v>67</v>
      </c>
      <c r="J1" t="s">
        <v>297</v>
      </c>
      <c r="K1" t="s">
        <v>298</v>
      </c>
      <c r="L1" t="s">
        <v>299</v>
      </c>
      <c r="M1" t="s">
        <v>125</v>
      </c>
      <c r="N1" t="s">
        <v>300</v>
      </c>
      <c r="O1" t="s">
        <v>301</v>
      </c>
      <c r="P1" t="s">
        <v>313</v>
      </c>
      <c r="Q1" t="s">
        <v>316</v>
      </c>
    </row>
    <row r="2" spans="1:17" s="29" customFormat="1">
      <c r="A2" s="166"/>
      <c r="B2"/>
      <c r="C2"/>
      <c r="D2"/>
      <c r="E2"/>
      <c r="F2"/>
      <c r="G2"/>
      <c r="H2"/>
      <c r="I2" s="171"/>
      <c r="J2"/>
      <c r="K2"/>
      <c r="L2" s="170"/>
      <c r="M2"/>
      <c r="N2"/>
      <c r="O2"/>
      <c r="P2"/>
      <c r="Q2"/>
    </row>
    <row r="3" spans="1:17" s="29" customFormat="1"/>
    <row r="4" spans="1:17" s="29" customFormat="1"/>
    <row r="5" spans="1:17" s="29" customFormat="1"/>
    <row r="6" spans="1:17" s="29" customFormat="1"/>
    <row r="7" spans="1:17" s="29" customFormat="1"/>
    <row r="8" spans="1:17" s="29" customFormat="1"/>
    <row r="9" spans="1:17" s="29" customFormat="1"/>
    <row r="10" spans="1:17" s="29" customFormat="1"/>
    <row r="11" spans="1:17" s="29" customFormat="1"/>
    <row r="12" spans="1:17" s="29" customFormat="1"/>
    <row r="13" spans="1:17" s="29" customFormat="1"/>
    <row r="14" spans="1:17" s="29" customFormat="1"/>
    <row r="15" spans="1:17" s="29" customFormat="1"/>
    <row r="16" spans="1:17" s="29" customFormat="1"/>
    <row r="17" s="29" customFormat="1"/>
    <row r="18" s="29" customFormat="1"/>
    <row r="19" s="29" customFormat="1"/>
    <row r="20" s="29" customFormat="1"/>
    <row r="21" s="29" customFormat="1"/>
    <row r="22" s="29" customFormat="1"/>
    <row r="23" s="29" customFormat="1"/>
    <row r="24" s="29" customFormat="1"/>
    <row r="25" s="29" customFormat="1"/>
    <row r="26" s="29" customFormat="1"/>
    <row r="27" s="29" customFormat="1"/>
    <row r="28" s="29" customFormat="1"/>
    <row r="29" s="29" customFormat="1"/>
    <row r="30" s="29" customFormat="1"/>
    <row r="31" s="29" customFormat="1"/>
    <row r="32" s="29" customFormat="1"/>
    <row r="33" s="29" customFormat="1"/>
    <row r="34" s="29" customFormat="1"/>
    <row r="35" s="29" customFormat="1"/>
    <row r="36" s="29" customFormat="1"/>
    <row r="37" s="29" customFormat="1"/>
    <row r="38" s="29" customFormat="1"/>
    <row r="39" s="29" customFormat="1"/>
    <row r="40" s="29" customFormat="1"/>
    <row r="41" s="29" customFormat="1"/>
    <row r="42" s="29" customFormat="1"/>
    <row r="43" s="29" customFormat="1"/>
    <row r="44" s="29" customFormat="1"/>
    <row r="45" s="29" customFormat="1"/>
    <row r="46" s="29" customFormat="1"/>
    <row r="47" s="29" customFormat="1"/>
    <row r="48" s="29" customFormat="1"/>
    <row r="49" s="29" customFormat="1"/>
    <row r="50" s="29" customFormat="1"/>
    <row r="51" s="29" customFormat="1"/>
    <row r="52" s="29" customFormat="1"/>
    <row r="53" s="29" customFormat="1"/>
    <row r="54" s="29" customFormat="1"/>
    <row r="55" s="29" customFormat="1"/>
    <row r="56" s="29" customFormat="1"/>
    <row r="57" s="29" customFormat="1"/>
    <row r="58" s="29" customFormat="1"/>
    <row r="59" s="29" customFormat="1"/>
    <row r="60" s="29" customFormat="1"/>
    <row r="61" s="29" customFormat="1"/>
    <row r="62" s="29" customFormat="1"/>
    <row r="63" s="29" customFormat="1"/>
    <row r="6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pans="1:17" s="29" customFormat="1"/>
    <row r="82" spans="1:17" s="29" customFormat="1"/>
    <row r="83" spans="1:17" s="29" customFormat="1"/>
    <row r="84" spans="1:17" s="29" customFormat="1"/>
    <row r="85" spans="1:17" s="29" customFormat="1"/>
    <row r="86" spans="1:17" s="29" customFormat="1"/>
    <row r="87" spans="1:17" s="29" customFormat="1"/>
    <row r="88" spans="1:17" s="29" customFormat="1"/>
    <row r="89" spans="1:17" s="29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9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9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9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9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9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9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9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9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9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9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9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9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9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9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9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9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9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9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9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9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9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9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9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9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9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9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9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9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9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9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9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9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9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9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9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9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9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9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9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9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9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9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9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9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9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9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9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9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9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9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9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9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9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9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9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9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9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9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9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9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9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9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9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9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9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9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9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9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9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9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9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9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9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9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9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9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9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9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9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9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9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9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9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9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9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9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9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9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9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9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9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9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9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9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9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9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9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9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9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9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9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9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9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9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9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9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9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9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9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9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9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9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9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9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9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9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9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9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9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9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9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9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9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9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9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9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9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9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9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9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9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9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9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9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9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9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9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9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9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9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9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9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9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9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9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9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9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9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9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9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9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9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9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9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9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9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9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9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9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9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9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9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9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9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9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9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9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9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9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9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9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9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9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9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9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9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9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9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9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9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9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9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9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9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9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9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9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9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9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9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9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9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9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9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9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9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9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9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9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9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9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9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9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9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9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9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9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9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9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9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9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9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9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9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9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9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9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9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9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9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9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9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9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9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9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9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9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9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9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9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9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9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9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9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9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9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9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9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9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9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9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9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9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9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9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9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9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9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9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9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9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9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9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9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9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9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9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9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9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9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9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9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9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9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9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9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9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9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9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9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9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9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9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9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9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9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9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9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9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9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9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9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9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9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9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9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9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9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9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9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9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9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9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9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9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9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9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9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9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9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9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9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9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9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9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9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9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9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9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9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9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9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9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9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9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9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9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9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9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9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9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9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9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9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9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9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9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9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9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9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9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9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9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9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9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9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9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9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9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9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9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9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9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9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9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9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9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9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9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9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9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9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9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9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9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9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9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9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9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9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9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9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9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9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9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9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9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9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9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9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9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9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9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9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9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9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9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9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9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9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9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9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9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9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9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9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9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9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9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9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9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9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9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9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9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9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9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9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9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9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9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9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9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9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9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9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9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9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9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9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9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9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9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9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9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9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9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9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9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9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9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9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9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9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9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9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9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9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9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9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9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9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9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9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9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9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9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9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9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9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9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9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9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9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9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9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9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9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9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9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9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9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9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9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s="29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s="29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s="29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s="29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s="29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s="29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s="29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s="29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s="29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9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9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9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9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9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9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s="29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s="29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s="29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s="29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s="29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s="29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s="29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s="29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s="29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s="29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s="29" customFormat="1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s="29" customFormat="1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s="29" customFormat="1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s="29" customFormat="1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s="29" customFormat="1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s="29" customFormat="1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s="29" customFormat="1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s="29" customFormat="1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s="29" customFormat="1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s="29" customFormat="1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s="29" customFormat="1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403B7AAD-2A7B-CF4E-82D7-A5A0D911B2EA}">
      <formula1>LISTE_MT_JOURNAL</formula1>
    </dataValidation>
    <dataValidation type="list" allowBlank="1" showErrorMessage="1" sqref="C2" xr:uid="{BDA69BD0-CCA8-0247-9BAC-0DBC80762E9A}">
      <formula1>LISTE_JOUEURS_JOURNAL</formula1>
    </dataValidation>
    <dataValidation type="list" allowBlank="1" showErrorMessage="1" sqref="E2" xr:uid="{2CDC3124-FAEE-4E49-A654-F13342A55623}">
      <formula1>LISTE_ACTIONS_JOURNAL</formula1>
    </dataValidation>
    <dataValidation type="list" allowBlank="1" showErrorMessage="1" sqref="G2" xr:uid="{B3CAAE9E-DEDB-904F-A3F3-FF61314CCE62}">
      <formula1>LISTE_EQUIPES_JOURNAL</formula1>
    </dataValidation>
    <dataValidation type="list" allowBlank="1" showErrorMessage="1" sqref="F2" xr:uid="{B252B2D6-6682-6D4F-A890-EE1F1442837F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E1053"/>
  <sheetViews>
    <sheetView zoomScale="42" zoomScaleNormal="42" workbookViewId="0">
      <selection activeCell="R73" sqref="R73"/>
    </sheetView>
    <sheetView workbookViewId="1"/>
  </sheetViews>
  <sheetFormatPr baseColWidth="10" defaultRowHeight="13"/>
  <cols>
    <col min="1" max="1" width="12.83203125" style="29" customWidth="1"/>
    <col min="2" max="2" width="12.332031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5" max="16" width="10.83203125" style="29"/>
    <col min="17" max="17" width="12.33203125" style="29" bestFit="1" customWidth="1"/>
    <col min="18" max="18" width="13.83203125" style="29" bestFit="1" customWidth="1"/>
    <col min="19" max="24" width="10.83203125" style="29"/>
    <col min="25" max="25" width="15.6640625" style="29" customWidth="1"/>
    <col min="26" max="27" width="10.83203125" style="29"/>
  </cols>
  <sheetData>
    <row r="1" spans="2:31" s="29" customFormat="1"/>
    <row r="2" spans="2:31" s="29" customFormat="1"/>
    <row r="3" spans="2:31" s="29" customFormat="1">
      <c r="B3" s="222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PF8eme : MXV / Rabastens-Coufouleux Première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4"/>
    </row>
    <row r="4" spans="2:31" s="29" customFormat="1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6"/>
      <c r="N4" s="227"/>
    </row>
    <row r="5" spans="2:31" s="29" customFormat="1"/>
    <row r="6" spans="2:31" ht="14" customHeight="1">
      <c r="B6" s="207" t="s">
        <v>64</v>
      </c>
      <c r="C6" s="209" t="str">
        <f>ACT_PL_NORMAL</f>
        <v>Plaquage normal</v>
      </c>
      <c r="D6" s="210"/>
      <c r="E6" s="209" t="str">
        <f>ACT_PL_OFF</f>
        <v>Plaquage offensif</v>
      </c>
      <c r="F6" s="210"/>
      <c r="G6" s="209" t="str">
        <f>ACT_PL_RATE</f>
        <v>Plaquage raté</v>
      </c>
      <c r="H6" s="210"/>
      <c r="I6" s="209" t="str">
        <f>ACT_PL_A2</f>
        <v>Plaquage à 2</v>
      </c>
      <c r="J6" s="215"/>
      <c r="K6" s="215" t="str">
        <f>ACT_PL_HAUT</f>
        <v>Plaquage haut</v>
      </c>
      <c r="L6" s="210"/>
      <c r="M6" s="215" t="str">
        <f>ACT_GRATTAGE</f>
        <v>Grattage</v>
      </c>
      <c r="N6" s="210"/>
      <c r="O6" s="217" t="s">
        <v>339</v>
      </c>
      <c r="P6" s="218"/>
      <c r="Q6" s="218"/>
      <c r="R6" s="218"/>
      <c r="S6" s="218"/>
      <c r="T6" s="219"/>
      <c r="Z6"/>
      <c r="AA6"/>
    </row>
    <row r="7" spans="2:31" ht="13" customHeight="1">
      <c r="B7" s="208"/>
      <c r="C7" s="123" t="s">
        <v>116</v>
      </c>
      <c r="D7" s="124" t="s">
        <v>113</v>
      </c>
      <c r="E7" s="125" t="s">
        <v>116</v>
      </c>
      <c r="F7" s="125" t="s">
        <v>113</v>
      </c>
      <c r="G7" s="123" t="s">
        <v>116</v>
      </c>
      <c r="H7" s="124" t="s">
        <v>113</v>
      </c>
      <c r="I7" s="123" t="s">
        <v>116</v>
      </c>
      <c r="J7" s="124" t="s">
        <v>113</v>
      </c>
      <c r="K7" s="123" t="s">
        <v>116</v>
      </c>
      <c r="L7" s="124" t="s">
        <v>113</v>
      </c>
      <c r="M7" s="125" t="s">
        <v>116</v>
      </c>
      <c r="N7" s="124" t="s">
        <v>113</v>
      </c>
      <c r="O7" s="141" t="str">
        <f>ACT_PEN_MAUL</f>
        <v>Maul</v>
      </c>
      <c r="P7" s="141" t="str">
        <f>ACT_PEN_HORS_JEU</f>
        <v>Hors-jeu</v>
      </c>
      <c r="Q7" s="141" t="str">
        <f>ACT_PEN_PL_A_2</f>
        <v>Plaquage à 2</v>
      </c>
      <c r="R7" s="141" t="str">
        <f>ACT_PEN_PL_HAUT</f>
        <v>Plaquage haut</v>
      </c>
      <c r="S7" s="141" t="str">
        <f>ACT_PEN_RUCK</f>
        <v>Ruck</v>
      </c>
      <c r="T7" s="141" t="str">
        <f>ACT_PEN_UNKNOWN</f>
        <v>?</v>
      </c>
      <c r="Z7"/>
      <c r="AA7"/>
    </row>
    <row r="8" spans="2:31">
      <c r="B8" s="92" t="e" cm="1" vm="1">
        <f t="array" ref="B8">_xlfn._xlws.SORT(_xlfn._xlws.FILTER(COMPO[Nom du joueur],(COMPO[Nom du joueur]&lt;&gt;"")*(COMPO[Nom du joueur]&lt;&gt;"Collectif")*(COMPO[Nom du joueur]&lt;&gt;"?")))</f>
        <v>#VALUE!</v>
      </c>
      <c r="C8" s="97" t="str">
        <f>IF(COUNTIFS(JournalActions[Joueur],$B8,JournalActions[Action],$C$6,JournalActions[Mi-temps],C$7)=0,"",COUNTIFS(JournalActions[Joueur],$B8,JournalActions[Action],$C$6,JournalActions[Mi-temps],C$7))</f>
        <v/>
      </c>
      <c r="D8" s="98" t="str">
        <f>IF(COUNTIFS(JournalActions[Joueur],$B8,JournalActions[Action],$C$6,JournalActions[Mi-temps],D$7)=0,"",COUNTIFS(JournalActions[Joueur],$B8,JournalActions[Action],$C$6,JournalActions[Mi-temps],D$7))</f>
        <v/>
      </c>
      <c r="E8" s="97" t="str">
        <f>IF(COUNTIFS(JournalActions[Joueur],$B8,JournalActions[Action],$E$6,JournalActions[Mi-temps],E$7)=0,"",COUNTIFS(JournalActions[Joueur],$B8,JournalActions[Action],$E$6,JournalActions[Mi-temps],E$7))</f>
        <v/>
      </c>
      <c r="F8" s="99" t="str">
        <f>IF(COUNTIFS(JournalActions[Joueur],$B8,JournalActions[Action],$E$6,JournalActions[Mi-temps],F$7)=0,"",COUNTIFS(JournalActions[Joueur],$B8,JournalActions[Action],$E$6,JournalActions[Mi-temps],F$7))</f>
        <v/>
      </c>
      <c r="G8" s="97" t="str">
        <f>IF(COUNTIFS(JournalActions[Joueur],$B8,JournalActions[Action],$G$6,JournalActions[Mi-temps],G$7)=0,"",COUNTIFS(JournalActions[Joueur],$B8,JournalActions[Action],$G$6,JournalActions[Mi-temps],G$7))</f>
        <v/>
      </c>
      <c r="H8" s="98" t="str">
        <f>IF(COUNTIFS(JournalActions[Joueur],$B8,JournalActions[Action],$G$6,JournalActions[Mi-temps],H$7)=0,"",COUNTIFS(JournalActions[Joueur],$B8,JournalActions[Action],$G$6,JournalActions[Mi-temps],H$7))</f>
        <v/>
      </c>
      <c r="I8" s="97" t="str">
        <f>IF(COUNTIFS(JournalActions[Joueur],$B8,JournalActions[Action],$I$6,JournalActions[Mi-temps],I$7)=0,"",COUNTIFS(JournalActions[Joueur],$B8,JournalActions[Action],$I$6,JournalActions[Mi-temps],I$7))</f>
        <v/>
      </c>
      <c r="J8" s="98" t="str">
        <f>IF(COUNTIFS(JournalActions[Joueur],$B8,JournalActions[Action],$I$6,JournalActions[Mi-temps],J$7)=0,"",COUNTIFS(JournalActions[Joueur],$B8,JournalActions[Action],$I$6,JournalActions[Mi-temps],J$7))</f>
        <v/>
      </c>
      <c r="K8" s="97" t="str">
        <f>IF(COUNTIFS(JournalActions[Joueur],$B8,JournalActions[Action],$K$6,JournalActions[Mi-temps],K$7)=0,"",COUNTIFS(JournalActions[Joueur],$B8,JournalActions[Action],$K$6,JournalActions[Mi-temps],K$7))</f>
        <v/>
      </c>
      <c r="L8" s="98" t="str">
        <f>IF(COUNTIFS(JournalActions[Joueur],$B8,JournalActions[Action],$K$6,JournalActions[Mi-temps],L$7)=0,"",COUNTIFS(JournalActions[Joueur],$B8,JournalActions[Action],$K$6,JournalActions[Mi-temps],L$7))</f>
        <v/>
      </c>
      <c r="M8" s="97" t="str">
        <f>IF(COUNTIFS(JournalActions[Joueur],$B8,JournalActions[Action],$M$6,JournalActions[Mi-temps],M$7)=0,"",COUNTIFS(JournalActions[Joueur],$B8,JournalActions[Action],$M$6,JournalActions[Mi-temps],M$7))</f>
        <v/>
      </c>
      <c r="N8" s="98" t="str">
        <f>IF(COUNTIFS(JournalActions[Joueur],$B8,JournalActions[Action],$M$6,JournalActions[Mi-temps],N$7)=0,"",COUNTIFS(JournalActions[Joueur],$B8,JournalActions[Action],$M$6,JournalActions[Mi-temps],N$7))</f>
        <v/>
      </c>
      <c r="O8" s="135" t="str">
        <f>IF(COUNTIFS(JournalActions[Joueur],$B8,JournalActions[Action],ACT_PEN_CONTRE_NOUS,JournalActions[Motif penalite],O$7)=0,"",COUNTIFS(JournalActions[Joueur],$B8,JournalActions[Action],ACT_PEN_CONTRE_NOUS,JournalActions[Motif penalite],O$7))</f>
        <v/>
      </c>
      <c r="P8" s="135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Q8" s="135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R8" s="135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S8" s="135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T8" s="135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Z8"/>
      <c r="AA8"/>
    </row>
    <row r="9" spans="2:31">
      <c r="B9" s="92"/>
      <c r="C9" s="92" t="str">
        <f>IF(COUNTIFS(JournalActions[Joueur],$B9,JournalActions[Action],$C$6,JournalActions[Mi-temps],C$7)=0,"",COUNTIFS(JournalActions[Joueur],$B9,JournalActions[Action],$C$6,JournalActions[Mi-temps],C$7))</f>
        <v/>
      </c>
      <c r="D9" s="93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92" t="str">
        <f>IF(COUNTIFS(JournalActions[Joueur],$B9,JournalActions[Action],$G$6,JournalActions[Mi-temps],G$7)=0,"",COUNTIFS(JournalActions[Joueur],$B9,JournalActions[Action],$G$6,JournalActions[Mi-temps],G$7))</f>
        <v/>
      </c>
      <c r="H9" s="93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92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92" t="str">
        <f>IF(COUNTIFS(JournalActions[Joueur],$B9,JournalActions[Action],$M$6,JournalActions[Mi-temps],M$7)=0,"",COUNTIFS(JournalActions[Joueur],$B9,JournalActions[Action],$M$6,JournalActions[Mi-temps],M$7))</f>
        <v/>
      </c>
      <c r="N9" s="93" t="str">
        <f>IF(COUNTIFS(JournalActions[Joueur],$B9,JournalActions[Action],$M$6,JournalActions[Mi-temps],N$7)=0,"",COUNTIFS(JournalActions[Joueur],$B9,JournalActions[Action],$M$6,JournalActions[Mi-temps],N$7))</f>
        <v/>
      </c>
      <c r="O9" s="142" t="str">
        <f>IF(COUNTIFS(JournalActions[Joueur],$B9,JournalActions[Action],ACT_PEN_CONTRE_NOUS,JournalActions[Motif penalite],O$7)=0,"",COUNTIFS(JournalActions[Joueur],$B9,JournalActions[Action],ACT_PEN_CONTRE_NOUS,JournalActions[Motif penalite],O$7))</f>
        <v/>
      </c>
      <c r="P9" s="142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Q9" s="142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R9" s="142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S9" s="142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T9" s="142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Z9"/>
      <c r="AA9"/>
    </row>
    <row r="10" spans="2:31">
      <c r="B10" s="92"/>
      <c r="C10" s="92" t="str">
        <f>IF(COUNTIFS(JournalActions[Joueur],$B10,JournalActions[Action],$C$6,JournalActions[Mi-temps],C$7)=0,"",COUNTIFS(JournalActions[Joueur],$B10,JournalActions[Action],$C$6,JournalActions[Mi-temps],C$7))</f>
        <v/>
      </c>
      <c r="D10" s="93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92" t="str">
        <f>IF(COUNTIFS(JournalActions[Joueur],$B10,JournalActions[Action],$G$6,JournalActions[Mi-temps],G$7)=0,"",COUNTIFS(JournalActions[Joueur],$B10,JournalActions[Action],$G$6,JournalActions[Mi-temps],G$7))</f>
        <v/>
      </c>
      <c r="H10" s="93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92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92" t="str">
        <f>IF(COUNTIFS(JournalActions[Joueur],$B10,JournalActions[Action],$M$6,JournalActions[Mi-temps],M$7)=0,"",COUNTIFS(JournalActions[Joueur],$B10,JournalActions[Action],$M$6,JournalActions[Mi-temps],M$7))</f>
        <v/>
      </c>
      <c r="N10" s="93" t="str">
        <f>IF(COUNTIFS(JournalActions[Joueur],$B10,JournalActions[Action],$M$6,JournalActions[Mi-temps],N$7)=0,"",COUNTIFS(JournalActions[Joueur],$B10,JournalActions[Action],$M$6,JournalActions[Mi-temps],N$7))</f>
        <v/>
      </c>
      <c r="O10" s="142" t="str">
        <f>IF(COUNTIFS(JournalActions[Joueur],$B10,JournalActions[Action],ACT_PEN_CONTRE_NOUS,JournalActions[Motif penalite],O$7)=0,"",COUNTIFS(JournalActions[Joueur],$B10,JournalActions[Action],ACT_PEN_CONTRE_NOUS,JournalActions[Motif penalite],O$7))</f>
        <v/>
      </c>
      <c r="P10" s="142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Q10" s="142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R10" s="142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S10" s="142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T10" s="142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Z10"/>
      <c r="AA10"/>
    </row>
    <row r="11" spans="2:31">
      <c r="B11" s="92"/>
      <c r="C11" s="92" t="str">
        <f>IF(COUNTIFS(JournalActions[Joueur],$B11,JournalActions[Action],$C$6,JournalActions[Mi-temps],C$7)=0,"",COUNTIFS(JournalActions[Joueur],$B11,JournalActions[Action],$C$6,JournalActions[Mi-temps],C$7))</f>
        <v/>
      </c>
      <c r="D11" s="93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92" t="str">
        <f>IF(COUNTIFS(JournalActions[Joueur],$B11,JournalActions[Action],$G$6,JournalActions[Mi-temps],G$7)=0,"",COUNTIFS(JournalActions[Joueur],$B11,JournalActions[Action],$G$6,JournalActions[Mi-temps],G$7))</f>
        <v/>
      </c>
      <c r="H11" s="93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92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92" t="str">
        <f>IF(COUNTIFS(JournalActions[Joueur],$B11,JournalActions[Action],$M$6,JournalActions[Mi-temps],M$7)=0,"",COUNTIFS(JournalActions[Joueur],$B11,JournalActions[Action],$M$6,JournalActions[Mi-temps],M$7))</f>
        <v/>
      </c>
      <c r="N11" s="93" t="str">
        <f>IF(COUNTIFS(JournalActions[Joueur],$B11,JournalActions[Action],$M$6,JournalActions[Mi-temps],N$7)=0,"",COUNTIFS(JournalActions[Joueur],$B11,JournalActions[Action],$M$6,JournalActions[Mi-temps],N$7))</f>
        <v/>
      </c>
      <c r="O11" s="142" t="str">
        <f>IF(COUNTIFS(JournalActions[Joueur],$B11,JournalActions[Action],ACT_PEN_CONTRE_NOUS,JournalActions[Motif penalite],O$7)=0,"",COUNTIFS(JournalActions[Joueur],$B11,JournalActions[Action],ACT_PEN_CONTRE_NOUS,JournalActions[Motif penalite],O$7))</f>
        <v/>
      </c>
      <c r="P11" s="142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Q11" s="142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R11" s="142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S11" s="142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T11" s="142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Z11"/>
      <c r="AA11"/>
    </row>
    <row r="12" spans="2:31">
      <c r="B12" s="92"/>
      <c r="C12" s="92" t="str">
        <f>IF(COUNTIFS(JournalActions[Joueur],$B12,JournalActions[Action],$C$6,JournalActions[Mi-temps],C$7)=0,"",COUNTIFS(JournalActions[Joueur],$B12,JournalActions[Action],$C$6,JournalActions[Mi-temps],C$7))</f>
        <v/>
      </c>
      <c r="D12" s="93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92" t="str">
        <f>IF(COUNTIFS(JournalActions[Joueur],$B12,JournalActions[Action],$G$6,JournalActions[Mi-temps],G$7)=0,"",COUNTIFS(JournalActions[Joueur],$B12,JournalActions[Action],$G$6,JournalActions[Mi-temps],G$7))</f>
        <v/>
      </c>
      <c r="H12" s="93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92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92" t="str">
        <f>IF(COUNTIFS(JournalActions[Joueur],$B12,JournalActions[Action],$M$6,JournalActions[Mi-temps],M$7)=0,"",COUNTIFS(JournalActions[Joueur],$B12,JournalActions[Action],$M$6,JournalActions[Mi-temps],M$7))</f>
        <v/>
      </c>
      <c r="N12" s="93" t="str">
        <f>IF(COUNTIFS(JournalActions[Joueur],$B12,JournalActions[Action],$M$6,JournalActions[Mi-temps],N$7)=0,"",COUNTIFS(JournalActions[Joueur],$B12,JournalActions[Action],$M$6,JournalActions[Mi-temps],N$7))</f>
        <v/>
      </c>
      <c r="O12" s="142" t="str">
        <f>IF(COUNTIFS(JournalActions[Joueur],$B12,JournalActions[Action],ACT_PEN_CONTRE_NOUS,JournalActions[Motif penalite],O$7)=0,"",COUNTIFS(JournalActions[Joueur],$B12,JournalActions[Action],ACT_PEN_CONTRE_NOUS,JournalActions[Motif penalite],O$7))</f>
        <v/>
      </c>
      <c r="P12" s="142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Q12" s="142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R12" s="142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S12" s="142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T12" s="142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Z12"/>
      <c r="AA12"/>
    </row>
    <row r="13" spans="2:31">
      <c r="B13" s="92"/>
      <c r="C13" s="92" t="str">
        <f>IF(COUNTIFS(JournalActions[Joueur],$B13,JournalActions[Action],$C$6,JournalActions[Mi-temps],C$7)=0,"",COUNTIFS(JournalActions[Joueur],$B13,JournalActions[Action],$C$6,JournalActions[Mi-temps],C$7))</f>
        <v/>
      </c>
      <c r="D13" s="93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92" t="str">
        <f>IF(COUNTIFS(JournalActions[Joueur],$B13,JournalActions[Action],$G$6,JournalActions[Mi-temps],G$7)=0,"",COUNTIFS(JournalActions[Joueur],$B13,JournalActions[Action],$G$6,JournalActions[Mi-temps],G$7))</f>
        <v/>
      </c>
      <c r="H13" s="93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92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92" t="str">
        <f>IF(COUNTIFS(JournalActions[Joueur],$B13,JournalActions[Action],$M$6,JournalActions[Mi-temps],M$7)=0,"",COUNTIFS(JournalActions[Joueur],$B13,JournalActions[Action],$M$6,JournalActions[Mi-temps],M$7))</f>
        <v/>
      </c>
      <c r="N13" s="93" t="str">
        <f>IF(COUNTIFS(JournalActions[Joueur],$B13,JournalActions[Action],$M$6,JournalActions[Mi-temps],N$7)=0,"",COUNTIFS(JournalActions[Joueur],$B13,JournalActions[Action],$M$6,JournalActions[Mi-temps],N$7))</f>
        <v/>
      </c>
      <c r="O13" s="142" t="str">
        <f>IF(COUNTIFS(JournalActions[Joueur],$B13,JournalActions[Action],ACT_PEN_CONTRE_NOUS,JournalActions[Motif penalite],O$7)=0,"",COUNTIFS(JournalActions[Joueur],$B13,JournalActions[Action],ACT_PEN_CONTRE_NOUS,JournalActions[Motif penalite],O$7))</f>
        <v/>
      </c>
      <c r="P13" s="142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Q13" s="142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R13" s="142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S13" s="142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T13" s="142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B13" s="29"/>
      <c r="AC13" s="29"/>
      <c r="AD13" s="29"/>
      <c r="AE13" s="29"/>
    </row>
    <row r="14" spans="2:31">
      <c r="B14" s="92"/>
      <c r="C14" s="92" t="str">
        <f>IF(COUNTIFS(JournalActions[Joueur],$B14,JournalActions[Action],$C$6,JournalActions[Mi-temps],C$7)=0,"",COUNTIFS(JournalActions[Joueur],$B14,JournalActions[Action],$C$6,JournalActions[Mi-temps],C$7))</f>
        <v/>
      </c>
      <c r="D14" s="93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92" t="str">
        <f>IF(COUNTIFS(JournalActions[Joueur],$B14,JournalActions[Action],$G$6,JournalActions[Mi-temps],G$7)=0,"",COUNTIFS(JournalActions[Joueur],$B14,JournalActions[Action],$G$6,JournalActions[Mi-temps],G$7))</f>
        <v/>
      </c>
      <c r="H14" s="93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92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92" t="str">
        <f>IF(COUNTIFS(JournalActions[Joueur],$B14,JournalActions[Action],$M$6,JournalActions[Mi-temps],M$7)=0,"",COUNTIFS(JournalActions[Joueur],$B14,JournalActions[Action],$M$6,JournalActions[Mi-temps],M$7))</f>
        <v/>
      </c>
      <c r="N14" s="93" t="str">
        <f>IF(COUNTIFS(JournalActions[Joueur],$B14,JournalActions[Action],$M$6,JournalActions[Mi-temps],N$7)=0,"",COUNTIFS(JournalActions[Joueur],$B14,JournalActions[Action],$M$6,JournalActions[Mi-temps],N$7))</f>
        <v/>
      </c>
      <c r="O14" s="142" t="str">
        <f>IF(COUNTIFS(JournalActions[Joueur],$B14,JournalActions[Action],ACT_PEN_CONTRE_NOUS,JournalActions[Motif penalite],O$7)=0,"",COUNTIFS(JournalActions[Joueur],$B14,JournalActions[Action],ACT_PEN_CONTRE_NOUS,JournalActions[Motif penalite],O$7))</f>
        <v/>
      </c>
      <c r="P14" s="142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Q14" s="142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R14" s="142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S14" s="142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T14" s="142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B14" s="29"/>
      <c r="AC14" s="29"/>
      <c r="AD14" s="29"/>
      <c r="AE14" s="29"/>
    </row>
    <row r="15" spans="2:31">
      <c r="B15" s="92"/>
      <c r="C15" s="92" t="str">
        <f>IF(COUNTIFS(JournalActions[Joueur],$B15,JournalActions[Action],$C$6,JournalActions[Mi-temps],C$7)=0,"",COUNTIFS(JournalActions[Joueur],$B15,JournalActions[Action],$C$6,JournalActions[Mi-temps],C$7))</f>
        <v/>
      </c>
      <c r="D15" s="93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92" t="str">
        <f>IF(COUNTIFS(JournalActions[Joueur],$B15,JournalActions[Action],$G$6,JournalActions[Mi-temps],G$7)=0,"",COUNTIFS(JournalActions[Joueur],$B15,JournalActions[Action],$G$6,JournalActions[Mi-temps],G$7))</f>
        <v/>
      </c>
      <c r="H15" s="93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92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92" t="str">
        <f>IF(COUNTIFS(JournalActions[Joueur],$B15,JournalActions[Action],$M$6,JournalActions[Mi-temps],M$7)=0,"",COUNTIFS(JournalActions[Joueur],$B15,JournalActions[Action],$M$6,JournalActions[Mi-temps],M$7))</f>
        <v/>
      </c>
      <c r="N15" s="93" t="str">
        <f>IF(COUNTIFS(JournalActions[Joueur],$B15,JournalActions[Action],$M$6,JournalActions[Mi-temps],N$7)=0,"",COUNTIFS(JournalActions[Joueur],$B15,JournalActions[Action],$M$6,JournalActions[Mi-temps],N$7))</f>
        <v/>
      </c>
      <c r="O15" s="142" t="str">
        <f>IF(COUNTIFS(JournalActions[Joueur],$B15,JournalActions[Action],ACT_PEN_CONTRE_NOUS,JournalActions[Motif penalite],O$7)=0,"",COUNTIFS(JournalActions[Joueur],$B15,JournalActions[Action],ACT_PEN_CONTRE_NOUS,JournalActions[Motif penalite],O$7))</f>
        <v/>
      </c>
      <c r="P15" s="142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Q15" s="142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R15" s="142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S15" s="142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T15" s="142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B15" s="29"/>
      <c r="AC15" s="29"/>
      <c r="AD15" s="29"/>
      <c r="AE15" s="29"/>
    </row>
    <row r="16" spans="2:31">
      <c r="B16" s="92"/>
      <c r="C16" s="92" t="str">
        <f>IF(COUNTIFS(JournalActions[Joueur],$B16,JournalActions[Action],$C$6,JournalActions[Mi-temps],C$7)=0,"",COUNTIFS(JournalActions[Joueur],$B16,JournalActions[Action],$C$6,JournalActions[Mi-temps],C$7))</f>
        <v/>
      </c>
      <c r="D16" s="93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92" t="str">
        <f>IF(COUNTIFS(JournalActions[Joueur],$B16,JournalActions[Action],$G$6,JournalActions[Mi-temps],G$7)=0,"",COUNTIFS(JournalActions[Joueur],$B16,JournalActions[Action],$G$6,JournalActions[Mi-temps],G$7))</f>
        <v/>
      </c>
      <c r="H16" s="93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92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92" t="str">
        <f>IF(COUNTIFS(JournalActions[Joueur],$B16,JournalActions[Action],$M$6,JournalActions[Mi-temps],M$7)=0,"",COUNTIFS(JournalActions[Joueur],$B16,JournalActions[Action],$M$6,JournalActions[Mi-temps],M$7))</f>
        <v/>
      </c>
      <c r="N16" s="93" t="str">
        <f>IF(COUNTIFS(JournalActions[Joueur],$B16,JournalActions[Action],$M$6,JournalActions[Mi-temps],N$7)=0,"",COUNTIFS(JournalActions[Joueur],$B16,JournalActions[Action],$M$6,JournalActions[Mi-temps],N$7))</f>
        <v/>
      </c>
      <c r="O16" s="142" t="str">
        <f>IF(COUNTIFS(JournalActions[Joueur],$B16,JournalActions[Action],ACT_PEN_CONTRE_NOUS,JournalActions[Motif penalite],O$7)=0,"",COUNTIFS(JournalActions[Joueur],$B16,JournalActions[Action],ACT_PEN_CONTRE_NOUS,JournalActions[Motif penalite],O$7))</f>
        <v/>
      </c>
      <c r="P16" s="142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Q16" s="142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R16" s="142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S16" s="142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T16" s="142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B16" s="29"/>
      <c r="AC16" s="29"/>
      <c r="AD16" s="29"/>
      <c r="AE16" s="29"/>
    </row>
    <row r="17" spans="2:31">
      <c r="B17" s="92"/>
      <c r="C17" s="92" t="str">
        <f>IF(COUNTIFS(JournalActions[Joueur],$B17,JournalActions[Action],$C$6,JournalActions[Mi-temps],C$7)=0,"",COUNTIFS(JournalActions[Joueur],$B17,JournalActions[Action],$C$6,JournalActions[Mi-temps],C$7))</f>
        <v/>
      </c>
      <c r="D17" s="93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92" t="str">
        <f>IF(COUNTIFS(JournalActions[Joueur],$B17,JournalActions[Action],$G$6,JournalActions[Mi-temps],G$7)=0,"",COUNTIFS(JournalActions[Joueur],$B17,JournalActions[Action],$G$6,JournalActions[Mi-temps],G$7))</f>
        <v/>
      </c>
      <c r="H17" s="93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92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92" t="str">
        <f>IF(COUNTIFS(JournalActions[Joueur],$B17,JournalActions[Action],$M$6,JournalActions[Mi-temps],M$7)=0,"",COUNTIFS(JournalActions[Joueur],$B17,JournalActions[Action],$M$6,JournalActions[Mi-temps],M$7))</f>
        <v/>
      </c>
      <c r="N17" s="93" t="str">
        <f>IF(COUNTIFS(JournalActions[Joueur],$B17,JournalActions[Action],$M$6,JournalActions[Mi-temps],N$7)=0,"",COUNTIFS(JournalActions[Joueur],$B17,JournalActions[Action],$M$6,JournalActions[Mi-temps],N$7))</f>
        <v/>
      </c>
      <c r="O17" s="142" t="str">
        <f>IF(COUNTIFS(JournalActions[Joueur],$B17,JournalActions[Action],ACT_PEN_CONTRE_NOUS,JournalActions[Motif penalite],O$7)=0,"",COUNTIFS(JournalActions[Joueur],$B17,JournalActions[Action],ACT_PEN_CONTRE_NOUS,JournalActions[Motif penalite],O$7))</f>
        <v/>
      </c>
      <c r="P17" s="142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Q17" s="142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R17" s="142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S17" s="142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T17" s="142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B17" s="29"/>
      <c r="AC17" s="29"/>
      <c r="AD17" s="29"/>
      <c r="AE17" s="29"/>
    </row>
    <row r="18" spans="2:31">
      <c r="B18" s="92"/>
      <c r="C18" s="92" t="str">
        <f>IF(COUNTIFS(JournalActions[Joueur],$B18,JournalActions[Action],$C$6,JournalActions[Mi-temps],C$7)=0,"",COUNTIFS(JournalActions[Joueur],$B18,JournalActions[Action],$C$6,JournalActions[Mi-temps],C$7))</f>
        <v/>
      </c>
      <c r="D18" s="93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92" t="str">
        <f>IF(COUNTIFS(JournalActions[Joueur],$B18,JournalActions[Action],$G$6,JournalActions[Mi-temps],G$7)=0,"",COUNTIFS(JournalActions[Joueur],$B18,JournalActions[Action],$G$6,JournalActions[Mi-temps],G$7))</f>
        <v/>
      </c>
      <c r="H18" s="93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92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92" t="str">
        <f>IF(COUNTIFS(JournalActions[Joueur],$B18,JournalActions[Action],$M$6,JournalActions[Mi-temps],M$7)=0,"",COUNTIFS(JournalActions[Joueur],$B18,JournalActions[Action],$M$6,JournalActions[Mi-temps],M$7))</f>
        <v/>
      </c>
      <c r="N18" s="93" t="str">
        <f>IF(COUNTIFS(JournalActions[Joueur],$B18,JournalActions[Action],$M$6,JournalActions[Mi-temps],N$7)=0,"",COUNTIFS(JournalActions[Joueur],$B18,JournalActions[Action],$M$6,JournalActions[Mi-temps],N$7))</f>
        <v/>
      </c>
      <c r="O18" s="142" t="str">
        <f>IF(COUNTIFS(JournalActions[Joueur],$B18,JournalActions[Action],ACT_PEN_CONTRE_NOUS,JournalActions[Motif penalite],O$7)=0,"",COUNTIFS(JournalActions[Joueur],$B18,JournalActions[Action],ACT_PEN_CONTRE_NOUS,JournalActions[Motif penalite],O$7))</f>
        <v/>
      </c>
      <c r="P18" s="142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Q18" s="142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R18" s="142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S18" s="142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T18" s="142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B18" s="29"/>
      <c r="AC18" s="29"/>
      <c r="AD18" s="29"/>
      <c r="AE18" s="29"/>
    </row>
    <row r="19" spans="2:31">
      <c r="B19" s="92"/>
      <c r="C19" s="92" t="str">
        <f>IF(COUNTIFS(JournalActions[Joueur],$B19,JournalActions[Action],$C$6,JournalActions[Mi-temps],C$7)=0,"",COUNTIFS(JournalActions[Joueur],$B19,JournalActions[Action],$C$6,JournalActions[Mi-temps],C$7))</f>
        <v/>
      </c>
      <c r="D19" s="93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92" t="str">
        <f>IF(COUNTIFS(JournalActions[Joueur],$B19,JournalActions[Action],$G$6,JournalActions[Mi-temps],G$7)=0,"",COUNTIFS(JournalActions[Joueur],$B19,JournalActions[Action],$G$6,JournalActions[Mi-temps],G$7))</f>
        <v/>
      </c>
      <c r="H19" s="93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92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92" t="str">
        <f>IF(COUNTIFS(JournalActions[Joueur],$B19,JournalActions[Action],$M$6,JournalActions[Mi-temps],M$7)=0,"",COUNTIFS(JournalActions[Joueur],$B19,JournalActions[Action],$M$6,JournalActions[Mi-temps],M$7))</f>
        <v/>
      </c>
      <c r="N19" s="93" t="str">
        <f>IF(COUNTIFS(JournalActions[Joueur],$B19,JournalActions[Action],$M$6,JournalActions[Mi-temps],N$7)=0,"",COUNTIFS(JournalActions[Joueur],$B19,JournalActions[Action],$M$6,JournalActions[Mi-temps],N$7))</f>
        <v/>
      </c>
      <c r="O19" s="142" t="str">
        <f>IF(COUNTIFS(JournalActions[Joueur],$B19,JournalActions[Action],ACT_PEN_CONTRE_NOUS,JournalActions[Motif penalite],O$7)=0,"",COUNTIFS(JournalActions[Joueur],$B19,JournalActions[Action],ACT_PEN_CONTRE_NOUS,JournalActions[Motif penalite],O$7))</f>
        <v/>
      </c>
      <c r="P19" s="142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Q19" s="142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R19" s="142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S19" s="142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T19" s="142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B19" s="29"/>
      <c r="AC19" s="29"/>
      <c r="AD19" s="29"/>
      <c r="AE19" s="29"/>
    </row>
    <row r="20" spans="2:31">
      <c r="B20" s="92"/>
      <c r="C20" s="92" t="str">
        <f>IF(COUNTIFS(JournalActions[Joueur],$B20,JournalActions[Action],$C$6,JournalActions[Mi-temps],C$7)=0,"",COUNTIFS(JournalActions[Joueur],$B20,JournalActions[Action],$C$6,JournalActions[Mi-temps],C$7))</f>
        <v/>
      </c>
      <c r="D20" s="93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92" t="str">
        <f>IF(COUNTIFS(JournalActions[Joueur],$B20,JournalActions[Action],$G$6,JournalActions[Mi-temps],G$7)=0,"",COUNTIFS(JournalActions[Joueur],$B20,JournalActions[Action],$G$6,JournalActions[Mi-temps],G$7))</f>
        <v/>
      </c>
      <c r="H20" s="93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92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92" t="str">
        <f>IF(COUNTIFS(JournalActions[Joueur],$B20,JournalActions[Action],$M$6,JournalActions[Mi-temps],M$7)=0,"",COUNTIFS(JournalActions[Joueur],$B20,JournalActions[Action],$M$6,JournalActions[Mi-temps],M$7))</f>
        <v/>
      </c>
      <c r="N20" s="93" t="str">
        <f>IF(COUNTIFS(JournalActions[Joueur],$B20,JournalActions[Action],$M$6,JournalActions[Mi-temps],N$7)=0,"",COUNTIFS(JournalActions[Joueur],$B20,JournalActions[Action],$M$6,JournalActions[Mi-temps],N$7))</f>
        <v/>
      </c>
      <c r="O20" s="142" t="str">
        <f>IF(COUNTIFS(JournalActions[Joueur],$B20,JournalActions[Action],ACT_PEN_CONTRE_NOUS,JournalActions[Motif penalite],O$7)=0,"",COUNTIFS(JournalActions[Joueur],$B20,JournalActions[Action],ACT_PEN_CONTRE_NOUS,JournalActions[Motif penalite],O$7))</f>
        <v/>
      </c>
      <c r="P20" s="142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Q20" s="142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R20" s="142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S20" s="142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T20" s="142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1">
      <c r="B21" s="92"/>
      <c r="C21" s="92" t="str">
        <f>IF(COUNTIFS(JournalActions[Joueur],$B21,JournalActions[Action],$C$6,JournalActions[Mi-temps],C$7)=0,"",COUNTIFS(JournalActions[Joueur],$B21,JournalActions[Action],$C$6,JournalActions[Mi-temps],C$7))</f>
        <v/>
      </c>
      <c r="D21" s="93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92" t="str">
        <f>IF(COUNTIFS(JournalActions[Joueur],$B21,JournalActions[Action],$G$6,JournalActions[Mi-temps],G$7)=0,"",COUNTIFS(JournalActions[Joueur],$B21,JournalActions[Action],$G$6,JournalActions[Mi-temps],G$7))</f>
        <v/>
      </c>
      <c r="H21" s="93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92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92" t="str">
        <f>IF(COUNTIFS(JournalActions[Joueur],$B21,JournalActions[Action],$M$6,JournalActions[Mi-temps],M$7)=0,"",COUNTIFS(JournalActions[Joueur],$B21,JournalActions[Action],$M$6,JournalActions[Mi-temps],M$7))</f>
        <v/>
      </c>
      <c r="N21" s="93" t="str">
        <f>IF(COUNTIFS(JournalActions[Joueur],$B21,JournalActions[Action],$M$6,JournalActions[Mi-temps],N$7)=0,"",COUNTIFS(JournalActions[Joueur],$B21,JournalActions[Action],$M$6,JournalActions[Mi-temps],N$7))</f>
        <v/>
      </c>
      <c r="O21" s="142" t="str">
        <f>IF(COUNTIFS(JournalActions[Joueur],$B21,JournalActions[Action],ACT_PEN_CONTRE_NOUS,JournalActions[Motif penalite],O$7)=0,"",COUNTIFS(JournalActions[Joueur],$B21,JournalActions[Action],ACT_PEN_CONTRE_NOUS,JournalActions[Motif penalite],O$7))</f>
        <v/>
      </c>
      <c r="P21" s="142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Q21" s="142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R21" s="142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S21" s="142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T21" s="142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1">
      <c r="B22" s="92"/>
      <c r="C22" s="92" t="str">
        <f>IF(COUNTIFS(JournalActions[Joueur],$B22,JournalActions[Action],$C$6,JournalActions[Mi-temps],C$7)=0,"",COUNTIFS(JournalActions[Joueur],$B22,JournalActions[Action],$C$6,JournalActions[Mi-temps],C$7))</f>
        <v/>
      </c>
      <c r="D22" s="93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92" t="str">
        <f>IF(COUNTIFS(JournalActions[Joueur],$B22,JournalActions[Action],$G$6,JournalActions[Mi-temps],G$7)=0,"",COUNTIFS(JournalActions[Joueur],$B22,JournalActions[Action],$G$6,JournalActions[Mi-temps],G$7))</f>
        <v/>
      </c>
      <c r="H22" s="93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92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92" t="str">
        <f>IF(COUNTIFS(JournalActions[Joueur],$B22,JournalActions[Action],$M$6,JournalActions[Mi-temps],M$7)=0,"",COUNTIFS(JournalActions[Joueur],$B22,JournalActions[Action],$M$6,JournalActions[Mi-temps],M$7))</f>
        <v/>
      </c>
      <c r="N22" s="93" t="str">
        <f>IF(COUNTIFS(JournalActions[Joueur],$B22,JournalActions[Action],$M$6,JournalActions[Mi-temps],N$7)=0,"",COUNTIFS(JournalActions[Joueur],$B22,JournalActions[Action],$M$6,JournalActions[Mi-temps],N$7))</f>
        <v/>
      </c>
      <c r="O22" s="142" t="str">
        <f>IF(COUNTIFS(JournalActions[Joueur],$B22,JournalActions[Action],ACT_PEN_CONTRE_NOUS,JournalActions[Motif penalite],O$7)=0,"",COUNTIFS(JournalActions[Joueur],$B22,JournalActions[Action],ACT_PEN_CONTRE_NOUS,JournalActions[Motif penalite],O$7))</f>
        <v/>
      </c>
      <c r="P22" s="142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Q22" s="142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R22" s="142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S22" s="142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T22" s="142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1">
      <c r="B23" s="92"/>
      <c r="C23" s="92" t="str">
        <f>IF(COUNTIFS(JournalActions[Joueur],$B23,JournalActions[Action],$C$6,JournalActions[Mi-temps],C$7)=0,"",COUNTIFS(JournalActions[Joueur],$B23,JournalActions[Action],$C$6,JournalActions[Mi-temps],C$7))</f>
        <v/>
      </c>
      <c r="D23" s="93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92" t="str">
        <f>IF(COUNTIFS(JournalActions[Joueur],$B23,JournalActions[Action],$G$6,JournalActions[Mi-temps],G$7)=0,"",COUNTIFS(JournalActions[Joueur],$B23,JournalActions[Action],$G$6,JournalActions[Mi-temps],G$7))</f>
        <v/>
      </c>
      <c r="H23" s="93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92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92" t="str">
        <f>IF(COUNTIFS(JournalActions[Joueur],$B23,JournalActions[Action],$M$6,JournalActions[Mi-temps],M$7)=0,"",COUNTIFS(JournalActions[Joueur],$B23,JournalActions[Action],$M$6,JournalActions[Mi-temps],M$7))</f>
        <v/>
      </c>
      <c r="N23" s="93" t="str">
        <f>IF(COUNTIFS(JournalActions[Joueur],$B23,JournalActions[Action],$M$6,JournalActions[Mi-temps],N$7)=0,"",COUNTIFS(JournalActions[Joueur],$B23,JournalActions[Action],$M$6,JournalActions[Mi-temps],N$7))</f>
        <v/>
      </c>
      <c r="O23" s="142" t="str">
        <f>IF(COUNTIFS(JournalActions[Joueur],$B23,JournalActions[Action],ACT_PEN_CONTRE_NOUS,JournalActions[Motif penalite],O$7)=0,"",COUNTIFS(JournalActions[Joueur],$B23,JournalActions[Action],ACT_PEN_CONTRE_NOUS,JournalActions[Motif penalite],O$7))</f>
        <v/>
      </c>
      <c r="P23" s="142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Q23" s="142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R23" s="142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S23" s="142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T23" s="142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1">
      <c r="B24" s="92"/>
      <c r="C24" s="92" t="str">
        <f>IF(COUNTIFS(JournalActions[Joueur],$B24,JournalActions[Action],$C$6,JournalActions[Mi-temps],C$7)=0,"",COUNTIFS(JournalActions[Joueur],$B24,JournalActions[Action],$C$6,JournalActions[Mi-temps],C$7))</f>
        <v/>
      </c>
      <c r="D24" s="93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92" t="str">
        <f>IF(COUNTIFS(JournalActions[Joueur],$B24,JournalActions[Action],$G$6,JournalActions[Mi-temps],G$7)=0,"",COUNTIFS(JournalActions[Joueur],$B24,JournalActions[Action],$G$6,JournalActions[Mi-temps],G$7))</f>
        <v/>
      </c>
      <c r="H24" s="93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92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92" t="str">
        <f>IF(COUNTIFS(JournalActions[Joueur],$B24,JournalActions[Action],$M$6,JournalActions[Mi-temps],M$7)=0,"",COUNTIFS(JournalActions[Joueur],$B24,JournalActions[Action],$M$6,JournalActions[Mi-temps],M$7))</f>
        <v/>
      </c>
      <c r="N24" s="93" t="str">
        <f>IF(COUNTIFS(JournalActions[Joueur],$B24,JournalActions[Action],$M$6,JournalActions[Mi-temps],N$7)=0,"",COUNTIFS(JournalActions[Joueur],$B24,JournalActions[Action],$M$6,JournalActions[Mi-temps],N$7))</f>
        <v/>
      </c>
      <c r="O24" s="142" t="str">
        <f>IF(COUNTIFS(JournalActions[Joueur],$B24,JournalActions[Action],ACT_PEN_CONTRE_NOUS,JournalActions[Motif penalite],O$7)=0,"",COUNTIFS(JournalActions[Joueur],$B24,JournalActions[Action],ACT_PEN_CONTRE_NOUS,JournalActions[Motif penalite],O$7))</f>
        <v/>
      </c>
      <c r="P24" s="142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Q24" s="142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R24" s="142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S24" s="142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T24" s="142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1">
      <c r="B25" s="92"/>
      <c r="C25" s="92" t="str">
        <f>IF(COUNTIFS(JournalActions[Joueur],$B25,JournalActions[Action],$C$6,JournalActions[Mi-temps],C$7)=0,"",COUNTIFS(JournalActions[Joueur],$B25,JournalActions[Action],$C$6,JournalActions[Mi-temps],C$7))</f>
        <v/>
      </c>
      <c r="D25" s="93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92" t="str">
        <f>IF(COUNTIFS(JournalActions[Joueur],$B25,JournalActions[Action],$G$6,JournalActions[Mi-temps],G$7)=0,"",COUNTIFS(JournalActions[Joueur],$B25,JournalActions[Action],$G$6,JournalActions[Mi-temps],G$7))</f>
        <v/>
      </c>
      <c r="H25" s="93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92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92" t="str">
        <f>IF(COUNTIFS(JournalActions[Joueur],$B25,JournalActions[Action],$M$6,JournalActions[Mi-temps],M$7)=0,"",COUNTIFS(JournalActions[Joueur],$B25,JournalActions[Action],$M$6,JournalActions[Mi-temps],M$7))</f>
        <v/>
      </c>
      <c r="N25" s="93" t="str">
        <f>IF(COUNTIFS(JournalActions[Joueur],$B25,JournalActions[Action],$M$6,JournalActions[Mi-temps],N$7)=0,"",COUNTIFS(JournalActions[Joueur],$B25,JournalActions[Action],$M$6,JournalActions[Mi-temps],N$7))</f>
        <v/>
      </c>
      <c r="O25" s="142" t="str">
        <f>IF(COUNTIFS(JournalActions[Joueur],$B25,JournalActions[Action],ACT_PEN_CONTRE_NOUS,JournalActions[Motif penalite],O$7)=0,"",COUNTIFS(JournalActions[Joueur],$B25,JournalActions[Action],ACT_PEN_CONTRE_NOUS,JournalActions[Motif penalite],O$7))</f>
        <v/>
      </c>
      <c r="P25" s="142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Q25" s="142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R25" s="142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S25" s="142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T25" s="142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1">
      <c r="B26" s="92"/>
      <c r="C26" s="92" t="str">
        <f>IF(COUNTIFS(JournalActions[Joueur],$B26,JournalActions[Action],$C$6,JournalActions[Mi-temps],C$7)=0,"",COUNTIFS(JournalActions[Joueur],$B26,JournalActions[Action],$C$6,JournalActions[Mi-temps],C$7))</f>
        <v/>
      </c>
      <c r="D26" s="93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92" t="str">
        <f>IF(COUNTIFS(JournalActions[Joueur],$B26,JournalActions[Action],$G$6,JournalActions[Mi-temps],G$7)=0,"",COUNTIFS(JournalActions[Joueur],$B26,JournalActions[Action],$G$6,JournalActions[Mi-temps],G$7))</f>
        <v/>
      </c>
      <c r="H26" s="93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92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92" t="str">
        <f>IF(COUNTIFS(JournalActions[Joueur],$B26,JournalActions[Action],$M$6,JournalActions[Mi-temps],M$7)=0,"",COUNTIFS(JournalActions[Joueur],$B26,JournalActions[Action],$M$6,JournalActions[Mi-temps],M$7))</f>
        <v/>
      </c>
      <c r="N26" s="93" t="str">
        <f>IF(COUNTIFS(JournalActions[Joueur],$B26,JournalActions[Action],$M$6,JournalActions[Mi-temps],N$7)=0,"",COUNTIFS(JournalActions[Joueur],$B26,JournalActions[Action],$M$6,JournalActions[Mi-temps],N$7))</f>
        <v/>
      </c>
      <c r="O26" s="142" t="str">
        <f>IF(COUNTIFS(JournalActions[Joueur],$B26,JournalActions[Action],ACT_PEN_CONTRE_NOUS,JournalActions[Motif penalite],O$7)=0,"",COUNTIFS(JournalActions[Joueur],$B26,JournalActions[Action],ACT_PEN_CONTRE_NOUS,JournalActions[Motif penalite],O$7))</f>
        <v/>
      </c>
      <c r="P26" s="142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Q26" s="142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R26" s="142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S26" s="142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T26" s="142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1">
      <c r="B27" s="92"/>
      <c r="C27" s="92" t="str">
        <f>IF(COUNTIFS(JournalActions[Joueur],$B27,JournalActions[Action],$C$6,JournalActions[Mi-temps],C$7)=0,"",COUNTIFS(JournalActions[Joueur],$B27,JournalActions[Action],$C$6,JournalActions[Mi-temps],C$7))</f>
        <v/>
      </c>
      <c r="D27" s="93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92" t="str">
        <f>IF(COUNTIFS(JournalActions[Joueur],$B27,JournalActions[Action],$G$6,JournalActions[Mi-temps],G$7)=0,"",COUNTIFS(JournalActions[Joueur],$B27,JournalActions[Action],$G$6,JournalActions[Mi-temps],G$7))</f>
        <v/>
      </c>
      <c r="H27" s="93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92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92" t="str">
        <f>IF(COUNTIFS(JournalActions[Joueur],$B27,JournalActions[Action],$M$6,JournalActions[Mi-temps],M$7)=0,"",COUNTIFS(JournalActions[Joueur],$B27,JournalActions[Action],$M$6,JournalActions[Mi-temps],M$7))</f>
        <v/>
      </c>
      <c r="N27" s="93" t="str">
        <f>IF(COUNTIFS(JournalActions[Joueur],$B27,JournalActions[Action],$M$6,JournalActions[Mi-temps],N$7)=0,"",COUNTIFS(JournalActions[Joueur],$B27,JournalActions[Action],$M$6,JournalActions[Mi-temps],N$7))</f>
        <v/>
      </c>
      <c r="O27" s="142" t="str">
        <f>IF(COUNTIFS(JournalActions[Joueur],$B27,JournalActions[Action],ACT_PEN_CONTRE_NOUS,JournalActions[Motif penalite],O$7)=0,"",COUNTIFS(JournalActions[Joueur],$B27,JournalActions[Action],ACT_PEN_CONTRE_NOUS,JournalActions[Motif penalite],O$7))</f>
        <v/>
      </c>
      <c r="P27" s="142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Q27" s="142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R27" s="142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S27" s="142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T27" s="142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1">
      <c r="B28" s="92"/>
      <c r="C28" s="92" t="str">
        <f>IF(COUNTIFS(JournalActions[Joueur],$B28,JournalActions[Action],$C$6,JournalActions[Mi-temps],C$7)=0,"",COUNTIFS(JournalActions[Joueur],$B28,JournalActions[Action],$C$6,JournalActions[Mi-temps],C$7))</f>
        <v/>
      </c>
      <c r="D28" s="93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92" t="str">
        <f>IF(COUNTIFS(JournalActions[Joueur],$B28,JournalActions[Action],$G$6,JournalActions[Mi-temps],G$7)=0,"",COUNTIFS(JournalActions[Joueur],$B28,JournalActions[Action],$G$6,JournalActions[Mi-temps],G$7))</f>
        <v/>
      </c>
      <c r="H28" s="93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92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92" t="str">
        <f>IF(COUNTIFS(JournalActions[Joueur],$B28,JournalActions[Action],$M$6,JournalActions[Mi-temps],M$7)=0,"",COUNTIFS(JournalActions[Joueur],$B28,JournalActions[Action],$M$6,JournalActions[Mi-temps],M$7))</f>
        <v/>
      </c>
      <c r="N28" s="93" t="str">
        <f>IF(COUNTIFS(JournalActions[Joueur],$B28,JournalActions[Action],$M$6,JournalActions[Mi-temps],N$7)=0,"",COUNTIFS(JournalActions[Joueur],$B28,JournalActions[Action],$M$6,JournalActions[Mi-temps],N$7))</f>
        <v/>
      </c>
      <c r="O28" s="142" t="str">
        <f>IF(COUNTIFS(JournalActions[Joueur],$B28,JournalActions[Action],ACT_PEN_CONTRE_NOUS,JournalActions[Motif penalite],O$7)=0,"",COUNTIFS(JournalActions[Joueur],$B28,JournalActions[Action],ACT_PEN_CONTRE_NOUS,JournalActions[Motif penalite],O$7))</f>
        <v/>
      </c>
      <c r="P28" s="142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Q28" s="142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R28" s="142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S28" s="142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T28" s="142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1">
      <c r="B29" s="92"/>
      <c r="C29" s="92" t="str">
        <f>IF(COUNTIFS(JournalActions[Joueur],$B29,JournalActions[Action],$C$6,JournalActions[Mi-temps],C$7)=0,"",COUNTIFS(JournalActions[Joueur],$B29,JournalActions[Action],$C$6,JournalActions[Mi-temps],C$7))</f>
        <v/>
      </c>
      <c r="D29" s="93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92" t="str">
        <f>IF(COUNTIFS(JournalActions[Joueur],$B29,JournalActions[Action],$G$6,JournalActions[Mi-temps],G$7)=0,"",COUNTIFS(JournalActions[Joueur],$B29,JournalActions[Action],$G$6,JournalActions[Mi-temps],G$7))</f>
        <v/>
      </c>
      <c r="H29" s="93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92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92" t="str">
        <f>IF(COUNTIFS(JournalActions[Joueur],$B29,JournalActions[Action],$M$6,JournalActions[Mi-temps],M$7)=0,"",COUNTIFS(JournalActions[Joueur],$B29,JournalActions[Action],$M$6,JournalActions[Mi-temps],M$7))</f>
        <v/>
      </c>
      <c r="N29" s="93" t="str">
        <f>IF(COUNTIFS(JournalActions[Joueur],$B29,JournalActions[Action],$M$6,JournalActions[Mi-temps],N$7)=0,"",COUNTIFS(JournalActions[Joueur],$B29,JournalActions[Action],$M$6,JournalActions[Mi-temps],N$7))</f>
        <v/>
      </c>
      <c r="O29" s="142" t="str">
        <f>IF(COUNTIFS(JournalActions[Joueur],$B29,JournalActions[Action],ACT_PEN_CONTRE_NOUS,JournalActions[Motif penalite],O$7)=0,"",COUNTIFS(JournalActions[Joueur],$B29,JournalActions[Action],ACT_PEN_CONTRE_NOUS,JournalActions[Motif penalite],O$7))</f>
        <v/>
      </c>
      <c r="P29" s="142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Q29" s="142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R29" s="142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S29" s="142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T29" s="142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1">
      <c r="B30" s="90" t="s">
        <v>93</v>
      </c>
      <c r="C30" s="92" t="str">
        <f>IF(COUNTIFS(JournalActions[Joueur],$B30,JournalActions[Action],$C$6,JournalActions[Mi-temps],C$7)=0,"",COUNTIFS(JournalActions[Joueur],$B30,JournalActions[Action],$C$6,JournalActions[Mi-temps],C$7))</f>
        <v/>
      </c>
      <c r="D30" s="93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92" t="str">
        <f>IF(COUNTIFS(JournalActions[Joueur],$B30,JournalActions[Action],$G$6,JournalActions[Mi-temps],G$7)=0,"",COUNTIFS(JournalActions[Joueur],$B30,JournalActions[Action],$G$6,JournalActions[Mi-temps],G$7))</f>
        <v/>
      </c>
      <c r="H30" s="93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92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92" t="str">
        <f>IF(COUNTIFS(JournalActions[Joueur],$B30,JournalActions[Action],$M$6,JournalActions[Mi-temps],M$7)=0,"",COUNTIFS(JournalActions[Joueur],$B30,JournalActions[Action],$M$6,JournalActions[Mi-temps],M$7))</f>
        <v/>
      </c>
      <c r="N30" s="93" t="str">
        <f>IF(COUNTIFS(JournalActions[Joueur],$B30,JournalActions[Action],$M$6,JournalActions[Mi-temps],N$7)=0,"",COUNTIFS(JournalActions[Joueur],$B30,JournalActions[Action],$M$6,JournalActions[Mi-temps],N$7))</f>
        <v/>
      </c>
      <c r="O30" s="142" t="str">
        <f>IF(COUNTIFS(JournalActions[Joueur],$B30,JournalActions[Action],ACT_PEN_CONTRE_NOUS,JournalActions[Motif penalite],O$7)=0,"",COUNTIFS(JournalActions[Joueur],$B30,JournalActions[Action],ACT_PEN_CONTRE_NOUS,JournalActions[Motif penalite],O$7))</f>
        <v/>
      </c>
      <c r="P30" s="142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Q30" s="142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R30" s="142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S30" s="142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T30" s="142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1">
      <c r="B31" s="91" t="s">
        <v>83</v>
      </c>
      <c r="C31" s="96" t="str">
        <f>IF(COUNTIFS(JournalActions[Joueur],$B31,JournalActions[Action],$C$6,JournalActions[Mi-temps],C$7)=0,"",COUNTIFS(JournalActions[Joueur],$B31,JournalActions[Action],$C$6,JournalActions[Mi-temps],C$7))</f>
        <v/>
      </c>
      <c r="D31" s="95" t="str">
        <f>IF(COUNTIFS(JournalActions[Joueur],$B31,JournalActions[Action],$C$6,JournalActions[Mi-temps],D$7)=0,"",COUNTIFS(JournalActions[Joueur],$B31,JournalActions[Action],$C$6,JournalActions[Mi-temps],D$7))</f>
        <v/>
      </c>
      <c r="E31" s="94" t="str">
        <f>IF(COUNTIFS(JournalActions[Joueur],$B31,JournalActions[Action],$E$6,JournalActions[Mi-temps],E$7)=0,"",COUNTIFS(JournalActions[Joueur],$B31,JournalActions[Action],$E$6,JournalActions[Mi-temps],E$7))</f>
        <v/>
      </c>
      <c r="F31" s="94" t="str">
        <f>IF(COUNTIFS(JournalActions[Joueur],$B31,JournalActions[Action],$E$6,JournalActions[Mi-temps],F$7)=0,"",COUNTIFS(JournalActions[Joueur],$B31,JournalActions[Action],$E$6,JournalActions[Mi-temps],F$7))</f>
        <v/>
      </c>
      <c r="G31" s="96" t="str">
        <f>IF(COUNTIFS(JournalActions[Joueur],$B31,JournalActions[Action],$G$6,JournalActions[Mi-temps],G$7)=0,"",COUNTIFS(JournalActions[Joueur],$B31,JournalActions[Action],$G$6,JournalActions[Mi-temps],G$7))</f>
        <v/>
      </c>
      <c r="H31" s="95" t="str">
        <f>IF(COUNTIFS(JournalActions[Joueur],$B31,JournalActions[Action],$G$6,JournalActions[Mi-temps],H$7)=0,"",COUNTIFS(JournalActions[Joueur],$B31,JournalActions[Action],$G$6,JournalActions[Mi-temps],H$7))</f>
        <v/>
      </c>
      <c r="I31" s="94" t="str">
        <f>IF(COUNTIFS(JournalActions[Joueur],$B31,JournalActions[Action],$I$6,JournalActions[Mi-temps],I$7)=0,"",COUNTIFS(JournalActions[Joueur],$B31,JournalActions[Action],$I$6,JournalActions[Mi-temps],I$7))</f>
        <v/>
      </c>
      <c r="J31" s="94" t="str">
        <f>IF(COUNTIFS(JournalActions[Joueur],$B31,JournalActions[Action],$I$6,JournalActions[Mi-temps],J$7)=0,"",COUNTIFS(JournalActions[Joueur],$B31,JournalActions[Action],$I$6,JournalActions[Mi-temps],J$7))</f>
        <v/>
      </c>
      <c r="K31" s="96" t="str">
        <f>IF(COUNTIFS(JournalActions[Joueur],$B31,JournalActions[Action],$K$6,JournalActions[Mi-temps],K$7)=0,"",COUNTIFS(JournalActions[Joueur],$B31,JournalActions[Action],$K$6,JournalActions[Mi-temps],K$7))</f>
        <v/>
      </c>
      <c r="L31" s="94" t="str">
        <f>IF(COUNTIFS(JournalActions[Joueur],$B31,JournalActions[Action],$K$6,JournalActions[Mi-temps],L$7)=0,"",COUNTIFS(JournalActions[Joueur],$B31,JournalActions[Action],$K$6,JournalActions[Mi-temps],L$7))</f>
        <v/>
      </c>
      <c r="M31" s="96" t="str">
        <f>IF(COUNTIFS(JournalActions[Joueur],$B31,JournalActions[Action],$M$6,JournalActions[Mi-temps],M$7)=0,"",COUNTIFS(JournalActions[Joueur],$B31,JournalActions[Action],$M$6,JournalActions[Mi-temps],M$7))</f>
        <v/>
      </c>
      <c r="N31" s="95" t="str">
        <f>IF(COUNTIFS(JournalActions[Joueur],$B31,JournalActions[Action],$M$6,JournalActions[Mi-temps],N$7)=0,"",COUNTIFS(JournalActions[Joueur],$B31,JournalActions[Action],$M$6,JournalActions[Mi-temps],N$7))</f>
        <v/>
      </c>
      <c r="O31" s="143" t="str">
        <f>IF(COUNTIFS(JournalActions[Joueur],$B31,JournalActions[Action],ACT_PEN_CONTRE_NOUS,JournalActions[Motif penalite],O$7)=0,"",COUNTIFS(JournalActions[Joueur],$B31,JournalActions[Action],ACT_PEN_CONTRE_NOUS,JournalActions[Motif penalite],O$7))</f>
        <v/>
      </c>
      <c r="P31" s="143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Q31" s="143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R31" s="143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S31" s="143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T31" s="143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1" s="29" customFormat="1" ht="22" customHeight="1">
      <c r="B32" s="126" t="s">
        <v>270</v>
      </c>
      <c r="C32" s="127">
        <f>SUM(C8:C31)</f>
        <v>0</v>
      </c>
      <c r="D32" s="128">
        <f t="shared" ref="D32:T32" si="0">SUM(D8:D31)</f>
        <v>0</v>
      </c>
      <c r="E32" s="127">
        <f t="shared" si="0"/>
        <v>0</v>
      </c>
      <c r="F32" s="128">
        <f t="shared" si="0"/>
        <v>0</v>
      </c>
      <c r="G32" s="127">
        <f t="shared" si="0"/>
        <v>0</v>
      </c>
      <c r="H32" s="128">
        <f t="shared" si="0"/>
        <v>0</v>
      </c>
      <c r="I32" s="127">
        <f t="shared" si="0"/>
        <v>0</v>
      </c>
      <c r="J32" s="128">
        <f t="shared" si="0"/>
        <v>0</v>
      </c>
      <c r="K32" s="127">
        <f t="shared" si="0"/>
        <v>0</v>
      </c>
      <c r="L32" s="128">
        <f t="shared" si="0"/>
        <v>0</v>
      </c>
      <c r="M32" s="127">
        <f t="shared" si="0"/>
        <v>0</v>
      </c>
      <c r="N32" s="128">
        <f t="shared" si="0"/>
        <v>0</v>
      </c>
      <c r="O32" s="220">
        <f t="shared" si="0"/>
        <v>0</v>
      </c>
      <c r="P32" s="220">
        <f t="shared" si="0"/>
        <v>0</v>
      </c>
      <c r="Q32" s="220">
        <f t="shared" si="0"/>
        <v>0</v>
      </c>
      <c r="R32" s="220">
        <f t="shared" si="0"/>
        <v>0</v>
      </c>
      <c r="S32" s="220">
        <f t="shared" si="0"/>
        <v>0</v>
      </c>
      <c r="T32" s="220">
        <f t="shared" si="0"/>
        <v>0</v>
      </c>
    </row>
    <row r="33" spans="2:20" s="105" customFormat="1" ht="25" customHeight="1">
      <c r="B33" s="129" t="s">
        <v>269</v>
      </c>
      <c r="C33" s="190">
        <f>C32+D32</f>
        <v>0</v>
      </c>
      <c r="D33" s="191"/>
      <c r="E33" s="213">
        <f t="shared" ref="E33" si="1">E32+F32</f>
        <v>0</v>
      </c>
      <c r="F33" s="213"/>
      <c r="G33" s="190">
        <f t="shared" ref="G33" si="2">G32+H32</f>
        <v>0</v>
      </c>
      <c r="H33" s="191"/>
      <c r="I33" s="190">
        <f>I32+J32</f>
        <v>0</v>
      </c>
      <c r="J33" s="191"/>
      <c r="K33" s="190">
        <f t="shared" ref="K33" si="3">K32+L32</f>
        <v>0</v>
      </c>
      <c r="L33" s="191"/>
      <c r="M33" s="213">
        <f t="shared" ref="M33" si="4">M32+N32</f>
        <v>0</v>
      </c>
      <c r="N33" s="191"/>
      <c r="O33" s="221"/>
      <c r="P33" s="221"/>
      <c r="Q33" s="221"/>
      <c r="R33" s="221"/>
      <c r="S33" s="221"/>
      <c r="T33" s="221"/>
    </row>
    <row r="34" spans="2:20" s="29" customFormat="1"/>
    <row r="35" spans="2:20" s="29" customFormat="1"/>
    <row r="36" spans="2:20" ht="14">
      <c r="B36" s="29"/>
      <c r="C36" s="130" t="s">
        <v>236</v>
      </c>
      <c r="D36" s="130" t="s">
        <v>314</v>
      </c>
      <c r="E36" s="131" t="s">
        <v>235</v>
      </c>
      <c r="F36" s="29"/>
      <c r="G36" s="209" t="s">
        <v>264</v>
      </c>
      <c r="H36" s="210"/>
      <c r="J36" s="209" t="s">
        <v>79</v>
      </c>
      <c r="K36" s="209" t="s">
        <v>238</v>
      </c>
      <c r="L36" s="215"/>
      <c r="M36" s="210"/>
      <c r="N36" s="210" t="s">
        <v>265</v>
      </c>
    </row>
    <row r="37" spans="2:20" ht="14">
      <c r="B37" s="29"/>
      <c r="C37" s="100" t="s">
        <v>233</v>
      </c>
      <c r="D37" s="100">
        <f>COUNTIFS(JournalActions[Action],ACT_TO_NS_G,JournalActions[Mi-temps],"MT1")</f>
        <v>0</v>
      </c>
      <c r="E37" s="101">
        <f>COUNTIFS(JournalActions[Action],ACT_TO_NS_P,JournalActions[Mi-temps],"MT1")
+COUNTIFS(JournalActions[Action],ACT_TO_NS_PAS_DROIT,JournalActions[Mi-temps],"MT1")</f>
        <v>0</v>
      </c>
      <c r="F37" s="29"/>
      <c r="G37" s="100" t="s">
        <v>238</v>
      </c>
      <c r="H37" s="101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7" s="29"/>
      <c r="J37" s="214"/>
      <c r="K37" s="144" t="s">
        <v>244</v>
      </c>
      <c r="L37" s="140" t="s">
        <v>263</v>
      </c>
      <c r="M37" s="145" t="s">
        <v>83</v>
      </c>
      <c r="N37" s="216"/>
    </row>
    <row r="38" spans="2:20">
      <c r="B38" s="29"/>
      <c r="C38" s="46" t="s">
        <v>266</v>
      </c>
      <c r="D38" s="46">
        <f>COUNTIFS(JournalActions[Action],ACT_TO_ADV_PERDUE,JournalActions[Mi-temps],"MT1")</f>
        <v>0</v>
      </c>
      <c r="E38" s="48">
        <f>COUNTIFS(JournalActions[Action],ACT_TO_ADV_VOLEE,JournalActions[Mi-temps],"MT1")
+COUNTIFS(JournalActions[Action],ACT_TO_ADV_PAS_DROIT,JournalActions[Mi-temps],"MT1")</f>
        <v>0</v>
      </c>
      <c r="F38" s="29"/>
      <c r="G38" s="46" t="s">
        <v>239</v>
      </c>
      <c r="H38" s="48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8" s="29"/>
      <c r="J38" s="97" t="s">
        <v>116</v>
      </c>
      <c r="K38" s="142">
        <f>COUNTIFS(JournalActions[Action],ACT_PEN_CONTRE_NOUS,JournalActions[Mi-temps],"MT1",JournalActions[Groupe fautif],"Avant*")</f>
        <v>0</v>
      </c>
      <c r="L38" s="93">
        <f>COUNTIFS(JournalActions[Action],ACT_PEN_CONTRE_NOUS,JournalActions[Mi-temps],"MT1",JournalActions[Groupe fautif],"Trois-quarts*")</f>
        <v>0</v>
      </c>
      <c r="M38" s="93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98">
        <f>COUNTIFS(JournalActions[Action],ACT_PEN_CONTRE_ADV,JournalActions[Mi-temps],"MT1")</f>
        <v>0</v>
      </c>
    </row>
    <row r="39" spans="2:20">
      <c r="B39" s="29"/>
      <c r="C39" s="29"/>
      <c r="D39" s="29"/>
      <c r="E39" s="29"/>
      <c r="F39" s="29"/>
      <c r="G39" s="29"/>
      <c r="H39" s="29"/>
      <c r="I39" s="29"/>
      <c r="J39" s="46" t="s">
        <v>113</v>
      </c>
      <c r="K39" s="136">
        <f>COUNTIFS(JournalActions[Action],ACT_PEN_CONTRE_NOUS,JournalActions[Mi-temps],"MT2",JournalActions[Groupe fautif],"Avant")</f>
        <v>0</v>
      </c>
      <c r="L39" s="48">
        <f>COUNTIFS(JournalActions[Action],ACT_PEN_CONTRE_NOUS,JournalActions[Mi-temps],"MT2",JournalActions[Groupe fautif],"Trois-quarts*")</f>
        <v>0</v>
      </c>
      <c r="M39" s="48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48">
        <f>COUNTIFS(JournalActions[Action],ACT_PEN_CONTRE_ADV,JournalActions[Mi-temps],"MT2")</f>
        <v>0</v>
      </c>
    </row>
    <row r="40" spans="2:20" ht="14">
      <c r="B40" s="29"/>
      <c r="C40" s="130" t="s">
        <v>237</v>
      </c>
      <c r="D40" s="130" t="s">
        <v>314</v>
      </c>
      <c r="E40" s="131" t="s">
        <v>235</v>
      </c>
      <c r="F40" s="29"/>
      <c r="G40" s="209" t="s">
        <v>240</v>
      </c>
      <c r="H40" s="210"/>
      <c r="I40" s="29"/>
      <c r="J40" s="29"/>
      <c r="K40" s="29"/>
      <c r="L40" s="29"/>
      <c r="M40" s="29"/>
      <c r="N40" s="29"/>
    </row>
    <row r="41" spans="2:20" ht="14">
      <c r="B41" s="29"/>
      <c r="C41" s="100" t="s">
        <v>233</v>
      </c>
      <c r="D41" s="100">
        <f>COUNTIFS(JournalActions[Action],ACT_TO_NS_G,JournalActions[Mi-temps],"MT2")</f>
        <v>0</v>
      </c>
      <c r="E41" s="101">
        <f>COUNTIFS(JournalActions[Action],ACT_TO_NS_P,JournalActions[Mi-temps],"MT2")
+COUNTIFS(JournalActions[Action],ACT_TO_NS_PAS_DROIT,JournalActions[Mi-temps],"MT2")</f>
        <v>0</v>
      </c>
      <c r="F41" s="29"/>
      <c r="G41" s="100" t="s">
        <v>238</v>
      </c>
      <c r="H41" s="101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41" s="29"/>
      <c r="J41" s="132" t="s">
        <v>29</v>
      </c>
      <c r="K41" s="133"/>
      <c r="L41" s="134" t="s">
        <v>238</v>
      </c>
      <c r="M41" s="122" t="s">
        <v>265</v>
      </c>
      <c r="N41" s="29"/>
    </row>
    <row r="42" spans="2:20">
      <c r="B42" s="29"/>
      <c r="C42" s="46" t="s">
        <v>266</v>
      </c>
      <c r="D42" s="46">
        <f>COUNTIFS(JournalActions[Action],ACT_TO_ADV_PERDUE,JournalActions[Mi-temps],"MT2")</f>
        <v>0</v>
      </c>
      <c r="E42" s="48">
        <f>COUNTIFS(JournalActions[Action],ACT_TO_ADV_VOLEE,JournalActions[Mi-temps],"MT2")
+COUNTIFS(JournalActions[Action],ACT_TO_ADV_PAS_DROIT,JournalActions[Mi-temps],"MT2")</f>
        <v>0</v>
      </c>
      <c r="F42" s="29"/>
      <c r="G42" s="46" t="s">
        <v>239</v>
      </c>
      <c r="H42" s="48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42" s="29"/>
      <c r="J42" s="196" t="s">
        <v>31</v>
      </c>
      <c r="K42" s="197"/>
      <c r="L42" s="102">
        <f>COUNTIFS(JournalActions[Action],ACT_PEN_CONTRE_NOUS,JournalActions[Motif penalite],ACT_PEN_MAUL)</f>
        <v>0</v>
      </c>
      <c r="M42" s="102">
        <f>COUNTIFS(JournalActions[Action],ACT_PEN_CONTRE_ADV,JournalActions[Motif penalite],ACT_PEN_MAUL)</f>
        <v>0</v>
      </c>
      <c r="N42" s="29"/>
    </row>
    <row r="43" spans="2:20">
      <c r="B43" s="29"/>
      <c r="C43" s="29"/>
      <c r="D43" s="29"/>
      <c r="E43" s="29"/>
      <c r="F43" s="29"/>
      <c r="G43" s="29"/>
      <c r="H43" s="29"/>
      <c r="I43" s="29"/>
      <c r="J43" s="194" t="s">
        <v>33</v>
      </c>
      <c r="K43" s="195"/>
      <c r="L43" s="49">
        <f>COUNTIFS(JournalActions[Action],ACT_PEN_CONTRE_NOUS,JournalActions[Motif penalite],ACT_PEN_RUCK)</f>
        <v>0</v>
      </c>
      <c r="M43" s="49">
        <f>COUNTIFS(JournalActions[Action],ACT_PEN_CONTRE_ADV,JournalActions[Motif penalite],ACT_PEN_RUCK)</f>
        <v>0</v>
      </c>
      <c r="N43" s="29"/>
    </row>
    <row r="44" spans="2:20" ht="14">
      <c r="B44" s="29"/>
      <c r="C44" s="130" t="s">
        <v>340</v>
      </c>
      <c r="D44" s="130" t="s">
        <v>314</v>
      </c>
      <c r="E44" s="131" t="s">
        <v>235</v>
      </c>
      <c r="F44" s="29"/>
      <c r="G44" s="209" t="s">
        <v>356</v>
      </c>
      <c r="H44" s="210"/>
      <c r="I44" s="29"/>
      <c r="J44" s="196" t="s">
        <v>35</v>
      </c>
      <c r="K44" s="197"/>
      <c r="L44" s="102">
        <f>COUNTIFS(JournalActions[Action],ACT_PEN_CONTRE_NOUS,JournalActions[Motif penalite],ACT_PEN_HORS_JEU)</f>
        <v>0</v>
      </c>
      <c r="M44" s="102">
        <f>COUNTIFS(JournalActions[Action],ACT_PEN_CONTRE_ADV,JournalActions[Motif penalite],ACT_PEN_HORS_JEU)</f>
        <v>0</v>
      </c>
      <c r="N44" s="29"/>
    </row>
    <row r="45" spans="2:20">
      <c r="B45" s="29"/>
      <c r="C45" s="100" t="s">
        <v>233</v>
      </c>
      <c r="D45" s="100">
        <f>COUNTIFS(JournalActions[Action],ACT_ME_NS_G,JournalActions[Mi-temps],"MT1")</f>
        <v>0</v>
      </c>
      <c r="E45" s="101">
        <f>COUNTIFS(JournalActions[Action],ACT_ME_NS_P,JournalActions[Mi-temps],"MT1")</f>
        <v>0</v>
      </c>
      <c r="F45" s="29"/>
      <c r="G45" s="100" t="s">
        <v>116</v>
      </c>
      <c r="H45" s="151">
        <v>0</v>
      </c>
      <c r="I45" s="29"/>
      <c r="J45" s="194" t="s">
        <v>37</v>
      </c>
      <c r="K45" s="195"/>
      <c r="L45" s="49">
        <f>COUNTIFS(JournalActions[Action],ACT_PEN_CONTRE_NOUS,JournalActions[Motif penalite],ACT_PEN_PL_A_2)</f>
        <v>0</v>
      </c>
      <c r="M45" s="49">
        <f>COUNTIFS(JournalActions[Action],ACT_PEN_CONTRE_ADV,JournalActions[Motif penalite],ACT_PEN_PL_A_2)</f>
        <v>0</v>
      </c>
      <c r="N45" s="29"/>
    </row>
    <row r="46" spans="2:20">
      <c r="B46" s="29"/>
      <c r="C46" s="46" t="s">
        <v>266</v>
      </c>
      <c r="D46" s="46">
        <f>COUNTIFS(JournalActions[Action],ACT_ME_ADV_P,JournalActions[Mi-temps],"MT1")</f>
        <v>0</v>
      </c>
      <c r="E46" s="48">
        <f>COUNTIFS(JournalActions[Action],ACT_ME_ADV_G,JournalActions[Mi-temps],"MT1")</f>
        <v>0</v>
      </c>
      <c r="F46" s="29"/>
      <c r="G46" s="46" t="s">
        <v>113</v>
      </c>
      <c r="H46" s="152">
        <v>0</v>
      </c>
      <c r="I46" s="29"/>
      <c r="J46" s="196" t="s">
        <v>39</v>
      </c>
      <c r="K46" s="197"/>
      <c r="L46" s="102">
        <f>COUNTIFS(JournalActions[Action],ACT_PEN_CONTRE_NOUS,JournalActions[Motif penalite],ACT_PEN_PL_HAUT)</f>
        <v>0</v>
      </c>
      <c r="M46" s="102">
        <f>COUNTIFS(JournalActions[Action],ACT_PEN_CONTRE_ADV,JournalActions[Motif penalite],ACT_PEN_PL_HAUT)</f>
        <v>0</v>
      </c>
      <c r="N46" s="29"/>
    </row>
    <row r="47" spans="2:20">
      <c r="B47" s="29"/>
      <c r="C47" s="29"/>
      <c r="D47" s="29"/>
      <c r="E47" s="29"/>
      <c r="F47" s="29"/>
      <c r="G47" s="153" t="s">
        <v>357</v>
      </c>
      <c r="H47" s="154">
        <v>0</v>
      </c>
      <c r="I47" s="29"/>
      <c r="J47" s="194" t="s">
        <v>260</v>
      </c>
      <c r="K47" s="195"/>
      <c r="L47" s="49">
        <f>COUNTIFS(JournalActions[Action],ACT_PEN_CONTRE_NOUS,JournalActions[Motif penalite],"~?")</f>
        <v>0</v>
      </c>
      <c r="M47" s="49">
        <f>COUNTIFS(JournalActions[Action],ACT_PEN_CONTRE_ADV,JournalActions[Motif penalite],"~?")</f>
        <v>0</v>
      </c>
      <c r="N47" s="29"/>
    </row>
    <row r="48" spans="2:20" ht="14">
      <c r="B48" s="29"/>
      <c r="C48" s="130" t="s">
        <v>341</v>
      </c>
      <c r="D48" s="130" t="s">
        <v>314</v>
      </c>
      <c r="E48" s="131" t="s">
        <v>235</v>
      </c>
      <c r="F48" s="29"/>
      <c r="G48" s="29"/>
      <c r="H48" s="29"/>
      <c r="I48" s="29"/>
      <c r="J48" s="104" t="s">
        <v>45</v>
      </c>
      <c r="K48" s="29"/>
      <c r="L48" s="29"/>
      <c r="M48" s="29"/>
      <c r="N48" s="29"/>
    </row>
    <row r="49" spans="2:14">
      <c r="B49" s="29"/>
      <c r="C49" s="100" t="s">
        <v>233</v>
      </c>
      <c r="D49" s="100">
        <f>COUNTIFS(JournalActions[Action],ACT_ME_NS_G,JournalActions[Mi-temps],"MT2")</f>
        <v>0</v>
      </c>
      <c r="E49" s="101">
        <f>COUNTIFS(JournalActions[Action],ACT_ME_NS_P,JournalActions[Mi-temps],"MT2")</f>
        <v>0</v>
      </c>
      <c r="F49" s="29"/>
      <c r="G49" s="29"/>
      <c r="H49" s="29"/>
      <c r="I49" s="29"/>
      <c r="K49" s="103"/>
      <c r="L49" s="29"/>
      <c r="M49" s="29"/>
      <c r="N49" s="29"/>
    </row>
    <row r="50" spans="2:14">
      <c r="B50" s="29"/>
      <c r="C50" s="46" t="s">
        <v>266</v>
      </c>
      <c r="D50" s="46">
        <f>COUNTIFS(JournalActions[Action],ACT_ME_ADV_P,JournalActions[Mi-temps],"MT2")</f>
        <v>0</v>
      </c>
      <c r="E50" s="48">
        <f>COUNTIFS(JournalActions[Action],ACT_ME_ADV_G,JournalActions[Mi-temps],"MT2")</f>
        <v>0</v>
      </c>
      <c r="F50" s="29"/>
      <c r="G50" s="29"/>
      <c r="H50" s="29"/>
      <c r="I50" s="29"/>
      <c r="J50" s="29"/>
      <c r="K50" s="29"/>
      <c r="L50" s="29"/>
      <c r="M50" s="29"/>
      <c r="N50" s="29"/>
    </row>
    <row r="51" spans="2:14"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2:14" s="29" customFormat="1"/>
    <row r="53" spans="2:14" s="29" customFormat="1"/>
    <row r="54" spans="2:14" s="29" customFormat="1"/>
    <row r="55" spans="2:14" s="29" customFormat="1" ht="14" thickBot="1"/>
    <row r="56" spans="2:14" s="29" customFormat="1">
      <c r="B56" s="198" t="s">
        <v>342</v>
      </c>
      <c r="C56" s="199"/>
      <c r="D56" s="199"/>
      <c r="E56" s="199"/>
      <c r="F56" s="199"/>
      <c r="G56" s="199"/>
      <c r="H56" s="199"/>
      <c r="I56" s="199"/>
      <c r="J56" s="199"/>
      <c r="K56" s="200"/>
    </row>
    <row r="57" spans="2:14" s="29" customFormat="1">
      <c r="B57" s="201"/>
      <c r="C57" s="202"/>
      <c r="D57" s="202"/>
      <c r="E57" s="202"/>
      <c r="F57" s="202"/>
      <c r="G57" s="202"/>
      <c r="H57" s="202"/>
      <c r="I57" s="202"/>
      <c r="J57" s="202"/>
      <c r="K57" s="203"/>
    </row>
    <row r="58" spans="2:14" s="29" customFormat="1" ht="14" thickBot="1">
      <c r="B58" s="204"/>
      <c r="C58" s="205"/>
      <c r="D58" s="205"/>
      <c r="E58" s="205"/>
      <c r="F58" s="205"/>
      <c r="G58" s="205"/>
      <c r="H58" s="205"/>
      <c r="I58" s="205"/>
      <c r="J58" s="205"/>
      <c r="K58" s="206"/>
    </row>
    <row r="59" spans="2:14" s="29" customFormat="1"/>
    <row r="60" spans="2:14" s="29" customFormat="1" ht="14">
      <c r="B60" s="207" t="s">
        <v>64</v>
      </c>
      <c r="C60" s="209" t="str">
        <f>ACT_TO_NS_G</f>
        <v>Touche à nous conservée</v>
      </c>
      <c r="D60" s="210"/>
      <c r="E60" s="209" t="str">
        <f>ACT_TO_ADV_VOLEE</f>
        <v>Touche à eux volée</v>
      </c>
      <c r="F60" s="210"/>
      <c r="H60" s="211" t="str">
        <f>ACT_TO_NS_P</f>
        <v>Touche à nous perdue</v>
      </c>
      <c r="I60" s="212"/>
      <c r="J60" s="211" t="str">
        <f>ACT_TO_NS_PAS_DROIT</f>
        <v>Touche à nous pas droite</v>
      </c>
      <c r="K60" s="212"/>
    </row>
    <row r="61" spans="2:14" s="29" customFormat="1" ht="14">
      <c r="B61" s="208"/>
      <c r="C61" s="144" t="s">
        <v>116</v>
      </c>
      <c r="D61" s="145" t="s">
        <v>113</v>
      </c>
      <c r="E61" s="144" t="s">
        <v>116</v>
      </c>
      <c r="F61" s="145" t="s">
        <v>113</v>
      </c>
      <c r="H61" s="146" t="s">
        <v>116</v>
      </c>
      <c r="I61" s="147" t="s">
        <v>113</v>
      </c>
      <c r="J61" s="146" t="s">
        <v>116</v>
      </c>
      <c r="K61" s="147" t="s">
        <v>113</v>
      </c>
    </row>
    <row r="62" spans="2:14" s="29" customFormat="1">
      <c r="B62" s="92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92" t="str">
        <f>IF(COUNTIFS(JournalActions[Joueur],$B62,JournalActions[Action],$C$60,JournalActions[Mi-temps],C$61)=0,"",COUNTIFS(JournalActions[Joueur],$B62,JournalActions[Action],$C$60,JournalActions[Mi-temps],C$61))</f>
        <v/>
      </c>
      <c r="D62" s="93" t="str">
        <f>IF(COUNTIFS(JournalActions[Joueur],$B62,JournalActions[Action],$C$60,JournalActions[Mi-temps],D$61)=0,"",COUNTIFS(JournalActions[Joueur],$B62,JournalActions[Action],$C$60,JournalActions[Mi-temps],D$61))</f>
        <v/>
      </c>
      <c r="E62" s="92" t="str">
        <f>IF(COUNTIFS(JournalActions[Joueur],$B62,JournalActions[Action],$E$60,JournalActions[Mi-temps],E$61)=0,"",COUNTIFS(JournalActions[Joueur],$B62,JournalActions[Action],$E$60,JournalActions[Mi-temps],E$61))</f>
        <v/>
      </c>
      <c r="F62" s="93" t="str">
        <f>IF(COUNTIFS(JournalActions[Joueur],$B62,JournalActions[Action],$E$60,JournalActions[Mi-temps],F$61)=0,"",COUNTIFS(JournalActions[Joueur],$B62,JournalActions[Action],$E$60,JournalActions[Mi-temps],F$61))</f>
        <v/>
      </c>
      <c r="H62" s="92" t="str">
        <f>IF(COUNTIFS(JournalActions[Joueur],$B62,JournalActions[Action],$H$60,JournalActions[Mi-temps],H$61)=0,"",COUNTIFS(JournalActions[Joueur],$B62,JournalActions[Action],$H$60,JournalActions[Mi-temps],H$61))</f>
        <v/>
      </c>
      <c r="I62" s="93" t="str">
        <f>IF(COUNTIFS(JournalActions[Joueur],$B62,JournalActions[Action],$H$60,JournalActions[Mi-temps],I$61)=0,"",COUNTIFS(JournalActions[Joueur],$B62,JournalActions[Action],$H$60,JournalActions[Mi-temps],I$61))</f>
        <v/>
      </c>
      <c r="J62" s="92" t="str">
        <f>IF(COUNTIFS(JournalActions[Joueur],$B62,JournalActions[Action],$J$60,JournalActions[Mi-temps],J$61)=0,"",COUNTIFS(JournalActions[Joueur],$B62,JournalActions[Action],$J$60,JournalActions[Mi-temps],J$61))</f>
        <v/>
      </c>
      <c r="K62" s="93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4" s="29" customFormat="1">
      <c r="B63" s="92"/>
      <c r="C63" s="92" t="str">
        <f>IF(COUNTIFS(JournalActions[Joueur],$B63,JournalActions[Action],$C$60,JournalActions[Mi-temps],C$61)=0,"",COUNTIFS(JournalActions[Joueur],$B63,JournalActions[Action],$C$60,JournalActions[Mi-temps],C$61))</f>
        <v/>
      </c>
      <c r="D63" s="93" t="str">
        <f>IF(COUNTIFS(JournalActions[Joueur],$B63,JournalActions[Action],$C$60,JournalActions[Mi-temps],D$61)=0,"",COUNTIFS(JournalActions[Joueur],$B63,JournalActions[Action],$C$60,JournalActions[Mi-temps],D$61))</f>
        <v/>
      </c>
      <c r="E63" s="92" t="str">
        <f>IF(COUNTIFS(JournalActions[Joueur],$B63,JournalActions[Action],$E$60,JournalActions[Mi-temps],E$61)=0,"",COUNTIFS(JournalActions[Joueur],$B63,JournalActions[Action],$E$60,JournalActions[Mi-temps],E$61))</f>
        <v/>
      </c>
      <c r="F63" s="93" t="str">
        <f>IF(COUNTIFS(JournalActions[Joueur],$B63,JournalActions[Action],$E$60,JournalActions[Mi-temps],F$61)=0,"",COUNTIFS(JournalActions[Joueur],$B63,JournalActions[Action],$E$60,JournalActions[Mi-temps],F$61))</f>
        <v/>
      </c>
      <c r="H63" s="92" t="str">
        <f>IF(COUNTIFS(JournalActions[Joueur],$B63,JournalActions[Action],$H$60,JournalActions[Mi-temps],H$61)=0,"",COUNTIFS(JournalActions[Joueur],$B63,JournalActions[Action],$H$60,JournalActions[Mi-temps],H$61))</f>
        <v/>
      </c>
      <c r="I63" s="93" t="str">
        <f>IF(COUNTIFS(JournalActions[Joueur],$B63,JournalActions[Action],$H$60,JournalActions[Mi-temps],I$61)=0,"",COUNTIFS(JournalActions[Joueur],$B63,JournalActions[Action],$H$60,JournalActions[Mi-temps],I$61))</f>
        <v/>
      </c>
      <c r="J63" s="92" t="str">
        <f>IF(COUNTIFS(JournalActions[Joueur],$B63,JournalActions[Action],$J$60,JournalActions[Mi-temps],J$61)=0,"",COUNTIFS(JournalActions[Joueur],$B63,JournalActions[Action],$J$60,JournalActions[Mi-temps],J$61))</f>
        <v/>
      </c>
      <c r="K63" s="93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4" s="29" customFormat="1">
      <c r="B64" s="92"/>
      <c r="C64" s="92" t="str">
        <f>IF(COUNTIFS(JournalActions[Joueur],$B64,JournalActions[Action],$C$60,JournalActions[Mi-temps],C$61)=0,"",COUNTIFS(JournalActions[Joueur],$B64,JournalActions[Action],$C$60,JournalActions[Mi-temps],C$61))</f>
        <v/>
      </c>
      <c r="D64" s="93" t="str">
        <f>IF(COUNTIFS(JournalActions[Joueur],$B64,JournalActions[Action],$C$60,JournalActions[Mi-temps],D$61)=0,"",COUNTIFS(JournalActions[Joueur],$B64,JournalActions[Action],$C$60,JournalActions[Mi-temps],D$61))</f>
        <v/>
      </c>
      <c r="E64" s="92" t="str">
        <f>IF(COUNTIFS(JournalActions[Joueur],$B64,JournalActions[Action],$E$60,JournalActions[Mi-temps],E$61)=0,"",COUNTIFS(JournalActions[Joueur],$B64,JournalActions[Action],$E$60,JournalActions[Mi-temps],E$61))</f>
        <v/>
      </c>
      <c r="F64" s="93" t="str">
        <f>IF(COUNTIFS(JournalActions[Joueur],$B64,JournalActions[Action],$E$60,JournalActions[Mi-temps],F$61)=0,"",COUNTIFS(JournalActions[Joueur],$B64,JournalActions[Action],$E$60,JournalActions[Mi-temps],F$61))</f>
        <v/>
      </c>
      <c r="H64" s="92" t="str">
        <f>IF(COUNTIFS(JournalActions[Joueur],$B64,JournalActions[Action],$H$60,JournalActions[Mi-temps],H$61)=0,"",COUNTIFS(JournalActions[Joueur],$B64,JournalActions[Action],$H$60,JournalActions[Mi-temps],H$61))</f>
        <v/>
      </c>
      <c r="I64" s="93" t="str">
        <f>IF(COUNTIFS(JournalActions[Joueur],$B64,JournalActions[Action],$H$60,JournalActions[Mi-temps],I$61)=0,"",COUNTIFS(JournalActions[Joueur],$B64,JournalActions[Action],$H$60,JournalActions[Mi-temps],I$61))</f>
        <v/>
      </c>
      <c r="J64" s="92" t="str">
        <f>IF(COUNTIFS(JournalActions[Joueur],$B64,JournalActions[Action],$J$60,JournalActions[Mi-temps],J$61)=0,"",COUNTIFS(JournalActions[Joueur],$B64,JournalActions[Action],$J$60,JournalActions[Mi-temps],J$61))</f>
        <v/>
      </c>
      <c r="K64" s="93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9" customFormat="1">
      <c r="B65" s="92"/>
      <c r="C65" s="92" t="str">
        <f>IF(COUNTIFS(JournalActions[Joueur],$B65,JournalActions[Action],$C$60,JournalActions[Mi-temps],C$61)=0,"",COUNTIFS(JournalActions[Joueur],$B65,JournalActions[Action],$C$60,JournalActions[Mi-temps],C$61))</f>
        <v/>
      </c>
      <c r="D65" s="93" t="str">
        <f>IF(COUNTIFS(JournalActions[Joueur],$B65,JournalActions[Action],$C$60,JournalActions[Mi-temps],D$61)=0,"",COUNTIFS(JournalActions[Joueur],$B65,JournalActions[Action],$C$60,JournalActions[Mi-temps],D$61))</f>
        <v/>
      </c>
      <c r="E65" s="92" t="str">
        <f>IF(COUNTIFS(JournalActions[Joueur],$B65,JournalActions[Action],$E$60,JournalActions[Mi-temps],E$61)=0,"",COUNTIFS(JournalActions[Joueur],$B65,JournalActions[Action],$E$60,JournalActions[Mi-temps],E$61))</f>
        <v/>
      </c>
      <c r="F65" s="93" t="str">
        <f>IF(COUNTIFS(JournalActions[Joueur],$B65,JournalActions[Action],$E$60,JournalActions[Mi-temps],F$61)=0,"",COUNTIFS(JournalActions[Joueur],$B65,JournalActions[Action],$E$60,JournalActions[Mi-temps],F$61))</f>
        <v/>
      </c>
      <c r="H65" s="92" t="str">
        <f>IF(COUNTIFS(JournalActions[Joueur],$B65,JournalActions[Action],$H$60,JournalActions[Mi-temps],H$61)=0,"",COUNTIFS(JournalActions[Joueur],$B65,JournalActions[Action],$H$60,JournalActions[Mi-temps],H$61))</f>
        <v/>
      </c>
      <c r="I65" s="93" t="str">
        <f>IF(COUNTIFS(JournalActions[Joueur],$B65,JournalActions[Action],$H$60,JournalActions[Mi-temps],I$61)=0,"",COUNTIFS(JournalActions[Joueur],$B65,JournalActions[Action],$H$60,JournalActions[Mi-temps],I$61))</f>
        <v/>
      </c>
      <c r="J65" s="92" t="str">
        <f>IF(COUNTIFS(JournalActions[Joueur],$B65,JournalActions[Action],$J$60,JournalActions[Mi-temps],J$61)=0,"",COUNTIFS(JournalActions[Joueur],$B65,JournalActions[Action],$J$60,JournalActions[Mi-temps],J$61))</f>
        <v/>
      </c>
      <c r="K65" s="93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9" customFormat="1">
      <c r="B66" s="92"/>
      <c r="C66" s="92" t="str">
        <f>IF(COUNTIFS(JournalActions[Joueur],$B66,JournalActions[Action],$C$60,JournalActions[Mi-temps],C$61)=0,"",COUNTIFS(JournalActions[Joueur],$B66,JournalActions[Action],$C$60,JournalActions[Mi-temps],C$61))</f>
        <v/>
      </c>
      <c r="D66" s="93" t="str">
        <f>IF(COUNTIFS(JournalActions[Joueur],$B66,JournalActions[Action],$C$60,JournalActions[Mi-temps],D$61)=0,"",COUNTIFS(JournalActions[Joueur],$B66,JournalActions[Action],$C$60,JournalActions[Mi-temps],D$61))</f>
        <v/>
      </c>
      <c r="E66" s="92" t="str">
        <f>IF(COUNTIFS(JournalActions[Joueur],$B66,JournalActions[Action],$E$60,JournalActions[Mi-temps],E$61)=0,"",COUNTIFS(JournalActions[Joueur],$B66,JournalActions[Action],$E$60,JournalActions[Mi-temps],E$61))</f>
        <v/>
      </c>
      <c r="F66" s="93" t="str">
        <f>IF(COUNTIFS(JournalActions[Joueur],$B66,JournalActions[Action],$E$60,JournalActions[Mi-temps],F$61)=0,"",COUNTIFS(JournalActions[Joueur],$B66,JournalActions[Action],$E$60,JournalActions[Mi-temps],F$61))</f>
        <v/>
      </c>
      <c r="H66" s="92" t="str">
        <f>IF(COUNTIFS(JournalActions[Joueur],$B66,JournalActions[Action],$H$60,JournalActions[Mi-temps],H$61)=0,"",COUNTIFS(JournalActions[Joueur],$B66,JournalActions[Action],$H$60,JournalActions[Mi-temps],H$61))</f>
        <v/>
      </c>
      <c r="I66" s="93" t="str">
        <f>IF(COUNTIFS(JournalActions[Joueur],$B66,JournalActions[Action],$H$60,JournalActions[Mi-temps],I$61)=0,"",COUNTIFS(JournalActions[Joueur],$B66,JournalActions[Action],$H$60,JournalActions[Mi-temps],I$61))</f>
        <v/>
      </c>
      <c r="J66" s="92" t="str">
        <f>IF(COUNTIFS(JournalActions[Joueur],$B66,JournalActions[Action],$J$60,JournalActions[Mi-temps],J$61)=0,"",COUNTIFS(JournalActions[Joueur],$B66,JournalActions[Action],$J$60,JournalActions[Mi-temps],J$61))</f>
        <v/>
      </c>
      <c r="K66" s="93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9" customFormat="1">
      <c r="B67" s="92"/>
      <c r="C67" s="92" t="str">
        <f>IF(COUNTIFS(JournalActions[Joueur],$B67,JournalActions[Action],$C$60,JournalActions[Mi-temps],C$61)=0,"",COUNTIFS(JournalActions[Joueur],$B67,JournalActions[Action],$C$60,JournalActions[Mi-temps],C$61))</f>
        <v/>
      </c>
      <c r="D67" s="93" t="str">
        <f>IF(COUNTIFS(JournalActions[Joueur],$B67,JournalActions[Action],$C$60,JournalActions[Mi-temps],D$61)=0,"",COUNTIFS(JournalActions[Joueur],$B67,JournalActions[Action],$C$60,JournalActions[Mi-temps],D$61))</f>
        <v/>
      </c>
      <c r="E67" s="92" t="str">
        <f>IF(COUNTIFS(JournalActions[Joueur],$B67,JournalActions[Action],$E$60,JournalActions[Mi-temps],E$61)=0,"",COUNTIFS(JournalActions[Joueur],$B67,JournalActions[Action],$E$60,JournalActions[Mi-temps],E$61))</f>
        <v/>
      </c>
      <c r="F67" s="93" t="str">
        <f>IF(COUNTIFS(JournalActions[Joueur],$B67,JournalActions[Action],$E$60,JournalActions[Mi-temps],F$61)=0,"",COUNTIFS(JournalActions[Joueur],$B67,JournalActions[Action],$E$60,JournalActions[Mi-temps],F$61))</f>
        <v/>
      </c>
      <c r="H67" s="92" t="str">
        <f>IF(COUNTIFS(JournalActions[Joueur],$B67,JournalActions[Action],$H$60,JournalActions[Mi-temps],H$61)=0,"",COUNTIFS(JournalActions[Joueur],$B67,JournalActions[Action],$H$60,JournalActions[Mi-temps],H$61))</f>
        <v/>
      </c>
      <c r="I67" s="93" t="str">
        <f>IF(COUNTIFS(JournalActions[Joueur],$B67,JournalActions[Action],$H$60,JournalActions[Mi-temps],I$61)=0,"",COUNTIFS(JournalActions[Joueur],$B67,JournalActions[Action],$H$60,JournalActions[Mi-temps],I$61))</f>
        <v/>
      </c>
      <c r="J67" s="92" t="str">
        <f>IF(COUNTIFS(JournalActions[Joueur],$B67,JournalActions[Action],$J$60,JournalActions[Mi-temps],J$61)=0,"",COUNTIFS(JournalActions[Joueur],$B67,JournalActions[Action],$J$60,JournalActions[Mi-temps],J$61))</f>
        <v/>
      </c>
      <c r="K67" s="93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9" customFormat="1">
      <c r="B68" s="92"/>
      <c r="C68" s="92" t="str">
        <f>IF(COUNTIFS(JournalActions[Joueur],$B68,JournalActions[Action],$C$60,JournalActions[Mi-temps],C$61)=0,"",COUNTIFS(JournalActions[Joueur],$B68,JournalActions[Action],$C$60,JournalActions[Mi-temps],C$61))</f>
        <v/>
      </c>
      <c r="D68" s="93" t="str">
        <f>IF(COUNTIFS(JournalActions[Joueur],$B68,JournalActions[Action],$C$60,JournalActions[Mi-temps],D$61)=0,"",COUNTIFS(JournalActions[Joueur],$B68,JournalActions[Action],$C$60,JournalActions[Mi-temps],D$61))</f>
        <v/>
      </c>
      <c r="E68" s="92" t="str">
        <f>IF(COUNTIFS(JournalActions[Joueur],$B68,JournalActions[Action],$E$60,JournalActions[Mi-temps],E$61)=0,"",COUNTIFS(JournalActions[Joueur],$B68,JournalActions[Action],$E$60,JournalActions[Mi-temps],E$61))</f>
        <v/>
      </c>
      <c r="F68" s="93" t="str">
        <f>IF(COUNTIFS(JournalActions[Joueur],$B68,JournalActions[Action],$E$60,JournalActions[Mi-temps],F$61)=0,"",COUNTIFS(JournalActions[Joueur],$B68,JournalActions[Action],$E$60,JournalActions[Mi-temps],F$61))</f>
        <v/>
      </c>
      <c r="H68" s="92" t="str">
        <f>IF(COUNTIFS(JournalActions[Joueur],$B68,JournalActions[Action],$H$60,JournalActions[Mi-temps],H$61)=0,"",COUNTIFS(JournalActions[Joueur],$B68,JournalActions[Action],$H$60,JournalActions[Mi-temps],H$61))</f>
        <v/>
      </c>
      <c r="I68" s="93" t="str">
        <f>IF(COUNTIFS(JournalActions[Joueur],$B68,JournalActions[Action],$H$60,JournalActions[Mi-temps],I$61)=0,"",COUNTIFS(JournalActions[Joueur],$B68,JournalActions[Action],$H$60,JournalActions[Mi-temps],I$61))</f>
        <v/>
      </c>
      <c r="J68" s="92" t="str">
        <f>IF(COUNTIFS(JournalActions[Joueur],$B68,JournalActions[Action],$J$60,JournalActions[Mi-temps],J$61)=0,"",COUNTIFS(JournalActions[Joueur],$B68,JournalActions[Action],$J$60,JournalActions[Mi-temps],J$61))</f>
        <v/>
      </c>
      <c r="K68" s="93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9" customFormat="1">
      <c r="B69" s="92"/>
      <c r="C69" s="92" t="str">
        <f>IF(COUNTIFS(JournalActions[Joueur],$B69,JournalActions[Action],$C$60,JournalActions[Mi-temps],C$61)=0,"",COUNTIFS(JournalActions[Joueur],$B69,JournalActions[Action],$C$60,JournalActions[Mi-temps],C$61))</f>
        <v/>
      </c>
      <c r="D69" s="93" t="str">
        <f>IF(COUNTIFS(JournalActions[Joueur],$B69,JournalActions[Action],$C$60,JournalActions[Mi-temps],D$61)=0,"",COUNTIFS(JournalActions[Joueur],$B69,JournalActions[Action],$C$60,JournalActions[Mi-temps],D$61))</f>
        <v/>
      </c>
      <c r="E69" s="92" t="str">
        <f>IF(COUNTIFS(JournalActions[Joueur],$B69,JournalActions[Action],$E$60,JournalActions[Mi-temps],E$61)=0,"",COUNTIFS(JournalActions[Joueur],$B69,JournalActions[Action],$E$60,JournalActions[Mi-temps],E$61))</f>
        <v/>
      </c>
      <c r="F69" s="93" t="str">
        <f>IF(COUNTIFS(JournalActions[Joueur],$B69,JournalActions[Action],$E$60,JournalActions[Mi-temps],F$61)=0,"",COUNTIFS(JournalActions[Joueur],$B69,JournalActions[Action],$E$60,JournalActions[Mi-temps],F$61))</f>
        <v/>
      </c>
      <c r="H69" s="92" t="str">
        <f>IF(COUNTIFS(JournalActions[Joueur],$B69,JournalActions[Action],$H$60,JournalActions[Mi-temps],H$61)=0,"",COUNTIFS(JournalActions[Joueur],$B69,JournalActions[Action],$H$60,JournalActions[Mi-temps],H$61))</f>
        <v/>
      </c>
      <c r="I69" s="93" t="str">
        <f>IF(COUNTIFS(JournalActions[Joueur],$B69,JournalActions[Action],$H$60,JournalActions[Mi-temps],I$61)=0,"",COUNTIFS(JournalActions[Joueur],$B69,JournalActions[Action],$H$60,JournalActions[Mi-temps],I$61))</f>
        <v/>
      </c>
      <c r="J69" s="92" t="str">
        <f>IF(COUNTIFS(JournalActions[Joueur],$B69,JournalActions[Action],$J$60,JournalActions[Mi-temps],J$61)=0,"",COUNTIFS(JournalActions[Joueur],$B69,JournalActions[Action],$J$60,JournalActions[Mi-temps],J$61))</f>
        <v/>
      </c>
      <c r="K69" s="93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9" customFormat="1">
      <c r="B70" s="92"/>
      <c r="C70" s="92" t="str">
        <f>IF(COUNTIFS(JournalActions[Joueur],$B70,JournalActions[Action],$C$60,JournalActions[Mi-temps],C$61)=0,"",COUNTIFS(JournalActions[Joueur],$B70,JournalActions[Action],$C$60,JournalActions[Mi-temps],C$61))</f>
        <v/>
      </c>
      <c r="D70" s="93" t="str">
        <f>IF(COUNTIFS(JournalActions[Joueur],$B70,JournalActions[Action],$C$60,JournalActions[Mi-temps],D$61)=0,"",COUNTIFS(JournalActions[Joueur],$B70,JournalActions[Action],$C$60,JournalActions[Mi-temps],D$61))</f>
        <v/>
      </c>
      <c r="E70" s="92" t="str">
        <f>IF(COUNTIFS(JournalActions[Joueur],$B70,JournalActions[Action],$E$60,JournalActions[Mi-temps],E$61)=0,"",COUNTIFS(JournalActions[Joueur],$B70,JournalActions[Action],$E$60,JournalActions[Mi-temps],E$61))</f>
        <v/>
      </c>
      <c r="F70" s="93" t="str">
        <f>IF(COUNTIFS(JournalActions[Joueur],$B70,JournalActions[Action],$E$60,JournalActions[Mi-temps],F$61)=0,"",COUNTIFS(JournalActions[Joueur],$B70,JournalActions[Action],$E$60,JournalActions[Mi-temps],F$61))</f>
        <v/>
      </c>
      <c r="H70" s="92" t="str">
        <f>IF(COUNTIFS(JournalActions[Joueur],$B70,JournalActions[Action],$H$60,JournalActions[Mi-temps],H$61)=0,"",COUNTIFS(JournalActions[Joueur],$B70,JournalActions[Action],$H$60,JournalActions[Mi-temps],H$61))</f>
        <v/>
      </c>
      <c r="I70" s="93" t="str">
        <f>IF(COUNTIFS(JournalActions[Joueur],$B70,JournalActions[Action],$H$60,JournalActions[Mi-temps],I$61)=0,"",COUNTIFS(JournalActions[Joueur],$B70,JournalActions[Action],$H$60,JournalActions[Mi-temps],I$61))</f>
        <v/>
      </c>
      <c r="J70" s="92" t="str">
        <f>IF(COUNTIFS(JournalActions[Joueur],$B70,JournalActions[Action],$J$60,JournalActions[Mi-temps],J$61)=0,"",COUNTIFS(JournalActions[Joueur],$B70,JournalActions[Action],$J$60,JournalActions[Mi-temps],J$61))</f>
        <v/>
      </c>
      <c r="K70" s="93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9" customFormat="1">
      <c r="B71" s="92"/>
      <c r="C71" s="92" t="str">
        <f>IF(COUNTIFS(JournalActions[Joueur],$B71,JournalActions[Action],$C$60,JournalActions[Mi-temps],C$61)=0,"",COUNTIFS(JournalActions[Joueur],$B71,JournalActions[Action],$C$60,JournalActions[Mi-temps],C$61))</f>
        <v/>
      </c>
      <c r="D71" s="93" t="str">
        <f>IF(COUNTIFS(JournalActions[Joueur],$B71,JournalActions[Action],$C$60,JournalActions[Mi-temps],D$61)=0,"",COUNTIFS(JournalActions[Joueur],$B71,JournalActions[Action],$C$60,JournalActions[Mi-temps],D$61))</f>
        <v/>
      </c>
      <c r="E71" s="92" t="str">
        <f>IF(COUNTIFS(JournalActions[Joueur],$B71,JournalActions[Action],$E$60,JournalActions[Mi-temps],E$61)=0,"",COUNTIFS(JournalActions[Joueur],$B71,JournalActions[Action],$E$60,JournalActions[Mi-temps],E$61))</f>
        <v/>
      </c>
      <c r="F71" s="93" t="str">
        <f>IF(COUNTIFS(JournalActions[Joueur],$B71,JournalActions[Action],$E$60,JournalActions[Mi-temps],F$61)=0,"",COUNTIFS(JournalActions[Joueur],$B71,JournalActions[Action],$E$60,JournalActions[Mi-temps],F$61))</f>
        <v/>
      </c>
      <c r="H71" s="92" t="str">
        <f>IF(COUNTIFS(JournalActions[Joueur],$B71,JournalActions[Action],$H$60,JournalActions[Mi-temps],H$61)=0,"",COUNTIFS(JournalActions[Joueur],$B71,JournalActions[Action],$H$60,JournalActions[Mi-temps],H$61))</f>
        <v/>
      </c>
      <c r="I71" s="93" t="str">
        <f>IF(COUNTIFS(JournalActions[Joueur],$B71,JournalActions[Action],$H$60,JournalActions[Mi-temps],I$61)=0,"",COUNTIFS(JournalActions[Joueur],$B71,JournalActions[Action],$H$60,JournalActions[Mi-temps],I$61))</f>
        <v/>
      </c>
      <c r="J71" s="92" t="str">
        <f>IF(COUNTIFS(JournalActions[Joueur],$B71,JournalActions[Action],$J$60,JournalActions[Mi-temps],J$61)=0,"",COUNTIFS(JournalActions[Joueur],$B71,JournalActions[Action],$J$60,JournalActions[Mi-temps],J$61))</f>
        <v/>
      </c>
      <c r="K71" s="93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9" customFormat="1">
      <c r="B72" s="92"/>
      <c r="C72" s="92" t="str">
        <f>IF(COUNTIFS(JournalActions[Joueur],$B72,JournalActions[Action],$C$60,JournalActions[Mi-temps],C$61)=0,"",COUNTIFS(JournalActions[Joueur],$B72,JournalActions[Action],$C$60,JournalActions[Mi-temps],C$61))</f>
        <v/>
      </c>
      <c r="D72" s="93" t="str">
        <f>IF(COUNTIFS(JournalActions[Joueur],$B72,JournalActions[Action],$C$60,JournalActions[Mi-temps],D$61)=0,"",COUNTIFS(JournalActions[Joueur],$B72,JournalActions[Action],$C$60,JournalActions[Mi-temps],D$61))</f>
        <v/>
      </c>
      <c r="E72" s="92" t="str">
        <f>IF(COUNTIFS(JournalActions[Joueur],$B72,JournalActions[Action],$E$60,JournalActions[Mi-temps],E$61)=0,"",COUNTIFS(JournalActions[Joueur],$B72,JournalActions[Action],$E$60,JournalActions[Mi-temps],E$61))</f>
        <v/>
      </c>
      <c r="F72" s="93" t="str">
        <f>IF(COUNTIFS(JournalActions[Joueur],$B72,JournalActions[Action],$E$60,JournalActions[Mi-temps],F$61)=0,"",COUNTIFS(JournalActions[Joueur],$B72,JournalActions[Action],$E$60,JournalActions[Mi-temps],F$61))</f>
        <v/>
      </c>
      <c r="H72" s="92" t="str">
        <f>IF(COUNTIFS(JournalActions[Joueur],$B72,JournalActions[Action],$H$60,JournalActions[Mi-temps],H$61)=0,"",COUNTIFS(JournalActions[Joueur],$B72,JournalActions[Action],$H$60,JournalActions[Mi-temps],H$61))</f>
        <v/>
      </c>
      <c r="I72" s="93" t="str">
        <f>IF(COUNTIFS(JournalActions[Joueur],$B72,JournalActions[Action],$H$60,JournalActions[Mi-temps],I$61)=0,"",COUNTIFS(JournalActions[Joueur],$B72,JournalActions[Action],$H$60,JournalActions[Mi-temps],I$61))</f>
        <v/>
      </c>
      <c r="J72" s="92" t="str">
        <f>IF(COUNTIFS(JournalActions[Joueur],$B72,JournalActions[Action],$J$60,JournalActions[Mi-temps],J$61)=0,"",COUNTIFS(JournalActions[Joueur],$B72,JournalActions[Action],$J$60,JournalActions[Mi-temps],J$61))</f>
        <v/>
      </c>
      <c r="K72" s="93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9" customFormat="1">
      <c r="B73" s="92"/>
      <c r="C73" s="92" t="str">
        <f>IF(COUNTIFS(JournalActions[Joueur],$B73,JournalActions[Action],$C$60,JournalActions[Mi-temps],C$61)=0,"",COUNTIFS(JournalActions[Joueur],$B73,JournalActions[Action],$C$60,JournalActions[Mi-temps],C$61))</f>
        <v/>
      </c>
      <c r="D73" s="93" t="str">
        <f>IF(COUNTIFS(JournalActions[Joueur],$B73,JournalActions[Action],$C$60,JournalActions[Mi-temps],D$61)=0,"",COUNTIFS(JournalActions[Joueur],$B73,JournalActions[Action],$C$60,JournalActions[Mi-temps],D$61))</f>
        <v/>
      </c>
      <c r="E73" s="92" t="str">
        <f>IF(COUNTIFS(JournalActions[Joueur],$B73,JournalActions[Action],$E$60,JournalActions[Mi-temps],E$61)=0,"",COUNTIFS(JournalActions[Joueur],$B73,JournalActions[Action],$E$60,JournalActions[Mi-temps],E$61))</f>
        <v/>
      </c>
      <c r="F73" s="93" t="str">
        <f>IF(COUNTIFS(JournalActions[Joueur],$B73,JournalActions[Action],$E$60,JournalActions[Mi-temps],F$61)=0,"",COUNTIFS(JournalActions[Joueur],$B73,JournalActions[Action],$E$60,JournalActions[Mi-temps],F$61))</f>
        <v/>
      </c>
      <c r="H73" s="92" t="str">
        <f>IF(COUNTIFS(JournalActions[Joueur],$B73,JournalActions[Action],$H$60,JournalActions[Mi-temps],H$61)=0,"",COUNTIFS(JournalActions[Joueur],$B73,JournalActions[Action],$H$60,JournalActions[Mi-temps],H$61))</f>
        <v/>
      </c>
      <c r="I73" s="93" t="str">
        <f>IF(COUNTIFS(JournalActions[Joueur],$B73,JournalActions[Action],$H$60,JournalActions[Mi-temps],I$61)=0,"",COUNTIFS(JournalActions[Joueur],$B73,JournalActions[Action],$H$60,JournalActions[Mi-temps],I$61))</f>
        <v/>
      </c>
      <c r="J73" s="92" t="str">
        <f>IF(COUNTIFS(JournalActions[Joueur],$B73,JournalActions[Action],$J$60,JournalActions[Mi-temps],J$61)=0,"",COUNTIFS(JournalActions[Joueur],$B73,JournalActions[Action],$J$60,JournalActions[Mi-temps],J$61))</f>
        <v/>
      </c>
      <c r="K73" s="93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9" customFormat="1">
      <c r="B74" s="92"/>
      <c r="C74" s="92" t="str">
        <f>IF(COUNTIFS(JournalActions[Joueur],$B74,JournalActions[Action],$C$60,JournalActions[Mi-temps],C$61)=0,"",COUNTIFS(JournalActions[Joueur],$B74,JournalActions[Action],$C$60,JournalActions[Mi-temps],C$61))</f>
        <v/>
      </c>
      <c r="D74" s="93" t="str">
        <f>IF(COUNTIFS(JournalActions[Joueur],$B74,JournalActions[Action],$C$60,JournalActions[Mi-temps],D$61)=0,"",COUNTIFS(JournalActions[Joueur],$B74,JournalActions[Action],$C$60,JournalActions[Mi-temps],D$61))</f>
        <v/>
      </c>
      <c r="E74" s="92" t="str">
        <f>IF(COUNTIFS(JournalActions[Joueur],$B74,JournalActions[Action],$E$60,JournalActions[Mi-temps],E$61)=0,"",COUNTIFS(JournalActions[Joueur],$B74,JournalActions[Action],$E$60,JournalActions[Mi-temps],E$61))</f>
        <v/>
      </c>
      <c r="F74" s="93" t="str">
        <f>IF(COUNTIFS(JournalActions[Joueur],$B74,JournalActions[Action],$E$60,JournalActions[Mi-temps],F$61)=0,"",COUNTIFS(JournalActions[Joueur],$B74,JournalActions[Action],$E$60,JournalActions[Mi-temps],F$61))</f>
        <v/>
      </c>
      <c r="H74" s="92" t="str">
        <f>IF(COUNTIFS(JournalActions[Joueur],$B74,JournalActions[Action],$H$60,JournalActions[Mi-temps],H$61)=0,"",COUNTIFS(JournalActions[Joueur],$B74,JournalActions[Action],$H$60,JournalActions[Mi-temps],H$61))</f>
        <v/>
      </c>
      <c r="I74" s="93" t="str">
        <f>IF(COUNTIFS(JournalActions[Joueur],$B74,JournalActions[Action],$H$60,JournalActions[Mi-temps],I$61)=0,"",COUNTIFS(JournalActions[Joueur],$B74,JournalActions[Action],$H$60,JournalActions[Mi-temps],I$61))</f>
        <v/>
      </c>
      <c r="J74" s="92" t="str">
        <f>IF(COUNTIFS(JournalActions[Joueur],$B74,JournalActions[Action],$J$60,JournalActions[Mi-temps],J$61)=0,"",COUNTIFS(JournalActions[Joueur],$B74,JournalActions[Action],$J$60,JournalActions[Mi-temps],J$61))</f>
        <v/>
      </c>
      <c r="K74" s="93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9" customFormat="1">
      <c r="B75" s="92"/>
      <c r="C75" s="92" t="str">
        <f>IF(COUNTIFS(JournalActions[Joueur],$B75,JournalActions[Action],$C$60,JournalActions[Mi-temps],C$61)=0,"",COUNTIFS(JournalActions[Joueur],$B75,JournalActions[Action],$C$60,JournalActions[Mi-temps],C$61))</f>
        <v/>
      </c>
      <c r="D75" s="93" t="str">
        <f>IF(COUNTIFS(JournalActions[Joueur],$B75,JournalActions[Action],$C$60,JournalActions[Mi-temps],D$61)=0,"",COUNTIFS(JournalActions[Joueur],$B75,JournalActions[Action],$C$60,JournalActions[Mi-temps],D$61))</f>
        <v/>
      </c>
      <c r="E75" s="92" t="str">
        <f>IF(COUNTIFS(JournalActions[Joueur],$B75,JournalActions[Action],$E$60,JournalActions[Mi-temps],E$61)=0,"",COUNTIFS(JournalActions[Joueur],$B75,JournalActions[Action],$E$60,JournalActions[Mi-temps],E$61))</f>
        <v/>
      </c>
      <c r="F75" s="93" t="str">
        <f>IF(COUNTIFS(JournalActions[Joueur],$B75,JournalActions[Action],$E$60,JournalActions[Mi-temps],F$61)=0,"",COUNTIFS(JournalActions[Joueur],$B75,JournalActions[Action],$E$60,JournalActions[Mi-temps],F$61))</f>
        <v/>
      </c>
      <c r="H75" s="92" t="str">
        <f>IF(COUNTIFS(JournalActions[Joueur],$B75,JournalActions[Action],$H$60,JournalActions[Mi-temps],H$61)=0,"",COUNTIFS(JournalActions[Joueur],$B75,JournalActions[Action],$H$60,JournalActions[Mi-temps],H$61))</f>
        <v/>
      </c>
      <c r="I75" s="93" t="str">
        <f>IF(COUNTIFS(JournalActions[Joueur],$B75,JournalActions[Action],$H$60,JournalActions[Mi-temps],I$61)=0,"",COUNTIFS(JournalActions[Joueur],$B75,JournalActions[Action],$H$60,JournalActions[Mi-temps],I$61))</f>
        <v/>
      </c>
      <c r="J75" s="92" t="str">
        <f>IF(COUNTIFS(JournalActions[Joueur],$B75,JournalActions[Action],$J$60,JournalActions[Mi-temps],J$61)=0,"",COUNTIFS(JournalActions[Joueur],$B75,JournalActions[Action],$J$60,JournalActions[Mi-temps],J$61))</f>
        <v/>
      </c>
      <c r="K75" s="93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9" customFormat="1">
      <c r="B76" s="92"/>
      <c r="C76" s="92" t="str">
        <f>IF(COUNTIFS(JournalActions[Joueur],$B76,JournalActions[Action],$C$60,JournalActions[Mi-temps],C$61)=0,"",COUNTIFS(JournalActions[Joueur],$B76,JournalActions[Action],$C$60,JournalActions[Mi-temps],C$61))</f>
        <v/>
      </c>
      <c r="D76" s="93" t="str">
        <f>IF(COUNTIFS(JournalActions[Joueur],$B76,JournalActions[Action],$C$60,JournalActions[Mi-temps],D$61)=0,"",COUNTIFS(JournalActions[Joueur],$B76,JournalActions[Action],$C$60,JournalActions[Mi-temps],D$61))</f>
        <v/>
      </c>
      <c r="E76" s="92" t="str">
        <f>IF(COUNTIFS(JournalActions[Joueur],$B76,JournalActions[Action],$E$60,JournalActions[Mi-temps],E$61)=0,"",COUNTIFS(JournalActions[Joueur],$B76,JournalActions[Action],$E$60,JournalActions[Mi-temps],E$61))</f>
        <v/>
      </c>
      <c r="F76" s="93" t="str">
        <f>IF(COUNTIFS(JournalActions[Joueur],$B76,JournalActions[Action],$E$60,JournalActions[Mi-temps],F$61)=0,"",COUNTIFS(JournalActions[Joueur],$B76,JournalActions[Action],$E$60,JournalActions[Mi-temps],F$61))</f>
        <v/>
      </c>
      <c r="H76" s="92" t="str">
        <f>IF(COUNTIFS(JournalActions[Joueur],$B76,JournalActions[Action],$H$60,JournalActions[Mi-temps],H$61)=0,"",COUNTIFS(JournalActions[Joueur],$B76,JournalActions[Action],$H$60,JournalActions[Mi-temps],H$61))</f>
        <v/>
      </c>
      <c r="I76" s="93" t="str">
        <f>IF(COUNTIFS(JournalActions[Joueur],$B76,JournalActions[Action],$H$60,JournalActions[Mi-temps],I$61)=0,"",COUNTIFS(JournalActions[Joueur],$B76,JournalActions[Action],$H$60,JournalActions[Mi-temps],I$61))</f>
        <v/>
      </c>
      <c r="J76" s="92" t="str">
        <f>IF(COUNTIFS(JournalActions[Joueur],$B76,JournalActions[Action],$J$60,JournalActions[Mi-temps],J$61)=0,"",COUNTIFS(JournalActions[Joueur],$B76,JournalActions[Action],$J$60,JournalActions[Mi-temps],J$61))</f>
        <v/>
      </c>
      <c r="K76" s="93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9" customFormat="1">
      <c r="B77" s="92"/>
      <c r="C77" s="92" t="str">
        <f>IF(COUNTIFS(JournalActions[Joueur],$B77,JournalActions[Action],$C$60,JournalActions[Mi-temps],C$61)=0,"",COUNTIFS(JournalActions[Joueur],$B77,JournalActions[Action],$C$60,JournalActions[Mi-temps],C$61))</f>
        <v/>
      </c>
      <c r="D77" s="93" t="str">
        <f>IF(COUNTIFS(JournalActions[Joueur],$B77,JournalActions[Action],$C$60,JournalActions[Mi-temps],D$61)=0,"",COUNTIFS(JournalActions[Joueur],$B77,JournalActions[Action],$C$60,JournalActions[Mi-temps],D$61))</f>
        <v/>
      </c>
      <c r="E77" s="92" t="str">
        <f>IF(COUNTIFS(JournalActions[Joueur],$B77,JournalActions[Action],$E$60,JournalActions[Mi-temps],E$61)=0,"",COUNTIFS(JournalActions[Joueur],$B77,JournalActions[Action],$E$60,JournalActions[Mi-temps],E$61))</f>
        <v/>
      </c>
      <c r="F77" s="93" t="str">
        <f>IF(COUNTIFS(JournalActions[Joueur],$B77,JournalActions[Action],$E$60,JournalActions[Mi-temps],F$61)=0,"",COUNTIFS(JournalActions[Joueur],$B77,JournalActions[Action],$E$60,JournalActions[Mi-temps],F$61))</f>
        <v/>
      </c>
      <c r="H77" s="92" t="str">
        <f>IF(COUNTIFS(JournalActions[Joueur],$B77,JournalActions[Action],$H$60,JournalActions[Mi-temps],H$61)=0,"",COUNTIFS(JournalActions[Joueur],$B77,JournalActions[Action],$H$60,JournalActions[Mi-temps],H$61))</f>
        <v/>
      </c>
      <c r="I77" s="93" t="str">
        <f>IF(COUNTIFS(JournalActions[Joueur],$B77,JournalActions[Action],$H$60,JournalActions[Mi-temps],I$61)=0,"",COUNTIFS(JournalActions[Joueur],$B77,JournalActions[Action],$H$60,JournalActions[Mi-temps],I$61))</f>
        <v/>
      </c>
      <c r="J77" s="92" t="str">
        <f>IF(COUNTIFS(JournalActions[Joueur],$B77,JournalActions[Action],$J$60,JournalActions[Mi-temps],J$61)=0,"",COUNTIFS(JournalActions[Joueur],$B77,JournalActions[Action],$J$60,JournalActions[Mi-temps],J$61))</f>
        <v/>
      </c>
      <c r="K77" s="93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9" customFormat="1">
      <c r="B78" s="92"/>
      <c r="C78" s="92" t="str">
        <f>IF(COUNTIFS(JournalActions[Joueur],$B78,JournalActions[Action],$C$60,JournalActions[Mi-temps],C$61)=0,"",COUNTIFS(JournalActions[Joueur],$B78,JournalActions[Action],$C$60,JournalActions[Mi-temps],C$61))</f>
        <v/>
      </c>
      <c r="D78" s="93" t="str">
        <f>IF(COUNTIFS(JournalActions[Joueur],$B78,JournalActions[Action],$C$60,JournalActions[Mi-temps],D$61)=0,"",COUNTIFS(JournalActions[Joueur],$B78,JournalActions[Action],$C$60,JournalActions[Mi-temps],D$61))</f>
        <v/>
      </c>
      <c r="E78" s="92" t="str">
        <f>IF(COUNTIFS(JournalActions[Joueur],$B78,JournalActions[Action],$E$60,JournalActions[Mi-temps],E$61)=0,"",COUNTIFS(JournalActions[Joueur],$B78,JournalActions[Action],$E$60,JournalActions[Mi-temps],E$61))</f>
        <v/>
      </c>
      <c r="F78" s="93" t="str">
        <f>IF(COUNTIFS(JournalActions[Joueur],$B78,JournalActions[Action],$E$60,JournalActions[Mi-temps],F$61)=0,"",COUNTIFS(JournalActions[Joueur],$B78,JournalActions[Action],$E$60,JournalActions[Mi-temps],F$61))</f>
        <v/>
      </c>
      <c r="H78" s="92" t="str">
        <f>IF(COUNTIFS(JournalActions[Joueur],$B78,JournalActions[Action],$H$60,JournalActions[Mi-temps],H$61)=0,"",COUNTIFS(JournalActions[Joueur],$B78,JournalActions[Action],$H$60,JournalActions[Mi-temps],H$61))</f>
        <v/>
      </c>
      <c r="I78" s="93" t="str">
        <f>IF(COUNTIFS(JournalActions[Joueur],$B78,JournalActions[Action],$H$60,JournalActions[Mi-temps],I$61)=0,"",COUNTIFS(JournalActions[Joueur],$B78,JournalActions[Action],$H$60,JournalActions[Mi-temps],I$61))</f>
        <v/>
      </c>
      <c r="J78" s="92" t="str">
        <f>IF(COUNTIFS(JournalActions[Joueur],$B78,JournalActions[Action],$J$60,JournalActions[Mi-temps],J$61)=0,"",COUNTIFS(JournalActions[Joueur],$B78,JournalActions[Action],$J$60,JournalActions[Mi-temps],J$61))</f>
        <v/>
      </c>
      <c r="K78" s="93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9" customFormat="1">
      <c r="B79" s="92"/>
      <c r="C79" s="92" t="str">
        <f>IF(COUNTIFS(JournalActions[Joueur],$B79,JournalActions[Action],$C$60,JournalActions[Mi-temps],C$61)=0,"",COUNTIFS(JournalActions[Joueur],$B79,JournalActions[Action],$C$60,JournalActions[Mi-temps],C$61))</f>
        <v/>
      </c>
      <c r="D79" s="93" t="str">
        <f>IF(COUNTIFS(JournalActions[Joueur],$B79,JournalActions[Action],$C$60,JournalActions[Mi-temps],D$61)=0,"",COUNTIFS(JournalActions[Joueur],$B79,JournalActions[Action],$C$60,JournalActions[Mi-temps],D$61))</f>
        <v/>
      </c>
      <c r="E79" s="92" t="str">
        <f>IF(COUNTIFS(JournalActions[Joueur],$B79,JournalActions[Action],$E$60,JournalActions[Mi-temps],E$61)=0,"",COUNTIFS(JournalActions[Joueur],$B79,JournalActions[Action],$E$60,JournalActions[Mi-temps],E$61))</f>
        <v/>
      </c>
      <c r="F79" s="93" t="str">
        <f>IF(COUNTIFS(JournalActions[Joueur],$B79,JournalActions[Action],$E$60,JournalActions[Mi-temps],F$61)=0,"",COUNTIFS(JournalActions[Joueur],$B79,JournalActions[Action],$E$60,JournalActions[Mi-temps],F$61))</f>
        <v/>
      </c>
      <c r="H79" s="92" t="str">
        <f>IF(COUNTIFS(JournalActions[Joueur],$B79,JournalActions[Action],$H$60,JournalActions[Mi-temps],H$61)=0,"",COUNTIFS(JournalActions[Joueur],$B79,JournalActions[Action],$H$60,JournalActions[Mi-temps],H$61))</f>
        <v/>
      </c>
      <c r="I79" s="93" t="str">
        <f>IF(COUNTIFS(JournalActions[Joueur],$B79,JournalActions[Action],$H$60,JournalActions[Mi-temps],I$61)=0,"",COUNTIFS(JournalActions[Joueur],$B79,JournalActions[Action],$H$60,JournalActions[Mi-temps],I$61))</f>
        <v/>
      </c>
      <c r="J79" s="92" t="str">
        <f>IF(COUNTIFS(JournalActions[Joueur],$B79,JournalActions[Action],$J$60,JournalActions[Mi-temps],J$61)=0,"",COUNTIFS(JournalActions[Joueur],$B79,JournalActions[Action],$J$60,JournalActions[Mi-temps],J$61))</f>
        <v/>
      </c>
      <c r="K79" s="93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9" customFormat="1">
      <c r="B80" s="92"/>
      <c r="C80" s="92" t="str">
        <f>IF(COUNTIFS(JournalActions[Joueur],$B80,JournalActions[Action],$C$60,JournalActions[Mi-temps],C$61)=0,"",COUNTIFS(JournalActions[Joueur],$B80,JournalActions[Action],$C$60,JournalActions[Mi-temps],C$61))</f>
        <v/>
      </c>
      <c r="D80" s="93" t="str">
        <f>IF(COUNTIFS(JournalActions[Joueur],$B80,JournalActions[Action],$C$60,JournalActions[Mi-temps],D$61)=0,"",COUNTIFS(JournalActions[Joueur],$B80,JournalActions[Action],$C$60,JournalActions[Mi-temps],D$61))</f>
        <v/>
      </c>
      <c r="E80" s="92" t="str">
        <f>IF(COUNTIFS(JournalActions[Joueur],$B80,JournalActions[Action],$E$60,JournalActions[Mi-temps],E$61)=0,"",COUNTIFS(JournalActions[Joueur],$B80,JournalActions[Action],$E$60,JournalActions[Mi-temps],E$61))</f>
        <v/>
      </c>
      <c r="F80" s="93" t="str">
        <f>IF(COUNTIFS(JournalActions[Joueur],$B80,JournalActions[Action],$E$60,JournalActions[Mi-temps],F$61)=0,"",COUNTIFS(JournalActions[Joueur],$B80,JournalActions[Action],$E$60,JournalActions[Mi-temps],F$61))</f>
        <v/>
      </c>
      <c r="H80" s="92" t="str">
        <f>IF(COUNTIFS(JournalActions[Joueur],$B80,JournalActions[Action],$H$60,JournalActions[Mi-temps],H$61)=0,"",COUNTIFS(JournalActions[Joueur],$B80,JournalActions[Action],$H$60,JournalActions[Mi-temps],H$61))</f>
        <v/>
      </c>
      <c r="I80" s="93" t="str">
        <f>IF(COUNTIFS(JournalActions[Joueur],$B80,JournalActions[Action],$H$60,JournalActions[Mi-temps],I$61)=0,"",COUNTIFS(JournalActions[Joueur],$B80,JournalActions[Action],$H$60,JournalActions[Mi-temps],I$61))</f>
        <v/>
      </c>
      <c r="J80" s="92" t="str">
        <f>IF(COUNTIFS(JournalActions[Joueur],$B80,JournalActions[Action],$J$60,JournalActions[Mi-temps],J$61)=0,"",COUNTIFS(JournalActions[Joueur],$B80,JournalActions[Action],$J$60,JournalActions[Mi-temps],J$61))</f>
        <v/>
      </c>
      <c r="K80" s="93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9" customFormat="1">
      <c r="B81" s="92"/>
      <c r="C81" s="92" t="str">
        <f>IF(COUNTIFS(JournalActions[Joueur],$B81,JournalActions[Action],$C$60,JournalActions[Mi-temps],C$61)=0,"",COUNTIFS(JournalActions[Joueur],$B81,JournalActions[Action],$C$60,JournalActions[Mi-temps],C$61))</f>
        <v/>
      </c>
      <c r="D81" s="93" t="str">
        <f>IF(COUNTIFS(JournalActions[Joueur],$B81,JournalActions[Action],$C$60,JournalActions[Mi-temps],D$61)=0,"",COUNTIFS(JournalActions[Joueur],$B81,JournalActions[Action],$C$60,JournalActions[Mi-temps],D$61))</f>
        <v/>
      </c>
      <c r="E81" s="92" t="str">
        <f>IF(COUNTIFS(JournalActions[Joueur],$B81,JournalActions[Action],$E$60,JournalActions[Mi-temps],E$61)=0,"",COUNTIFS(JournalActions[Joueur],$B81,JournalActions[Action],$E$60,JournalActions[Mi-temps],E$61))</f>
        <v/>
      </c>
      <c r="F81" s="93" t="str">
        <f>IF(COUNTIFS(JournalActions[Joueur],$B81,JournalActions[Action],$E$60,JournalActions[Mi-temps],F$61)=0,"",COUNTIFS(JournalActions[Joueur],$B81,JournalActions[Action],$E$60,JournalActions[Mi-temps],F$61))</f>
        <v/>
      </c>
      <c r="H81" s="92" t="str">
        <f>IF(COUNTIFS(JournalActions[Joueur],$B81,JournalActions[Action],$H$60,JournalActions[Mi-temps],H$61)=0,"",COUNTIFS(JournalActions[Joueur],$B81,JournalActions[Action],$H$60,JournalActions[Mi-temps],H$61))</f>
        <v/>
      </c>
      <c r="I81" s="93" t="str">
        <f>IF(COUNTIFS(JournalActions[Joueur],$B81,JournalActions[Action],$H$60,JournalActions[Mi-temps],I$61)=0,"",COUNTIFS(JournalActions[Joueur],$B81,JournalActions[Action],$H$60,JournalActions[Mi-temps],I$61))</f>
        <v/>
      </c>
      <c r="J81" s="92" t="str">
        <f>IF(COUNTIFS(JournalActions[Joueur],$B81,JournalActions[Action],$J$60,JournalActions[Mi-temps],J$61)=0,"",COUNTIFS(JournalActions[Joueur],$B81,JournalActions[Action],$J$60,JournalActions[Mi-temps],J$61))</f>
        <v/>
      </c>
      <c r="K81" s="93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9" customFormat="1">
      <c r="B82" s="92"/>
      <c r="C82" s="92" t="str">
        <f>IF(COUNTIFS(JournalActions[Joueur],$B82,JournalActions[Action],$C$60,JournalActions[Mi-temps],C$61)=0,"",COUNTIFS(JournalActions[Joueur],$B82,JournalActions[Action],$C$60,JournalActions[Mi-temps],C$61))</f>
        <v/>
      </c>
      <c r="D82" s="93" t="str">
        <f>IF(COUNTIFS(JournalActions[Joueur],$B82,JournalActions[Action],$C$60,JournalActions[Mi-temps],D$61)=0,"",COUNTIFS(JournalActions[Joueur],$B82,JournalActions[Action],$C$60,JournalActions[Mi-temps],D$61))</f>
        <v/>
      </c>
      <c r="E82" s="92" t="str">
        <f>IF(COUNTIFS(JournalActions[Joueur],$B82,JournalActions[Action],$E$60,JournalActions[Mi-temps],E$61)=0,"",COUNTIFS(JournalActions[Joueur],$B82,JournalActions[Action],$E$60,JournalActions[Mi-temps],E$61))</f>
        <v/>
      </c>
      <c r="F82" s="93" t="str">
        <f>IF(COUNTIFS(JournalActions[Joueur],$B82,JournalActions[Action],$E$60,JournalActions[Mi-temps],F$61)=0,"",COUNTIFS(JournalActions[Joueur],$B82,JournalActions[Action],$E$60,JournalActions[Mi-temps],F$61))</f>
        <v/>
      </c>
      <c r="H82" s="92" t="str">
        <f>IF(COUNTIFS(JournalActions[Joueur],$B82,JournalActions[Action],$H$60,JournalActions[Mi-temps],H$61)=0,"",COUNTIFS(JournalActions[Joueur],$B82,JournalActions[Action],$H$60,JournalActions[Mi-temps],H$61))</f>
        <v/>
      </c>
      <c r="I82" s="93" t="str">
        <f>IF(COUNTIFS(JournalActions[Joueur],$B82,JournalActions[Action],$H$60,JournalActions[Mi-temps],I$61)=0,"",COUNTIFS(JournalActions[Joueur],$B82,JournalActions[Action],$H$60,JournalActions[Mi-temps],I$61))</f>
        <v/>
      </c>
      <c r="J82" s="92" t="str">
        <f>IF(COUNTIFS(JournalActions[Joueur],$B82,JournalActions[Action],$J$60,JournalActions[Mi-temps],J$61)=0,"",COUNTIFS(JournalActions[Joueur],$B82,JournalActions[Action],$J$60,JournalActions[Mi-temps],J$61))</f>
        <v/>
      </c>
      <c r="K82" s="93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9" customFormat="1">
      <c r="B83" s="92"/>
      <c r="C83" s="92" t="str">
        <f>IF(COUNTIFS(JournalActions[Joueur],$B83,JournalActions[Action],$C$60,JournalActions[Mi-temps],C$61)=0,"",COUNTIFS(JournalActions[Joueur],$B83,JournalActions[Action],$C$60,JournalActions[Mi-temps],C$61))</f>
        <v/>
      </c>
      <c r="D83" s="93" t="str">
        <f>IF(COUNTIFS(JournalActions[Joueur],$B83,JournalActions[Action],$C$60,JournalActions[Mi-temps],D$61)=0,"",COUNTIFS(JournalActions[Joueur],$B83,JournalActions[Action],$C$60,JournalActions[Mi-temps],D$61))</f>
        <v/>
      </c>
      <c r="E83" s="156" t="str">
        <f>IF(COUNTIFS(JournalActions[Joueur],$B83,JournalActions[Action],$E$60,JournalActions[Mi-temps],E$61)=0,"",COUNTIFS(JournalActions[Joueur],$B83,JournalActions[Action],$E$60,JournalActions[Mi-temps],E$61))</f>
        <v/>
      </c>
      <c r="F83" s="93" t="str">
        <f>IF(COUNTIFS(JournalActions[Joueur],$B83,JournalActions[Action],$E$60,JournalActions[Mi-temps],F$61)=0,"",COUNTIFS(JournalActions[Joueur],$B83,JournalActions[Action],$E$60,JournalActions[Mi-temps],F$61))</f>
        <v/>
      </c>
      <c r="H83" s="92" t="str">
        <f>IF(COUNTIFS(JournalActions[Joueur],$B83,JournalActions[Action],$H$60,JournalActions[Mi-temps],H$61)=0,"",COUNTIFS(JournalActions[Joueur],$B83,JournalActions[Action],$H$60,JournalActions[Mi-temps],H$61))</f>
        <v/>
      </c>
      <c r="I83" s="93" t="str">
        <f>IF(COUNTIFS(JournalActions[Joueur],$B83,JournalActions[Action],$H$60,JournalActions[Mi-temps],I$61)=0,"",COUNTIFS(JournalActions[Joueur],$B83,JournalActions[Action],$H$60,JournalActions[Mi-temps],I$61))</f>
        <v/>
      </c>
      <c r="J83" s="92" t="str">
        <f>IF(COUNTIFS(JournalActions[Joueur],$B83,JournalActions[Action],$J$60,JournalActions[Mi-temps],J$61)=0,"",COUNTIFS(JournalActions[Joueur],$B83,JournalActions[Action],$J$60,JournalActions[Mi-temps],J$61))</f>
        <v/>
      </c>
      <c r="K83" s="93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9" customFormat="1">
      <c r="B84" s="90" t="s">
        <v>93</v>
      </c>
      <c r="C84" s="92" t="str">
        <f>IF(COUNTIFS(JournalActions[Joueur],$B84,JournalActions[Action],$C$60,JournalActions[Mi-temps],C$61)=0,"",COUNTIFS(JournalActions[Joueur],$B84,JournalActions[Action],$C$60,JournalActions[Mi-temps],C$61))</f>
        <v/>
      </c>
      <c r="D84" s="93" t="str">
        <f>IF(COUNTIFS(JournalActions[Joueur],$B84,JournalActions[Action],$C$60,JournalActions[Mi-temps],D$61)=0,"",COUNTIFS(JournalActions[Joueur],$B84,JournalActions[Action],$C$60,JournalActions[Mi-temps],D$61))</f>
        <v/>
      </c>
      <c r="E84" s="92" t="str">
        <f>IF(COUNTIFS(JournalActions[Joueur],$B84,JournalActions[Action],$E$60,JournalActions[Mi-temps],E$61)=0,"",COUNTIFS(JournalActions[Joueur],$B84,JournalActions[Action],$E$60,JournalActions[Mi-temps],E$61))</f>
        <v/>
      </c>
      <c r="F84" s="93" t="str">
        <f>IF(COUNTIFS(JournalActions[Joueur],$B84,JournalActions[Action],$E$60,JournalActions[Mi-temps],F$61)=0,"",COUNTIFS(JournalActions[Joueur],$B84,JournalActions[Action],$E$60,JournalActions[Mi-temps],F$61))</f>
        <v/>
      </c>
      <c r="H84" s="92" t="str">
        <f>IF(COUNTIFS(JournalActions[Joueur],$B84,JournalActions[Action],$H$60,JournalActions[Mi-temps],H$61)=0,"",COUNTIFS(JournalActions[Joueur],$B84,JournalActions[Action],$H$60,JournalActions[Mi-temps],H$61))</f>
        <v/>
      </c>
      <c r="I84" s="93" t="str">
        <f>IF(COUNTIFS(JournalActions[Joueur],$B84,JournalActions[Action],$H$60,JournalActions[Mi-temps],I$61)=0,"",COUNTIFS(JournalActions[Joueur],$B84,JournalActions[Action],$H$60,JournalActions[Mi-temps],I$61))</f>
        <v/>
      </c>
      <c r="J84" s="92" t="str">
        <f>IF(COUNTIFS(JournalActions[Joueur],$B84,JournalActions[Action],$J$60,JournalActions[Mi-temps],J$61)=0,"",COUNTIFS(JournalActions[Joueur],$B84,JournalActions[Action],$J$60,JournalActions[Mi-temps],J$61))</f>
        <v/>
      </c>
      <c r="K84" s="93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9" customFormat="1">
      <c r="B85" s="91" t="s">
        <v>83</v>
      </c>
      <c r="C85" s="92" t="str">
        <f>IF(COUNTIFS(JournalActions[Joueur],$B85,JournalActions[Action],$C$60,JournalActions[Mi-temps],C$61)=0,"",COUNTIFS(JournalActions[Joueur],$B85,JournalActions[Action],$C$60,JournalActions[Mi-temps],C$61))</f>
        <v/>
      </c>
      <c r="D85" s="93" t="str">
        <f>IF(COUNTIFS(JournalActions[Joueur],$B85,JournalActions[Action],$C$60,JournalActions[Mi-temps],D$61)=0,"",COUNTIFS(JournalActions[Joueur],$B85,JournalActions[Action],$C$60,JournalActions[Mi-temps],D$61))</f>
        <v/>
      </c>
      <c r="E85" s="92" t="str">
        <f>IF(COUNTIFS(JournalActions[Joueur],$B85,JournalActions[Action],$E$60,JournalActions[Mi-temps],E$61)=0,"",COUNTIFS(JournalActions[Joueur],$B85,JournalActions[Action],$E$60,JournalActions[Mi-temps],E$61))</f>
        <v/>
      </c>
      <c r="F85" s="93" t="str">
        <f>IF(COUNTIFS(JournalActions[Joueur],$B85,JournalActions[Action],$E$60,JournalActions[Mi-temps],F$61)=0,"",COUNTIFS(JournalActions[Joueur],$B85,JournalActions[Action],$E$60,JournalActions[Mi-temps],F$61))</f>
        <v/>
      </c>
      <c r="H85" s="92" t="str">
        <f>IF(COUNTIFS(JournalActions[Joueur],$B85,JournalActions[Action],$H$60,JournalActions[Mi-temps],H$61)=0,"",COUNTIFS(JournalActions[Joueur],$B85,JournalActions[Action],$H$60,JournalActions[Mi-temps],H$61))</f>
        <v/>
      </c>
      <c r="I85" s="93" t="str">
        <f>IF(COUNTIFS(JournalActions[Joueur],$B85,JournalActions[Action],$H$60,JournalActions[Mi-temps],I$61)=0,"",COUNTIFS(JournalActions[Joueur],$B85,JournalActions[Action],$H$60,JournalActions[Mi-temps],I$61))</f>
        <v/>
      </c>
      <c r="J85" s="92" t="str">
        <f>IF(COUNTIFS(JournalActions[Joueur],$B85,JournalActions[Action],$J$60,JournalActions[Mi-temps],J$61)=0,"",COUNTIFS(JournalActions[Joueur],$B85,JournalActions[Action],$J$60,JournalActions[Mi-temps],J$61))</f>
        <v/>
      </c>
      <c r="K85" s="93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9" customFormat="1" ht="14">
      <c r="B86" s="126" t="s">
        <v>270</v>
      </c>
      <c r="C86" s="127">
        <f>SUM(C62:C85)</f>
        <v>0</v>
      </c>
      <c r="D86" s="128">
        <f t="shared" ref="D86" si="5">SUM(D62:D85)</f>
        <v>0</v>
      </c>
      <c r="E86" s="127">
        <f>SUM(E62:E85)</f>
        <v>0</v>
      </c>
      <c r="F86" s="128">
        <f t="shared" ref="F86" si="6">SUM(F62:F85)</f>
        <v>0</v>
      </c>
      <c r="H86" s="148">
        <f>SUM(H62:H85)</f>
        <v>0</v>
      </c>
      <c r="I86" s="149">
        <f>SUM(I62:I85)</f>
        <v>0</v>
      </c>
      <c r="J86" s="148">
        <f>SUM(J62:J85)</f>
        <v>0</v>
      </c>
      <c r="K86" s="149">
        <f t="shared" ref="K86" si="7">SUM(K62:K85)</f>
        <v>0</v>
      </c>
    </row>
    <row r="87" spans="2:11" s="29" customFormat="1" ht="16">
      <c r="B87" s="129" t="s">
        <v>269</v>
      </c>
      <c r="C87" s="190">
        <f>C86+D86</f>
        <v>0</v>
      </c>
      <c r="D87" s="191"/>
      <c r="E87" s="190">
        <f>E86+F86</f>
        <v>0</v>
      </c>
      <c r="F87" s="191"/>
      <c r="H87" s="192">
        <f>H86+I86</f>
        <v>0</v>
      </c>
      <c r="I87" s="193"/>
      <c r="J87" s="192">
        <f>J86+K86</f>
        <v>0</v>
      </c>
      <c r="K87" s="193"/>
    </row>
    <row r="88" spans="2:11" s="29" customFormat="1"/>
    <row r="89" spans="2:11" s="29" customFormat="1"/>
    <row r="90" spans="2:11" s="29" customFormat="1"/>
    <row r="91" spans="2:11" s="29" customFormat="1" ht="14" thickBot="1"/>
    <row r="92" spans="2:11" s="29" customFormat="1" ht="18" thickTop="1">
      <c r="B92" s="157" t="s">
        <v>366</v>
      </c>
      <c r="C92" s="159" t="s">
        <v>117</v>
      </c>
      <c r="D92" s="160" t="s">
        <v>204</v>
      </c>
    </row>
    <row r="93" spans="2:11" s="29" customFormat="1" ht="16">
      <c r="B93" s="161" t="s">
        <v>361</v>
      </c>
      <c r="C93" s="158">
        <v>0</v>
      </c>
      <c r="D93" s="162">
        <v>0</v>
      </c>
    </row>
    <row r="94" spans="2:11" s="29" customFormat="1" ht="16">
      <c r="B94" s="161" t="s">
        <v>362</v>
      </c>
      <c r="C94" s="158">
        <v>0</v>
      </c>
      <c r="D94" s="162">
        <v>0</v>
      </c>
    </row>
    <row r="95" spans="2:11" s="29" customFormat="1" ht="16">
      <c r="B95" s="161" t="s">
        <v>363</v>
      </c>
      <c r="C95" s="158">
        <v>0</v>
      </c>
      <c r="D95" s="162">
        <v>0</v>
      </c>
    </row>
    <row r="96" spans="2:11" s="29" customFormat="1" ht="16">
      <c r="B96" s="161" t="s">
        <v>364</v>
      </c>
      <c r="C96" s="158">
        <v>0</v>
      </c>
      <c r="D96" s="162">
        <v>0</v>
      </c>
    </row>
    <row r="97" spans="2:4" s="29" customFormat="1" ht="17" thickBot="1">
      <c r="B97" s="163" t="s">
        <v>365</v>
      </c>
      <c r="C97" s="164">
        <v>0</v>
      </c>
      <c r="D97" s="165">
        <v>0</v>
      </c>
    </row>
    <row r="98" spans="2:4" s="29" customFormat="1" ht="14" thickTop="1"/>
    <row r="99" spans="2:4" s="29" customFormat="1"/>
    <row r="100" spans="2:4" s="29" customFormat="1"/>
    <row r="101" spans="2:4" s="29" customFormat="1"/>
    <row r="102" spans="2:4" s="29" customFormat="1"/>
    <row r="103" spans="2:4" s="29" customFormat="1"/>
    <row r="104" spans="2:4" s="29" customFormat="1"/>
    <row r="105" spans="2:4" s="29" customFormat="1"/>
    <row r="106" spans="2:4" s="29" customFormat="1"/>
    <row r="107" spans="2:4" s="29" customFormat="1"/>
    <row r="108" spans="2:4" s="29" customFormat="1"/>
    <row r="109" spans="2:4" s="29" customFormat="1"/>
    <row r="110" spans="2:4" s="29" customFormat="1"/>
    <row r="111" spans="2:4" s="29" customFormat="1"/>
    <row r="112" spans="2:4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="29" customFormat="1"/>
    <row r="402" s="29" customFormat="1"/>
    <row r="403" s="29" customFormat="1"/>
    <row r="404" s="29" customFormat="1"/>
    <row r="405" s="29" customFormat="1"/>
    <row r="406" s="29" customFormat="1"/>
    <row r="407" s="29" customFormat="1"/>
    <row r="408" s="29" customFormat="1"/>
    <row r="409" s="29" customFormat="1"/>
    <row r="410" s="29" customFormat="1"/>
    <row r="411" s="29" customFormat="1"/>
    <row r="412" s="29" customFormat="1"/>
    <row r="413" s="29" customFormat="1"/>
    <row r="414" s="29" customFormat="1"/>
    <row r="415" s="29" customFormat="1"/>
    <row r="416" s="29" customFormat="1"/>
    <row r="417" s="29" customFormat="1"/>
    <row r="418" s="29" customFormat="1"/>
    <row r="419" s="29" customFormat="1"/>
    <row r="420" s="29" customFormat="1"/>
    <row r="421" s="29" customFormat="1"/>
    <row r="422" s="29" customFormat="1"/>
    <row r="423" s="29" customFormat="1"/>
    <row r="424" s="29" customFormat="1"/>
    <row r="425" s="29" customFormat="1"/>
    <row r="426" s="29" customFormat="1"/>
    <row r="427" s="29" customFormat="1"/>
    <row r="428" s="29" customFormat="1"/>
    <row r="429" s="29" customFormat="1"/>
    <row r="430" s="29" customFormat="1"/>
    <row r="431" s="29" customFormat="1"/>
    <row r="432" s="29" customFormat="1"/>
    <row r="433" s="29" customFormat="1"/>
    <row r="434" s="29" customFormat="1"/>
    <row r="435" s="29" customFormat="1"/>
    <row r="436" s="29" customFormat="1"/>
    <row r="437" s="29" customFormat="1"/>
    <row r="438" s="29" customFormat="1"/>
    <row r="439" s="29" customFormat="1"/>
    <row r="440" s="29" customFormat="1"/>
    <row r="441" s="29" customFormat="1"/>
    <row r="442" s="29" customFormat="1"/>
    <row r="443" s="29" customFormat="1"/>
    <row r="444" s="29" customFormat="1"/>
    <row r="445" s="29" customFormat="1"/>
    <row r="446" s="29" customFormat="1"/>
    <row r="447" s="29" customFormat="1"/>
    <row r="448" s="29" customFormat="1"/>
    <row r="449" s="29" customFormat="1"/>
    <row r="450" s="29" customFormat="1"/>
    <row r="451" s="29" customFormat="1"/>
    <row r="452" s="29" customFormat="1"/>
    <row r="453" s="29" customFormat="1"/>
    <row r="454" s="29" customFormat="1"/>
    <row r="455" s="29" customFormat="1"/>
    <row r="456" s="29" customFormat="1"/>
    <row r="457" s="29" customFormat="1"/>
    <row r="458" s="29" customFormat="1"/>
    <row r="459" s="29" customFormat="1"/>
    <row r="460" s="29" customFormat="1"/>
    <row r="461" s="29" customFormat="1"/>
    <row r="462" s="29" customFormat="1"/>
    <row r="463" s="29" customFormat="1"/>
    <row r="464" s="29" customFormat="1"/>
    <row r="465" s="29" customFormat="1"/>
    <row r="466" s="29" customFormat="1"/>
    <row r="467" s="29" customFormat="1"/>
    <row r="468" s="29" customFormat="1"/>
    <row r="469" s="29" customFormat="1"/>
    <row r="470" s="29" customFormat="1"/>
    <row r="471" s="29" customFormat="1"/>
    <row r="472" s="29" customFormat="1"/>
    <row r="473" s="29" customFormat="1"/>
    <row r="474" s="29" customFormat="1"/>
    <row r="475" s="29" customFormat="1"/>
    <row r="476" s="29" customFormat="1"/>
    <row r="477" s="29" customFormat="1"/>
    <row r="478" s="29" customFormat="1"/>
    <row r="479" s="29" customFormat="1"/>
    <row r="480" s="29" customFormat="1"/>
    <row r="481" s="29" customFormat="1"/>
    <row r="482" s="29" customFormat="1"/>
    <row r="483" s="29" customFormat="1"/>
    <row r="484" s="29" customFormat="1"/>
    <row r="485" s="29" customFormat="1"/>
    <row r="486" s="29" customFormat="1"/>
    <row r="487" s="29" customFormat="1"/>
    <row r="488" s="29" customFormat="1"/>
    <row r="489" s="29" customFormat="1"/>
    <row r="490" s="29" customFormat="1"/>
    <row r="491" s="29" customFormat="1"/>
    <row r="492" s="29" customFormat="1"/>
    <row r="493" s="29" customFormat="1"/>
    <row r="494" s="29" customFormat="1"/>
    <row r="495" s="29" customFormat="1"/>
    <row r="496" s="29" customFormat="1"/>
    <row r="497" s="29" customFormat="1"/>
    <row r="498" s="29" customFormat="1"/>
    <row r="499" s="29" customFormat="1"/>
    <row r="500" s="29" customFormat="1"/>
    <row r="501" s="29" customFormat="1"/>
    <row r="502" s="29" customFormat="1"/>
    <row r="503" s="29" customFormat="1"/>
    <row r="504" s="29" customFormat="1"/>
    <row r="505" s="29" customFormat="1"/>
    <row r="506" s="29" customFormat="1"/>
    <row r="507" s="29" customFormat="1"/>
    <row r="508" s="29" customFormat="1"/>
    <row r="509" s="29" customFormat="1"/>
    <row r="510" s="29" customFormat="1"/>
    <row r="511" s="29" customFormat="1"/>
    <row r="512" s="29" customFormat="1"/>
    <row r="513" s="29" customFormat="1"/>
    <row r="514" s="29" customFormat="1"/>
    <row r="515" s="29" customFormat="1"/>
    <row r="516" s="29" customFormat="1"/>
    <row r="517" s="29" customFormat="1"/>
    <row r="518" s="29" customFormat="1"/>
    <row r="519" s="29" customFormat="1"/>
    <row r="520" s="29" customFormat="1"/>
    <row r="521" s="29" customFormat="1"/>
    <row r="522" s="29" customFormat="1"/>
    <row r="523" s="29" customFormat="1"/>
    <row r="524" s="29" customFormat="1"/>
    <row r="525" s="29" customFormat="1"/>
    <row r="526" s="29" customFormat="1"/>
    <row r="527" s="29" customFormat="1"/>
    <row r="528" s="29" customFormat="1"/>
    <row r="529" s="29" customFormat="1"/>
    <row r="530" s="29" customFormat="1"/>
    <row r="531" s="29" customFormat="1"/>
    <row r="532" s="29" customFormat="1"/>
    <row r="533" s="29" customFormat="1"/>
    <row r="534" s="29" customFormat="1"/>
    <row r="535" s="29" customFormat="1"/>
    <row r="536" s="29" customFormat="1"/>
    <row r="537" s="29" customFormat="1"/>
    <row r="538" s="29" customFormat="1"/>
    <row r="539" s="29" customFormat="1"/>
    <row r="540" s="29" customFormat="1"/>
    <row r="541" s="29" customFormat="1"/>
    <row r="542" s="29" customFormat="1"/>
    <row r="543" s="29" customFormat="1"/>
    <row r="544" s="29" customFormat="1"/>
    <row r="545" s="29" customFormat="1"/>
    <row r="546" s="29" customFormat="1"/>
    <row r="547" s="29" customFormat="1"/>
    <row r="548" s="29" customFormat="1"/>
    <row r="549" s="29" customFormat="1"/>
    <row r="550" s="29" customFormat="1"/>
    <row r="551" s="29" customFormat="1"/>
    <row r="552" s="29" customFormat="1"/>
    <row r="553" s="29" customFormat="1"/>
    <row r="554" s="29" customFormat="1"/>
    <row r="555" s="29" customFormat="1"/>
    <row r="556" s="29" customFormat="1"/>
    <row r="557" s="29" customFormat="1"/>
    <row r="558" s="29" customFormat="1"/>
    <row r="559" s="29" customFormat="1"/>
    <row r="560" s="29" customFormat="1"/>
    <row r="561" s="29" customFormat="1"/>
    <row r="562" s="29" customFormat="1"/>
    <row r="563" s="29" customFormat="1"/>
    <row r="564" s="29" customFormat="1"/>
    <row r="565" s="29" customFormat="1"/>
    <row r="566" s="29" customFormat="1"/>
    <row r="567" s="29" customFormat="1"/>
    <row r="568" s="29" customFormat="1"/>
    <row r="569" s="29" customFormat="1"/>
    <row r="570" s="29" customFormat="1"/>
    <row r="571" s="29" customFormat="1"/>
    <row r="572" s="29" customFormat="1"/>
    <row r="573" s="29" customFormat="1"/>
    <row r="574" s="29" customFormat="1"/>
    <row r="575" s="29" customFormat="1"/>
    <row r="576" s="29" customFormat="1"/>
    <row r="577" s="29" customFormat="1"/>
    <row r="578" s="29" customFormat="1"/>
    <row r="579" s="29" customFormat="1"/>
    <row r="580" s="29" customFormat="1"/>
    <row r="581" s="29" customFormat="1"/>
    <row r="582" s="29" customFormat="1"/>
    <row r="583" s="29" customFormat="1"/>
    <row r="584" s="29" customFormat="1"/>
    <row r="585" s="29" customFormat="1"/>
    <row r="586" s="29" customFormat="1"/>
    <row r="587" s="29" customFormat="1"/>
    <row r="588" s="29" customFormat="1"/>
    <row r="589" s="29" customFormat="1"/>
    <row r="590" s="29" customFormat="1"/>
    <row r="591" s="29" customFormat="1"/>
    <row r="592" s="29" customFormat="1"/>
    <row r="593" s="29" customFormat="1"/>
    <row r="594" s="29" customFormat="1"/>
    <row r="595" s="29" customFormat="1"/>
    <row r="596" s="29" customFormat="1"/>
    <row r="597" s="29" customFormat="1"/>
    <row r="598" s="29" customFormat="1"/>
    <row r="599" s="29" customFormat="1"/>
    <row r="600" s="29" customFormat="1"/>
    <row r="601" s="29" customFormat="1"/>
    <row r="602" s="29" customFormat="1"/>
    <row r="603" s="29" customFormat="1"/>
    <row r="604" s="29" customFormat="1"/>
    <row r="605" s="29" customFormat="1"/>
    <row r="606" s="29" customFormat="1"/>
    <row r="607" s="29" customFormat="1"/>
    <row r="608" s="29" customFormat="1"/>
    <row r="609" s="29" customFormat="1"/>
    <row r="610" s="29" customFormat="1"/>
    <row r="611" s="29" customFormat="1"/>
    <row r="612" s="29" customFormat="1"/>
    <row r="613" s="29" customFormat="1"/>
    <row r="614" s="29" customFormat="1"/>
    <row r="615" s="29" customFormat="1"/>
    <row r="616" s="29" customFormat="1"/>
    <row r="617" s="29" customFormat="1"/>
    <row r="618" s="29" customFormat="1"/>
    <row r="619" s="29" customFormat="1"/>
    <row r="620" s="29" customFormat="1"/>
    <row r="621" s="29" customFormat="1"/>
    <row r="622" s="29" customFormat="1"/>
    <row r="623" s="29" customFormat="1"/>
    <row r="624" s="29" customFormat="1"/>
    <row r="625" s="29" customFormat="1"/>
    <row r="626" s="29" customFormat="1"/>
    <row r="627" s="29" customFormat="1"/>
    <row r="628" s="29" customFormat="1"/>
    <row r="629" s="29" customFormat="1"/>
    <row r="630" s="29" customFormat="1"/>
    <row r="631" s="29" customFormat="1"/>
    <row r="632" s="29" customFormat="1"/>
    <row r="633" s="29" customFormat="1"/>
    <row r="634" s="29" customFormat="1"/>
    <row r="635" s="29" customFormat="1"/>
    <row r="636" s="29" customFormat="1"/>
    <row r="637" s="29" customFormat="1"/>
    <row r="638" s="29" customFormat="1"/>
    <row r="639" s="29" customFormat="1"/>
    <row r="640" s="29" customFormat="1"/>
    <row r="641" s="29" customFormat="1"/>
    <row r="642" s="29" customFormat="1"/>
    <row r="643" s="29" customFormat="1"/>
    <row r="644" s="29" customFormat="1"/>
    <row r="645" s="29" customFormat="1"/>
    <row r="646" s="29" customFormat="1"/>
    <row r="647" s="29" customFormat="1"/>
    <row r="648" s="29" customFormat="1"/>
    <row r="649" s="29" customFormat="1"/>
    <row r="650" s="29" customFormat="1"/>
    <row r="651" s="29" customFormat="1"/>
    <row r="652" s="29" customFormat="1"/>
    <row r="653" s="29" customFormat="1"/>
    <row r="654" s="29" customFormat="1"/>
    <row r="655" s="29" customFormat="1"/>
    <row r="656" s="29" customFormat="1"/>
    <row r="657" s="29" customFormat="1"/>
    <row r="658" s="29" customFormat="1"/>
    <row r="659" s="29" customFormat="1"/>
    <row r="660" s="29" customFormat="1"/>
    <row r="661" s="29" customFormat="1"/>
    <row r="662" s="29" customFormat="1"/>
    <row r="663" s="29" customFormat="1"/>
    <row r="664" s="29" customFormat="1"/>
    <row r="665" s="29" customFormat="1"/>
    <row r="666" s="29" customFormat="1"/>
    <row r="667" s="29" customFormat="1"/>
    <row r="668" s="29" customFormat="1"/>
    <row r="669" s="29" customFormat="1"/>
    <row r="670" s="29" customFormat="1"/>
    <row r="671" s="29" customFormat="1"/>
    <row r="672" s="29" customFormat="1"/>
    <row r="673" s="29" customFormat="1"/>
    <row r="674" s="29" customFormat="1"/>
    <row r="675" s="29" customFormat="1"/>
    <row r="676" s="29" customFormat="1"/>
    <row r="677" s="29" customFormat="1"/>
    <row r="678" s="29" customFormat="1"/>
    <row r="679" s="29" customFormat="1"/>
    <row r="680" s="29" customFormat="1"/>
    <row r="681" s="29" customFormat="1"/>
    <row r="682" s="29" customFormat="1"/>
    <row r="683" s="29" customFormat="1"/>
    <row r="684" s="29" customFormat="1"/>
    <row r="685" s="29" customFormat="1"/>
    <row r="686" s="29" customFormat="1"/>
    <row r="687" s="29" customFormat="1"/>
    <row r="688" s="29" customFormat="1"/>
    <row r="689" s="29" customFormat="1"/>
    <row r="690" s="29" customFormat="1"/>
    <row r="691" s="29" customFormat="1"/>
    <row r="692" s="29" customFormat="1"/>
    <row r="693" s="29" customFormat="1"/>
    <row r="694" s="29" customFormat="1"/>
    <row r="695" s="29" customFormat="1"/>
    <row r="696" s="29" customFormat="1"/>
    <row r="697" s="29" customFormat="1"/>
    <row r="698" s="29" customFormat="1"/>
    <row r="699" s="29" customFormat="1"/>
    <row r="700" s="29" customFormat="1"/>
    <row r="701" s="29" customFormat="1"/>
    <row r="702" s="29" customFormat="1"/>
    <row r="703" s="29" customFormat="1"/>
    <row r="704" s="29" customFormat="1"/>
    <row r="705" s="29" customFormat="1"/>
    <row r="706" s="29" customFormat="1"/>
    <row r="707" s="29" customFormat="1"/>
    <row r="708" s="29" customFormat="1"/>
    <row r="709" s="29" customFormat="1"/>
    <row r="710" s="29" customFormat="1"/>
    <row r="711" s="29" customFormat="1"/>
    <row r="712" s="29" customFormat="1"/>
    <row r="713" s="29" customFormat="1"/>
    <row r="714" s="29" customFormat="1"/>
    <row r="715" s="29" customFormat="1"/>
    <row r="716" s="29" customFormat="1"/>
    <row r="717" s="29" customFormat="1"/>
    <row r="718" s="29" customFormat="1"/>
    <row r="719" s="29" customFormat="1"/>
    <row r="720" s="29" customFormat="1"/>
    <row r="721" s="29" customFormat="1"/>
    <row r="722" s="29" customFormat="1"/>
    <row r="723" s="29" customFormat="1"/>
    <row r="724" s="29" customFormat="1"/>
    <row r="725" s="29" customFormat="1"/>
    <row r="726" s="29" customFormat="1"/>
    <row r="727" s="29" customFormat="1"/>
    <row r="728" s="29" customFormat="1"/>
    <row r="729" s="29" customFormat="1"/>
    <row r="730" s="29" customFormat="1"/>
    <row r="731" s="29" customFormat="1"/>
    <row r="732" s="29" customFormat="1"/>
    <row r="733" s="29" customFormat="1"/>
    <row r="734" s="29" customFormat="1"/>
    <row r="735" s="29" customFormat="1"/>
    <row r="736" s="29" customFormat="1"/>
    <row r="737" s="29" customFormat="1"/>
    <row r="738" s="29" customFormat="1"/>
    <row r="739" s="29" customFormat="1"/>
    <row r="740" s="29" customFormat="1"/>
    <row r="741" s="29" customFormat="1"/>
    <row r="742" s="29" customFormat="1"/>
    <row r="743" s="29" customFormat="1"/>
    <row r="744" s="29" customFormat="1"/>
    <row r="745" s="29" customFormat="1"/>
    <row r="746" s="29" customFormat="1"/>
    <row r="747" s="29" customFormat="1"/>
    <row r="748" s="29" customFormat="1"/>
    <row r="749" s="29" customFormat="1"/>
    <row r="750" s="29" customFormat="1"/>
    <row r="751" s="29" customFormat="1"/>
    <row r="752" s="29" customFormat="1"/>
    <row r="753" s="29" customFormat="1"/>
    <row r="754" s="29" customFormat="1"/>
    <row r="755" s="29" customFormat="1"/>
    <row r="756" s="29" customFormat="1"/>
    <row r="757" s="29" customFormat="1"/>
    <row r="758" s="29" customFormat="1"/>
    <row r="759" s="29" customFormat="1"/>
    <row r="760" s="29" customFormat="1"/>
    <row r="761" s="29" customFormat="1"/>
    <row r="762" s="29" customFormat="1"/>
    <row r="763" s="29" customFormat="1"/>
    <row r="764" s="29" customFormat="1"/>
    <row r="765" s="29" customFormat="1"/>
    <row r="766" s="29" customFormat="1"/>
    <row r="767" s="29" customFormat="1"/>
    <row r="768" s="29" customFormat="1"/>
    <row r="769" s="29" customFormat="1"/>
    <row r="770" s="29" customFormat="1"/>
    <row r="771" s="29" customFormat="1"/>
    <row r="772" s="29" customFormat="1"/>
    <row r="773" s="29" customFormat="1"/>
    <row r="774" s="29" customFormat="1"/>
    <row r="775" s="29" customFormat="1"/>
    <row r="776" s="29" customFormat="1"/>
    <row r="777" s="29" customFormat="1"/>
    <row r="778" s="29" customFormat="1"/>
    <row r="779" s="29" customFormat="1"/>
    <row r="780" s="29" customFormat="1"/>
    <row r="781" s="29" customFormat="1"/>
    <row r="782" s="29" customFormat="1"/>
    <row r="783" s="29" customFormat="1"/>
    <row r="784" s="29" customFormat="1"/>
    <row r="785" s="29" customFormat="1"/>
    <row r="786" s="29" customFormat="1"/>
    <row r="787" s="29" customFormat="1"/>
    <row r="788" s="29" customFormat="1"/>
    <row r="789" s="29" customFormat="1"/>
    <row r="790" s="29" customFormat="1"/>
    <row r="791" s="29" customFormat="1"/>
    <row r="792" s="29" customFormat="1"/>
    <row r="793" s="29" customFormat="1"/>
    <row r="794" s="29" customFormat="1"/>
    <row r="795" s="29" customFormat="1"/>
    <row r="796" s="29" customFormat="1"/>
    <row r="797" s="29" customFormat="1"/>
    <row r="798" s="29" customFormat="1"/>
    <row r="799" s="29" customFormat="1"/>
    <row r="800" s="29" customFormat="1"/>
    <row r="801" s="29" customFormat="1"/>
    <row r="802" s="29" customFormat="1"/>
    <row r="803" s="29" customFormat="1"/>
    <row r="804" s="29" customFormat="1"/>
    <row r="805" s="29" customFormat="1"/>
    <row r="806" s="29" customFormat="1"/>
    <row r="807" s="29" customFormat="1"/>
    <row r="808" s="29" customFormat="1"/>
    <row r="809" s="29" customFormat="1"/>
    <row r="810" s="29" customFormat="1"/>
    <row r="811" s="29" customFormat="1"/>
    <row r="812" s="29" customFormat="1"/>
    <row r="813" s="29" customFormat="1"/>
    <row r="814" s="29" customFormat="1"/>
    <row r="815" s="29" customFormat="1"/>
    <row r="816" s="29" customFormat="1"/>
    <row r="817" s="29" customFormat="1"/>
    <row r="818" s="29" customFormat="1"/>
    <row r="819" s="29" customFormat="1"/>
    <row r="820" s="29" customFormat="1"/>
    <row r="821" s="29" customFormat="1"/>
    <row r="822" s="29" customFormat="1"/>
    <row r="823" s="29" customFormat="1"/>
    <row r="824" s="29" customFormat="1"/>
    <row r="825" s="29" customFormat="1"/>
    <row r="826" s="29" customFormat="1"/>
    <row r="827" s="29" customFormat="1"/>
    <row r="828" s="29" customFormat="1"/>
    <row r="829" s="29" customFormat="1"/>
    <row r="830" s="29" customFormat="1"/>
    <row r="831" s="29" customFormat="1"/>
    <row r="832" s="29" customFormat="1"/>
    <row r="833" s="29" customFormat="1"/>
    <row r="834" s="29" customFormat="1"/>
    <row r="835" s="29" customFormat="1"/>
    <row r="836" s="29" customFormat="1"/>
    <row r="837" s="29" customFormat="1"/>
    <row r="838" s="29" customFormat="1"/>
    <row r="839" s="29" customFormat="1"/>
    <row r="840" s="29" customFormat="1"/>
    <row r="841" s="29" customFormat="1"/>
    <row r="842" s="29" customFormat="1"/>
    <row r="843" s="29" customFormat="1"/>
    <row r="844" s="29" customFormat="1"/>
    <row r="845" s="29" customFormat="1"/>
    <row r="846" s="29" customFormat="1"/>
    <row r="847" s="29" customFormat="1"/>
    <row r="848" s="29" customFormat="1"/>
    <row r="849" s="29" customFormat="1"/>
    <row r="850" s="29" customFormat="1"/>
    <row r="851" s="29" customFormat="1"/>
    <row r="852" s="29" customFormat="1"/>
    <row r="853" s="29" customFormat="1"/>
    <row r="854" s="29" customFormat="1"/>
    <row r="855" s="29" customFormat="1"/>
    <row r="856" s="29" customFormat="1"/>
    <row r="857" s="29" customFormat="1"/>
    <row r="858" s="29" customFormat="1"/>
    <row r="859" s="29" customFormat="1"/>
    <row r="860" s="29" customFormat="1"/>
    <row r="861" s="29" customFormat="1"/>
    <row r="862" s="29" customFormat="1"/>
    <row r="863" s="29" customFormat="1"/>
    <row r="864" s="29" customFormat="1"/>
    <row r="865" s="29" customFormat="1"/>
    <row r="866" s="29" customFormat="1"/>
    <row r="867" s="29" customFormat="1"/>
    <row r="868" s="29" customFormat="1"/>
    <row r="869" s="29" customFormat="1"/>
    <row r="870" s="29" customFormat="1"/>
    <row r="871" s="29" customFormat="1"/>
    <row r="872" s="29" customFormat="1"/>
    <row r="873" s="29" customFormat="1"/>
    <row r="874" s="29" customFormat="1"/>
    <row r="875" s="29" customFormat="1"/>
    <row r="876" s="29" customFormat="1"/>
    <row r="877" s="29" customFormat="1"/>
    <row r="878" s="29" customFormat="1"/>
    <row r="879" s="29" customFormat="1"/>
    <row r="880" s="29" customFormat="1"/>
    <row r="881" s="29" customFormat="1"/>
    <row r="882" s="29" customFormat="1"/>
    <row r="883" s="29" customFormat="1"/>
    <row r="884" s="29" customFormat="1"/>
    <row r="885" s="29" customFormat="1"/>
    <row r="886" s="29" customFormat="1"/>
    <row r="887" s="29" customFormat="1"/>
    <row r="888" s="29" customFormat="1"/>
    <row r="889" s="29" customFormat="1"/>
    <row r="890" s="29" customFormat="1"/>
    <row r="891" s="29" customFormat="1"/>
    <row r="892" s="29" customFormat="1"/>
    <row r="893" s="29" customFormat="1"/>
    <row r="894" s="29" customFormat="1"/>
    <row r="895" s="29" customFormat="1"/>
    <row r="896" s="29" customFormat="1"/>
    <row r="897" s="29" customFormat="1"/>
    <row r="898" s="29" customFormat="1"/>
    <row r="899" s="29" customFormat="1"/>
    <row r="900" s="29" customFormat="1"/>
    <row r="901" s="29" customFormat="1"/>
    <row r="902" s="29" customFormat="1"/>
    <row r="903" s="29" customFormat="1"/>
    <row r="904" s="29" customFormat="1"/>
    <row r="905" s="29" customFormat="1"/>
    <row r="906" s="29" customFormat="1"/>
    <row r="907" s="29" customFormat="1"/>
    <row r="908" s="29" customFormat="1"/>
    <row r="909" s="29" customFormat="1"/>
    <row r="910" s="29" customFormat="1"/>
    <row r="911" s="29" customFormat="1"/>
    <row r="912" s="29" customFormat="1"/>
    <row r="913" s="29" customFormat="1"/>
    <row r="914" s="29" customFormat="1"/>
    <row r="915" s="29" customFormat="1"/>
    <row r="916" s="29" customFormat="1"/>
    <row r="917" s="29" customFormat="1"/>
    <row r="918" s="29" customFormat="1"/>
    <row r="919" s="29" customFormat="1"/>
    <row r="920" s="29" customFormat="1"/>
    <row r="921" s="29" customFormat="1"/>
    <row r="922" s="29" customFormat="1"/>
    <row r="923" s="29" customFormat="1"/>
    <row r="924" s="29" customFormat="1"/>
    <row r="925" s="29" customFormat="1"/>
    <row r="926" s="29" customFormat="1"/>
    <row r="927" s="29" customFormat="1"/>
    <row r="928" s="29" customFormat="1"/>
    <row r="929" s="29" customFormat="1"/>
    <row r="930" s="29" customFormat="1"/>
    <row r="931" s="29" customFormat="1"/>
    <row r="932" s="29" customFormat="1"/>
    <row r="933" s="29" customFormat="1"/>
    <row r="934" s="29" customFormat="1"/>
    <row r="935" s="29" customFormat="1"/>
    <row r="936" s="29" customFormat="1"/>
    <row r="937" s="29" customFormat="1"/>
    <row r="938" s="29" customFormat="1"/>
    <row r="939" s="29" customFormat="1"/>
    <row r="940" s="29" customFormat="1"/>
    <row r="941" s="29" customFormat="1"/>
    <row r="942" s="29" customFormat="1"/>
    <row r="943" s="29" customFormat="1"/>
    <row r="944" s="29" customFormat="1"/>
    <row r="945" s="29" customFormat="1"/>
    <row r="946" s="29" customFormat="1"/>
    <row r="947" s="29" customFormat="1"/>
    <row r="948" s="29" customFormat="1"/>
    <row r="949" s="29" customFormat="1"/>
    <row r="950" s="29" customFormat="1"/>
    <row r="951" s="29" customFormat="1"/>
    <row r="952" s="29" customFormat="1"/>
    <row r="953" s="29" customFormat="1"/>
    <row r="954" s="29" customFormat="1"/>
    <row r="955" s="29" customFormat="1"/>
    <row r="956" s="29" customFormat="1"/>
    <row r="957" s="29" customFormat="1"/>
    <row r="958" s="29" customFormat="1"/>
    <row r="959" s="29" customFormat="1"/>
    <row r="960" s="29" customFormat="1"/>
    <row r="961" s="29" customFormat="1"/>
    <row r="962" s="29" customFormat="1"/>
    <row r="963" s="29" customFormat="1"/>
    <row r="964" s="29" customFormat="1"/>
    <row r="965" s="29" customFormat="1"/>
    <row r="966" s="29" customFormat="1"/>
    <row r="967" s="29" customFormat="1"/>
    <row r="968" s="29" customFormat="1"/>
    <row r="969" s="29" customFormat="1"/>
    <row r="970" s="29" customFormat="1"/>
    <row r="971" s="29" customFormat="1"/>
    <row r="972" s="29" customFormat="1"/>
    <row r="973" s="29" customFormat="1"/>
    <row r="974" s="29" customFormat="1"/>
    <row r="975" s="29" customFormat="1"/>
    <row r="976" s="29" customFormat="1"/>
    <row r="977" s="29" customFormat="1"/>
    <row r="978" s="29" customFormat="1"/>
    <row r="979" s="29" customFormat="1"/>
    <row r="980" s="29" customFormat="1"/>
    <row r="981" s="29" customFormat="1"/>
    <row r="982" s="29" customFormat="1"/>
    <row r="983" s="29" customFormat="1"/>
    <row r="984" s="29" customFormat="1"/>
    <row r="985" s="29" customFormat="1"/>
    <row r="986" s="29" customFormat="1"/>
    <row r="987" s="29" customFormat="1"/>
    <row r="988" s="29" customFormat="1"/>
    <row r="989" s="29" customFormat="1"/>
    <row r="990" s="29" customFormat="1"/>
    <row r="991" s="29" customFormat="1"/>
    <row r="992" s="29" customFormat="1"/>
    <row r="993" s="29" customFormat="1"/>
    <row r="994" s="29" customFormat="1"/>
    <row r="995" s="29" customFormat="1"/>
    <row r="996" s="29" customFormat="1"/>
    <row r="997" s="29" customFormat="1"/>
    <row r="998" s="29" customFormat="1"/>
    <row r="999" s="29" customFormat="1"/>
    <row r="1000" s="29" customFormat="1"/>
    <row r="1001" s="29" customFormat="1"/>
    <row r="1002" s="29" customFormat="1"/>
    <row r="1003" s="29" customFormat="1"/>
    <row r="1004" s="29" customFormat="1"/>
    <row r="1005" s="29" customFormat="1"/>
    <row r="1006" s="29" customFormat="1"/>
    <row r="1007" s="29" customFormat="1"/>
    <row r="1008" s="29" customFormat="1"/>
    <row r="1009" s="29" customFormat="1"/>
    <row r="1010" s="29" customFormat="1"/>
    <row r="1011" s="29" customFormat="1"/>
    <row r="1012" s="29" customFormat="1"/>
    <row r="1013" s="29" customFormat="1"/>
    <row r="1014" s="29" customFormat="1"/>
    <row r="1015" s="29" customFormat="1"/>
    <row r="1016" s="29" customFormat="1"/>
    <row r="1017" s="29" customFormat="1"/>
    <row r="1018" s="29" customFormat="1"/>
    <row r="1019" s="29" customFormat="1"/>
    <row r="1020" s="29" customFormat="1"/>
    <row r="1021" s="29" customFormat="1"/>
    <row r="1022" s="29" customFormat="1"/>
    <row r="1023" s="29" customFormat="1"/>
    <row r="1024" s="29" customFormat="1"/>
    <row r="1025" s="29" customFormat="1"/>
    <row r="1026" s="29" customFormat="1"/>
    <row r="1027" s="29" customFormat="1"/>
    <row r="1028" s="29" customFormat="1"/>
    <row r="1029" s="29" customFormat="1"/>
    <row r="1030" s="29" customFormat="1"/>
    <row r="1031" s="29" customFormat="1"/>
    <row r="1032" s="29" customFormat="1"/>
    <row r="1033" s="29" customFormat="1"/>
    <row r="1034" s="29" customFormat="1"/>
    <row r="1035" s="29" customFormat="1"/>
    <row r="1036" s="29" customFormat="1"/>
    <row r="1037" s="29" customFormat="1"/>
    <row r="1038" s="29" customFormat="1"/>
    <row r="1039" s="29" customFormat="1"/>
    <row r="1040" s="29" customFormat="1"/>
    <row r="1041" s="29" customFormat="1"/>
    <row r="1042" s="29" customFormat="1"/>
    <row r="1043" s="29" customFormat="1"/>
    <row r="1044" s="29" customFormat="1"/>
    <row r="1045" s="29" customFormat="1"/>
    <row r="1046" s="29" customFormat="1"/>
    <row r="1047" s="29" customFormat="1"/>
    <row r="1048" s="29" customFormat="1"/>
    <row r="1049" s="29" customFormat="1"/>
    <row r="1050" s="29" customFormat="1"/>
    <row r="1051" s="29" customFormat="1"/>
    <row r="1052" s="29" customFormat="1"/>
    <row r="1053" s="29" customFormat="1"/>
  </sheetData>
  <mergeCells count="43">
    <mergeCell ref="B3:N4"/>
    <mergeCell ref="B6:B7"/>
    <mergeCell ref="C6:D6"/>
    <mergeCell ref="E6:F6"/>
    <mergeCell ref="G6:H6"/>
    <mergeCell ref="I6:J6"/>
    <mergeCell ref="K6:L6"/>
    <mergeCell ref="M6:N6"/>
    <mergeCell ref="O6:T6"/>
    <mergeCell ref="O32:O33"/>
    <mergeCell ref="P32:P33"/>
    <mergeCell ref="Q32:Q33"/>
    <mergeCell ref="R32:R33"/>
    <mergeCell ref="S32:S33"/>
    <mergeCell ref="T32:T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</mergeCells>
  <conditionalFormatting sqref="J38:N38 B8:T31">
    <cfRule type="expression" dxfId="5" priority="6" stopIfTrue="1">
      <formula>ISEVEN(ROW())</formula>
    </cfRule>
  </conditionalFormatting>
  <conditionalFormatting sqref="B62:B85">
    <cfRule type="expression" dxfId="4" priority="5" stopIfTrue="1">
      <formula>ISEVEN(ROW())</formula>
    </cfRule>
  </conditionalFormatting>
  <conditionalFormatting sqref="C62:D85">
    <cfRule type="expression" dxfId="3" priority="4" stopIfTrue="1">
      <formula>ISEVEN(ROW())</formula>
    </cfRule>
  </conditionalFormatting>
  <conditionalFormatting sqref="H62:I85">
    <cfRule type="expression" dxfId="2" priority="3" stopIfTrue="1">
      <formula>ISEVEN(ROW())</formula>
    </cfRule>
  </conditionalFormatting>
  <conditionalFormatting sqref="J62:K85">
    <cfRule type="expression" dxfId="1" priority="2" stopIfTrue="1">
      <formula>ISEVEN(ROW())</formula>
    </cfRule>
  </conditionalFormatting>
  <conditionalFormatting sqref="E62:F85">
    <cfRule type="expression" dxfId="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/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3" width="14.83203125" customWidth="1"/>
    <col min="4" max="4" width="24.1640625" hidden="1" customWidth="1"/>
    <col min="5" max="5" width="25.1640625" hidden="1" customWidth="1"/>
    <col min="6" max="9" width="10.83203125" style="29"/>
    <col min="10" max="10" width="17.5" style="29" bestFit="1" customWidth="1"/>
    <col min="11" max="859" width="10.83203125" style="29"/>
  </cols>
  <sheetData>
    <row r="1" spans="1:5">
      <c r="A1" t="s">
        <v>141</v>
      </c>
      <c r="B1" t="s">
        <v>142</v>
      </c>
      <c r="C1" t="s">
        <v>143</v>
      </c>
      <c r="D1" t="s">
        <v>144</v>
      </c>
      <c r="E1" t="s">
        <v>203</v>
      </c>
    </row>
    <row r="2" spans="1:5">
      <c r="A2">
        <v>1</v>
      </c>
      <c r="B2" t="s">
        <v>149</v>
      </c>
      <c r="C2" t="s">
        <v>148</v>
      </c>
      <c r="D2" t="str">
        <f>LstEffectif[[#This Row],[prenom]] &amp; " " &amp;LstEffectif[[#This Row],[nom]]</f>
        <v xml:space="preserve">Emeric ABADIE </v>
      </c>
      <c r="E2" t="str">
        <f>LstEffectif[[#This Row],[nom]]&amp; " " &amp;LstEffectif[[#This Row],[prenom]]</f>
        <v>ABADIE  Emeric</v>
      </c>
    </row>
    <row r="3" spans="1:5">
      <c r="A3">
        <v>2</v>
      </c>
      <c r="B3" t="s">
        <v>100</v>
      </c>
      <c r="C3" t="s">
        <v>153</v>
      </c>
      <c r="D3" t="str">
        <f>LstEffectif[[#This Row],[prenom]] &amp; " " &amp;LstEffectif[[#This Row],[nom]]</f>
        <v>Lucas BAQUE</v>
      </c>
      <c r="E3" t="str">
        <f>LstEffectif[[#This Row],[nom]]&amp; " " &amp;LstEffectif[[#This Row],[prenom]]</f>
        <v>BAQUE Lucas</v>
      </c>
    </row>
    <row r="4" spans="1:5">
      <c r="A4">
        <v>3</v>
      </c>
      <c r="B4" t="s">
        <v>109</v>
      </c>
      <c r="C4" t="s">
        <v>343</v>
      </c>
      <c r="D4" t="str">
        <f>LstEffectif[[#This Row],[prenom]] &amp; " " &amp;LstEffectif[[#This Row],[nom]]</f>
        <v>Julian BARATGIN</v>
      </c>
      <c r="E4" t="str">
        <f>LstEffectif[[#This Row],[nom]]&amp; " " &amp;LstEffectif[[#This Row],[prenom]]</f>
        <v>BARATGIN Julian</v>
      </c>
    </row>
    <row r="5" spans="1:5">
      <c r="A5">
        <v>4</v>
      </c>
      <c r="B5" t="s">
        <v>110</v>
      </c>
      <c r="C5" t="s">
        <v>161</v>
      </c>
      <c r="D5" t="str">
        <f>LstEffectif[[#This Row],[prenom]] &amp; " " &amp;LstEffectif[[#This Row],[nom]]</f>
        <v>Sébastien BARTHIE</v>
      </c>
      <c r="E5" t="str">
        <f>LstEffectif[[#This Row],[nom]]&amp; " " &amp;LstEffectif[[#This Row],[prenom]]</f>
        <v>BARTHIE Sébastien</v>
      </c>
    </row>
    <row r="6" spans="1:5">
      <c r="A6">
        <v>5</v>
      </c>
      <c r="B6" t="s">
        <v>107</v>
      </c>
      <c r="C6" t="s">
        <v>157</v>
      </c>
      <c r="D6" t="str">
        <f>LstEffectif[[#This Row],[prenom]] &amp; " " &amp;LstEffectif[[#This Row],[nom]]</f>
        <v>Bastien BAUP</v>
      </c>
      <c r="E6" t="str">
        <f>LstEffectif[[#This Row],[nom]]&amp; " " &amp;LstEffectif[[#This Row],[prenom]]</f>
        <v>BAUP Bastien</v>
      </c>
    </row>
    <row r="7" spans="1:5">
      <c r="A7">
        <v>6</v>
      </c>
      <c r="B7" t="s">
        <v>96</v>
      </c>
      <c r="C7" t="s">
        <v>150</v>
      </c>
      <c r="D7" t="str">
        <f>LstEffectif[[#This Row],[prenom]] &amp; " " &amp;LstEffectif[[#This Row],[nom]]</f>
        <v>Jean BAYLE</v>
      </c>
      <c r="E7" t="str">
        <f>LstEffectif[[#This Row],[nom]]&amp; " " &amp;LstEffectif[[#This Row],[prenom]]</f>
        <v>BAYLE Jean</v>
      </c>
    </row>
    <row r="8" spans="1:5">
      <c r="A8">
        <v>7</v>
      </c>
      <c r="B8" t="s">
        <v>101</v>
      </c>
      <c r="C8" t="s">
        <v>154</v>
      </c>
      <c r="D8" t="str">
        <f>LstEffectif[[#This Row],[prenom]] &amp; " " &amp;LstEffectif[[#This Row],[nom]]</f>
        <v>Anthony BOURREC</v>
      </c>
      <c r="E8" t="str">
        <f>LstEffectif[[#This Row],[nom]]&amp; " " &amp;LstEffectif[[#This Row],[prenom]]</f>
        <v>BOURREC Anthony</v>
      </c>
    </row>
    <row r="9" spans="1:5">
      <c r="A9">
        <v>8</v>
      </c>
      <c r="B9" t="s">
        <v>139</v>
      </c>
      <c r="C9" t="s">
        <v>162</v>
      </c>
      <c r="D9" t="str">
        <f>LstEffectif[[#This Row],[prenom]] &amp; " " &amp;LstEffectif[[#This Row],[nom]]</f>
        <v>Tom CASTERA</v>
      </c>
      <c r="E9" t="str">
        <f>LstEffectif[[#This Row],[nom]]&amp; " " &amp;LstEffectif[[#This Row],[prenom]]</f>
        <v>CASTERA Tom</v>
      </c>
    </row>
    <row r="10" spans="1:5">
      <c r="A10">
        <v>9</v>
      </c>
      <c r="B10" t="s">
        <v>140</v>
      </c>
      <c r="C10" t="s">
        <v>145</v>
      </c>
      <c r="D10" t="str">
        <f>LstEffectif[[#This Row],[prenom]] &amp; " " &amp;LstEffectif[[#This Row],[nom]]</f>
        <v>Jonah DALLA ROSA</v>
      </c>
      <c r="E10" t="str">
        <f>LstEffectif[[#This Row],[nom]]&amp; " " &amp;LstEffectif[[#This Row],[prenom]]</f>
        <v>DALLA ROSA Jonah</v>
      </c>
    </row>
    <row r="11" spans="1:5">
      <c r="A11">
        <v>10</v>
      </c>
      <c r="B11" t="s">
        <v>94</v>
      </c>
      <c r="C11" t="s">
        <v>147</v>
      </c>
      <c r="D11" t="str">
        <f>LstEffectif[[#This Row],[prenom]] &amp; " " &amp;LstEffectif[[#This Row],[nom]]</f>
        <v>Thomas DASTUGUE</v>
      </c>
      <c r="E11" t="str">
        <f>LstEffectif[[#This Row],[nom]]&amp; " " &amp;LstEffectif[[#This Row],[prenom]]</f>
        <v>DASTUGUE Thomas</v>
      </c>
    </row>
    <row r="12" spans="1:5">
      <c r="A12">
        <v>11</v>
      </c>
      <c r="B12" t="s">
        <v>102</v>
      </c>
      <c r="C12" t="s">
        <v>155</v>
      </c>
      <c r="D12" t="str">
        <f>LstEffectif[[#This Row],[prenom]] &amp; " " &amp;LstEffectif[[#This Row],[nom]]</f>
        <v>Marius FAULONG</v>
      </c>
      <c r="E12" t="str">
        <f>LstEffectif[[#This Row],[nom]]&amp; " " &amp;LstEffectif[[#This Row],[prenom]]</f>
        <v>FAULONG Marius</v>
      </c>
    </row>
    <row r="13" spans="1:5">
      <c r="A13">
        <v>12</v>
      </c>
      <c r="B13" t="s">
        <v>111</v>
      </c>
      <c r="C13" t="s">
        <v>163</v>
      </c>
      <c r="D13" t="str">
        <f>LstEffectif[[#This Row],[prenom]] &amp; " " &amp;LstEffectif[[#This Row],[nom]]</f>
        <v>Joris JOUNAUX</v>
      </c>
      <c r="E13" t="str">
        <f>LstEffectif[[#This Row],[nom]]&amp; " " &amp;LstEffectif[[#This Row],[prenom]]</f>
        <v>JOUNAUX Joris</v>
      </c>
    </row>
    <row r="14" spans="1:5">
      <c r="A14">
        <v>13</v>
      </c>
      <c r="B14" t="s">
        <v>104</v>
      </c>
      <c r="C14" t="s">
        <v>157</v>
      </c>
      <c r="D14" t="str">
        <f>LstEffectif[[#This Row],[prenom]] &amp; " " &amp;LstEffectif[[#This Row],[nom]]</f>
        <v>Bastien KAPFER</v>
      </c>
      <c r="E14" t="str">
        <f>LstEffectif[[#This Row],[nom]]&amp; " " &amp;LstEffectif[[#This Row],[prenom]]</f>
        <v>KAPFER Bastien</v>
      </c>
    </row>
    <row r="15" spans="1:5">
      <c r="A15">
        <v>14</v>
      </c>
      <c r="B15" t="s">
        <v>103</v>
      </c>
      <c r="C15" t="s">
        <v>156</v>
      </c>
      <c r="D15" t="str">
        <f>LstEffectif[[#This Row],[prenom]] &amp; " " &amp;LstEffectif[[#This Row],[nom]]</f>
        <v>Jean-Baptiste LAUDET</v>
      </c>
      <c r="E15" t="str">
        <f>LstEffectif[[#This Row],[nom]]&amp; " " &amp;LstEffectif[[#This Row],[prenom]]</f>
        <v>LAUDET Jean-Baptiste</v>
      </c>
    </row>
    <row r="16" spans="1:5">
      <c r="A16">
        <v>15</v>
      </c>
      <c r="B16" t="s">
        <v>95</v>
      </c>
      <c r="C16" t="s">
        <v>146</v>
      </c>
      <c r="D16" t="str">
        <f>LstEffectif[[#This Row],[prenom]] &amp; " " &amp;LstEffectif[[#This Row],[nom]]</f>
        <v>Paul MICHELIN</v>
      </c>
      <c r="E16" t="str">
        <f>LstEffectif[[#This Row],[nom]]&amp; " " &amp;LstEffectif[[#This Row],[prenom]]</f>
        <v>MICHELIN Paul</v>
      </c>
    </row>
    <row r="17" spans="1:5">
      <c r="A17">
        <v>16</v>
      </c>
      <c r="B17" t="s">
        <v>99</v>
      </c>
      <c r="C17" t="s">
        <v>152</v>
      </c>
      <c r="D17" t="str">
        <f>LstEffectif[[#This Row],[prenom]] &amp; " " &amp;LstEffectif[[#This Row],[nom]]</f>
        <v>Yohan MONLOR</v>
      </c>
      <c r="E17" t="str">
        <f>LstEffectif[[#This Row],[nom]]&amp; " " &amp;LstEffectif[[#This Row],[prenom]]</f>
        <v>MONLOR Yohan</v>
      </c>
    </row>
    <row r="18" spans="1:5">
      <c r="A18">
        <v>17</v>
      </c>
      <c r="B18" t="s">
        <v>98</v>
      </c>
      <c r="C18" t="s">
        <v>344</v>
      </c>
      <c r="D18" t="str">
        <f>LstEffectif[[#This Row],[prenom]] &amp; " " &amp;LstEffectif[[#This Row],[nom]]</f>
        <v>Maxime PIQUEMIL</v>
      </c>
      <c r="E18" t="str">
        <f>LstEffectif[[#This Row],[nom]]&amp; " " &amp;LstEffectif[[#This Row],[prenom]]</f>
        <v>PIQUEMIL Maxime</v>
      </c>
    </row>
    <row r="19" spans="1:5">
      <c r="A19">
        <v>18</v>
      </c>
      <c r="B19" t="s">
        <v>106</v>
      </c>
      <c r="C19" t="s">
        <v>159</v>
      </c>
      <c r="D19" t="str">
        <f>LstEffectif[[#This Row],[prenom]] &amp; " " &amp;LstEffectif[[#This Row],[nom]]</f>
        <v>Jimmy ROBERT</v>
      </c>
      <c r="E19" t="str">
        <f>LstEffectif[[#This Row],[nom]]&amp; " " &amp;LstEffectif[[#This Row],[prenom]]</f>
        <v>ROBERT Jimmy</v>
      </c>
    </row>
    <row r="20" spans="1:5">
      <c r="A20">
        <v>19</v>
      </c>
      <c r="B20" t="s">
        <v>97</v>
      </c>
      <c r="C20" t="s">
        <v>345</v>
      </c>
      <c r="D20" t="str">
        <f>LstEffectif[[#This Row],[prenom]] &amp; " " &amp;LstEffectif[[#This Row],[nom]]</f>
        <v>Mathis ROUSSEL</v>
      </c>
      <c r="E20" t="str">
        <f>LstEffectif[[#This Row],[nom]]&amp; " " &amp;LstEffectif[[#This Row],[prenom]]</f>
        <v>ROUSSEL Mathis</v>
      </c>
    </row>
    <row r="21" spans="1:5">
      <c r="A21">
        <v>20</v>
      </c>
      <c r="B21" t="s">
        <v>105</v>
      </c>
      <c r="C21" t="s">
        <v>158</v>
      </c>
      <c r="D21" t="str">
        <f>LstEffectif[[#This Row],[prenom]] &amp; " " &amp;LstEffectif[[#This Row],[nom]]</f>
        <v>Fabien SALLES</v>
      </c>
      <c r="E21" t="str">
        <f>LstEffectif[[#This Row],[nom]]&amp; " " &amp;LstEffectif[[#This Row],[prenom]]</f>
        <v>SALLES Fabien</v>
      </c>
    </row>
    <row r="22" spans="1:5">
      <c r="A22">
        <v>21</v>
      </c>
      <c r="B22" t="s">
        <v>105</v>
      </c>
      <c r="C22" t="s">
        <v>151</v>
      </c>
      <c r="D22" t="str">
        <f>LstEffectif[[#This Row],[prenom]] &amp; " " &amp;LstEffectif[[#This Row],[nom]]</f>
        <v>Dorian SALLES</v>
      </c>
      <c r="E22" t="str">
        <f>LstEffectif[[#This Row],[nom]]&amp; " " &amp;LstEffectif[[#This Row],[prenom]]</f>
        <v>SALLES Dorian</v>
      </c>
    </row>
    <row r="23" spans="1:5">
      <c r="A23">
        <v>22</v>
      </c>
      <c r="B23" t="s">
        <v>108</v>
      </c>
      <c r="C23" t="s">
        <v>160</v>
      </c>
      <c r="D23" t="str">
        <f>LstEffectif[[#This Row],[prenom]] &amp; " " &amp;LstEffectif[[#This Row],[nom]]</f>
        <v>Titouan STEFANI</v>
      </c>
      <c r="E23" t="str">
        <f>LstEffectif[[#This Row],[nom]]&amp; " " &amp;LstEffectif[[#This Row],[prenom]]</f>
        <v>STEFANI Titouan</v>
      </c>
    </row>
    <row r="24" spans="1:5">
      <c r="A24">
        <v>23</v>
      </c>
      <c r="B24" t="s">
        <v>149</v>
      </c>
      <c r="C24" t="s">
        <v>164</v>
      </c>
      <c r="D24" t="str">
        <f>LstEffectif[[#This Row],[prenom]] &amp; " " &amp;LstEffectif[[#This Row],[nom]]</f>
        <v xml:space="preserve">Quentin ABADIE </v>
      </c>
      <c r="E24" t="str">
        <f>LstEffectif[[#This Row],[nom]]&amp; " " &amp;LstEffectif[[#This Row],[prenom]]</f>
        <v>ABADIE  Quentin</v>
      </c>
    </row>
    <row r="25" spans="1:5">
      <c r="A25">
        <v>24</v>
      </c>
      <c r="B25" t="s">
        <v>321</v>
      </c>
      <c r="C25" t="s">
        <v>322</v>
      </c>
      <c r="D25" t="str">
        <f>LstEffectif[[#This Row],[prenom]] &amp; " " &amp;LstEffectif[[#This Row],[nom]]</f>
        <v xml:space="preserve">Julien BOUTAN </v>
      </c>
      <c r="E25" t="str">
        <f>LstEffectif[[#This Row],[nom]]&amp; " " &amp;LstEffectif[[#This Row],[prenom]]</f>
        <v>BOUTAN  Julien</v>
      </c>
    </row>
    <row r="26" spans="1:5" ht="12" customHeight="1">
      <c r="A26">
        <v>25</v>
      </c>
      <c r="B26" t="s">
        <v>323</v>
      </c>
      <c r="C26" t="s">
        <v>322</v>
      </c>
      <c r="D26" t="str">
        <f>LstEffectif[[#This Row],[prenom]] &amp; " " &amp;LstEffectif[[#This Row],[nom]]</f>
        <v>Julien POUYADOU</v>
      </c>
      <c r="E26" t="str">
        <f>LstEffectif[[#This Row],[nom]]&amp; " " &amp;LstEffectif[[#This Row],[prenom]]</f>
        <v>POUYADOU Julien</v>
      </c>
    </row>
    <row r="27" spans="1:5" s="29" customFormat="1">
      <c r="A27">
        <v>26</v>
      </c>
      <c r="B27" t="s">
        <v>346</v>
      </c>
      <c r="C27" t="s">
        <v>347</v>
      </c>
      <c r="D27" t="str">
        <f>LstEffectif[[#This Row],[prenom]] &amp; " " &amp;LstEffectif[[#This Row],[nom]]</f>
        <v>Martin MULLIER</v>
      </c>
      <c r="E27" t="str">
        <f>LstEffectif[[#This Row],[nom]]&amp; " " &amp;LstEffectif[[#This Row],[prenom]]</f>
        <v>MULLIER Martin</v>
      </c>
    </row>
    <row r="28" spans="1:5" s="29" customFormat="1">
      <c r="A28">
        <v>27</v>
      </c>
      <c r="B28" t="s">
        <v>348</v>
      </c>
      <c r="C28" t="s">
        <v>349</v>
      </c>
      <c r="D28" t="str">
        <f>LstEffectif[[#This Row],[prenom]] &amp; " " &amp;LstEffectif[[#This Row],[nom]]</f>
        <v>Gregory RICHIARDONNE</v>
      </c>
      <c r="E28" t="str">
        <f>LstEffectif[[#This Row],[nom]]&amp; " " &amp;LstEffectif[[#This Row],[prenom]]</f>
        <v>RICHIARDONNE Gregory</v>
      </c>
    </row>
    <row r="29" spans="1:5" s="29" customFormat="1">
      <c r="A29">
        <v>28</v>
      </c>
      <c r="B29" t="s">
        <v>350</v>
      </c>
      <c r="C29" t="s">
        <v>351</v>
      </c>
      <c r="D29" t="str">
        <f>LstEffectif[[#This Row],[prenom]] &amp; " " &amp;LstEffectif[[#This Row],[nom]]</f>
        <v>Antonio LOUREIRO LABAZUY</v>
      </c>
      <c r="E29" t="str">
        <f>LstEffectif[[#This Row],[nom]]&amp; " " &amp;LstEffectif[[#This Row],[prenom]]</f>
        <v>LOUREIRO LABAZUY Antonio</v>
      </c>
    </row>
    <row r="30" spans="1:5" s="29" customFormat="1">
      <c r="A30">
        <v>29</v>
      </c>
      <c r="B30" t="s">
        <v>352</v>
      </c>
      <c r="C30" t="s">
        <v>353</v>
      </c>
      <c r="D30" t="str">
        <f>LstEffectif[[#This Row],[prenom]] &amp; " " &amp;LstEffectif[[#This Row],[nom]]</f>
        <v>Alexis MOUDENS</v>
      </c>
      <c r="E30" t="str">
        <f>LstEffectif[[#This Row],[nom]]&amp; " " &amp;LstEffectif[[#This Row],[prenom]]</f>
        <v>MOUDENS Alexis</v>
      </c>
    </row>
    <row r="31" spans="1:5" s="29" customFormat="1">
      <c r="A31">
        <v>30</v>
      </c>
      <c r="B31" t="s">
        <v>354</v>
      </c>
      <c r="C31" t="s">
        <v>355</v>
      </c>
      <c r="D31" t="str">
        <f>LstEffectif[[#This Row],[prenom]] &amp; " " &amp;LstEffectif[[#This Row],[nom]]</f>
        <v>Romain BOUTELOUP</v>
      </c>
      <c r="E31" t="str">
        <f>LstEffectif[[#This Row],[nom]]&amp; " " &amp;LstEffectif[[#This Row],[prenom]]</f>
        <v>BOUTELOUP Romain</v>
      </c>
    </row>
    <row r="32" spans="1:5" s="29" customFormat="1"/>
    <row r="33" s="29" customFormat="1"/>
    <row r="34" s="29" customFormat="1"/>
    <row r="35" s="29" customFormat="1"/>
    <row r="36" s="29" customFormat="1"/>
    <row r="37" s="29" customFormat="1"/>
    <row r="38" s="29" customFormat="1"/>
    <row r="39" s="29" customFormat="1"/>
    <row r="40" s="29" customFormat="1"/>
    <row r="41" s="29" customFormat="1"/>
    <row r="42" s="29" customFormat="1"/>
    <row r="43" s="29" customFormat="1"/>
    <row r="44" s="29" customFormat="1"/>
    <row r="45" s="29" customFormat="1"/>
    <row r="46" s="29" customFormat="1"/>
    <row r="47" s="29" customFormat="1"/>
    <row r="48" s="29" customFormat="1"/>
    <row r="49" s="29" customFormat="1"/>
    <row r="50" s="29" customFormat="1"/>
    <row r="51" s="29" customFormat="1"/>
    <row r="52" s="29" customFormat="1"/>
    <row r="53" s="29" customFormat="1"/>
    <row r="54" s="29" customFormat="1"/>
    <row r="55" s="29" customFormat="1"/>
    <row r="56" s="29" customFormat="1"/>
    <row r="57" s="29" customFormat="1"/>
    <row r="58" s="29" customFormat="1"/>
    <row r="59" s="29" customFormat="1"/>
    <row r="60" s="29" customFormat="1"/>
    <row r="61" s="29" customFormat="1"/>
    <row r="62" s="29" customFormat="1"/>
    <row r="63" s="29" customFormat="1"/>
    <row r="6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topLeftCell="C1" workbookViewId="0">
      <selection activeCell="G13" sqref="G13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281</v>
      </c>
      <c r="C1" s="52" t="s">
        <v>289</v>
      </c>
      <c r="D1" s="52"/>
      <c r="F1" s="59" t="s">
        <v>201</v>
      </c>
      <c r="G1" s="60" t="s">
        <v>202</v>
      </c>
      <c r="I1" s="82" t="s">
        <v>207</v>
      </c>
      <c r="K1" s="150" t="s">
        <v>205</v>
      </c>
      <c r="N1" t="s">
        <v>243</v>
      </c>
      <c r="Q1" s="82" t="s">
        <v>168</v>
      </c>
      <c r="R1" s="82" t="s">
        <v>208</v>
      </c>
    </row>
    <row r="2" spans="1:18" ht="30" customHeight="1">
      <c r="A2" t="s">
        <v>302</v>
      </c>
      <c r="C2" s="56" t="s">
        <v>271</v>
      </c>
      <c r="D2" s="56"/>
      <c r="F2" s="54" t="s">
        <v>191</v>
      </c>
      <c r="G2" s="39"/>
      <c r="I2" s="55" t="s">
        <v>117</v>
      </c>
      <c r="K2" s="155" t="s">
        <v>93</v>
      </c>
      <c r="N2" t="s">
        <v>244</v>
      </c>
      <c r="Q2" s="55" t="s">
        <v>169</v>
      </c>
      <c r="R2" s="55" t="s">
        <v>58</v>
      </c>
    </row>
    <row r="3" spans="1:18" ht="30" customHeight="1">
      <c r="A3" t="s">
        <v>282</v>
      </c>
      <c r="C3" s="56" t="s">
        <v>280</v>
      </c>
      <c r="D3" s="56"/>
      <c r="F3" s="57" t="s">
        <v>192</v>
      </c>
      <c r="G3" s="32"/>
      <c r="I3" s="83" t="s">
        <v>204</v>
      </c>
      <c r="K3" s="155" t="s">
        <v>83</v>
      </c>
      <c r="N3" t="s">
        <v>262</v>
      </c>
      <c r="Q3" s="58" t="s">
        <v>170</v>
      </c>
      <c r="R3" s="58" t="s">
        <v>127</v>
      </c>
    </row>
    <row r="4" spans="1:18" ht="30" customHeight="1">
      <c r="A4" t="s">
        <v>283</v>
      </c>
      <c r="C4" s="56" t="s">
        <v>290</v>
      </c>
      <c r="D4" s="56"/>
      <c r="F4" s="54" t="s">
        <v>193</v>
      </c>
      <c r="G4" s="33"/>
      <c r="Q4" s="55" t="s">
        <v>171</v>
      </c>
      <c r="R4" s="55" t="s">
        <v>59</v>
      </c>
    </row>
    <row r="5" spans="1:18" ht="30" customHeight="1">
      <c r="A5" t="s">
        <v>284</v>
      </c>
      <c r="C5" s="56"/>
      <c r="D5" s="56"/>
      <c r="F5" s="57" t="s">
        <v>194</v>
      </c>
      <c r="G5" s="34"/>
      <c r="I5" s="82" t="s">
        <v>206</v>
      </c>
      <c r="Q5" s="58" t="s">
        <v>172</v>
      </c>
      <c r="R5" s="58" t="s">
        <v>173</v>
      </c>
    </row>
    <row r="6" spans="1:18" ht="30" customHeight="1">
      <c r="A6" t="s">
        <v>285</v>
      </c>
      <c r="C6" s="56" t="s">
        <v>291</v>
      </c>
      <c r="D6" s="56"/>
      <c r="F6" s="54" t="s">
        <v>196</v>
      </c>
      <c r="G6" s="35"/>
      <c r="I6" s="55" t="s">
        <v>116</v>
      </c>
      <c r="Q6" s="55" t="s">
        <v>174</v>
      </c>
      <c r="R6" s="55" t="s">
        <v>175</v>
      </c>
    </row>
    <row r="7" spans="1:18" ht="30" customHeight="1">
      <c r="A7" t="s">
        <v>286</v>
      </c>
      <c r="C7" s="56" t="s">
        <v>272</v>
      </c>
      <c r="D7" s="56"/>
      <c r="F7" s="57" t="s">
        <v>195</v>
      </c>
      <c r="G7" s="51"/>
      <c r="I7" s="83" t="s">
        <v>113</v>
      </c>
      <c r="Q7" s="58" t="s">
        <v>176</v>
      </c>
      <c r="R7" s="58" t="s">
        <v>130</v>
      </c>
    </row>
    <row r="8" spans="1:18" ht="30" customHeight="1">
      <c r="A8" s="52" t="s">
        <v>287</v>
      </c>
      <c r="C8" s="56" t="s">
        <v>292</v>
      </c>
      <c r="D8" s="56"/>
      <c r="F8" s="54" t="s">
        <v>197</v>
      </c>
      <c r="G8" s="27"/>
      <c r="Q8" s="55" t="s">
        <v>177</v>
      </c>
      <c r="R8" s="55" t="s">
        <v>128</v>
      </c>
    </row>
    <row r="9" spans="1:18" s="52" customFormat="1" ht="30" customHeight="1">
      <c r="A9" t="s">
        <v>288</v>
      </c>
      <c r="C9" s="56" t="s">
        <v>293</v>
      </c>
      <c r="D9" s="56"/>
      <c r="F9" s="57" t="s">
        <v>198</v>
      </c>
      <c r="G9" s="36"/>
      <c r="K9"/>
      <c r="Q9" s="58" t="s">
        <v>178</v>
      </c>
      <c r="R9" s="58" t="s">
        <v>131</v>
      </c>
    </row>
    <row r="10" spans="1:18" ht="30" customHeight="1">
      <c r="A10" t="s">
        <v>359</v>
      </c>
      <c r="C10" s="56"/>
      <c r="D10" s="56"/>
      <c r="F10" s="54" t="s">
        <v>199</v>
      </c>
      <c r="G10" s="37"/>
      <c r="I10" s="119" t="s">
        <v>317</v>
      </c>
      <c r="Q10" s="55" t="s">
        <v>179</v>
      </c>
      <c r="R10" s="55" t="s">
        <v>129</v>
      </c>
    </row>
    <row r="11" spans="1:18" s="52" customFormat="1" ht="30" customHeight="1">
      <c r="C11" s="56" t="s">
        <v>294</v>
      </c>
      <c r="D11" s="56"/>
      <c r="F11" s="57" t="s">
        <v>369</v>
      </c>
      <c r="G11" s="167"/>
      <c r="K11"/>
      <c r="Q11" s="58" t="s">
        <v>180</v>
      </c>
      <c r="R11" s="58" t="s">
        <v>132</v>
      </c>
    </row>
    <row r="12" spans="1:18" ht="30" customHeight="1">
      <c r="C12" s="56" t="s">
        <v>273</v>
      </c>
      <c r="D12" s="56"/>
      <c r="F12" s="54" t="s">
        <v>370</v>
      </c>
      <c r="G12" s="168"/>
      <c r="Q12" s="58" t="s">
        <v>327</v>
      </c>
      <c r="R12" s="58" t="s">
        <v>328</v>
      </c>
    </row>
    <row r="13" spans="1:18" s="52" customFormat="1" ht="30" customHeight="1">
      <c r="C13" s="56" t="s">
        <v>295</v>
      </c>
      <c r="D13" s="56"/>
      <c r="F13" s="57" t="s">
        <v>371</v>
      </c>
      <c r="G13" s="169"/>
      <c r="K13"/>
      <c r="Q13" s="57" t="s">
        <v>268</v>
      </c>
      <c r="R13" s="139" t="s">
        <v>253</v>
      </c>
    </row>
    <row r="14" spans="1:18" ht="30" customHeight="1">
      <c r="C14" s="56" t="s">
        <v>296</v>
      </c>
      <c r="D14" s="56"/>
      <c r="F14" s="57"/>
      <c r="G14" s="52"/>
      <c r="I14" s="53" t="s">
        <v>214</v>
      </c>
      <c r="Q14" s="57" t="s">
        <v>267</v>
      </c>
      <c r="R14" s="139" t="s">
        <v>254</v>
      </c>
    </row>
    <row r="15" spans="1:18" s="52" customFormat="1" ht="30" customHeight="1">
      <c r="C15" s="56"/>
      <c r="D15" s="56"/>
      <c r="F15" s="54" t="s">
        <v>200</v>
      </c>
      <c r="G15" s="38"/>
      <c r="I15" s="52" t="s">
        <v>210</v>
      </c>
      <c r="K15"/>
      <c r="Q15" s="57" t="s">
        <v>181</v>
      </c>
      <c r="R15" s="139" t="s">
        <v>122</v>
      </c>
    </row>
    <row r="16" spans="1:18" ht="30" customHeight="1">
      <c r="C16" s="56" t="s">
        <v>305</v>
      </c>
      <c r="D16" s="56"/>
      <c r="I16" s="52" t="s">
        <v>211</v>
      </c>
      <c r="Q16" s="57" t="s">
        <v>182</v>
      </c>
      <c r="R16" s="139" t="s">
        <v>133</v>
      </c>
    </row>
    <row r="17" spans="3:18" s="52" customFormat="1" ht="30" customHeight="1">
      <c r="C17" s="56" t="s">
        <v>306</v>
      </c>
      <c r="D17" s="56"/>
      <c r="I17" s="52" t="s">
        <v>212</v>
      </c>
      <c r="K17"/>
      <c r="Q17" s="57" t="s">
        <v>183</v>
      </c>
      <c r="R17" s="139" t="s">
        <v>134</v>
      </c>
    </row>
    <row r="18" spans="3:18" ht="30" customHeight="1">
      <c r="C18" s="56" t="s">
        <v>307</v>
      </c>
      <c r="D18" s="56"/>
      <c r="I18" s="52" t="s">
        <v>213</v>
      </c>
      <c r="Q18" s="57" t="s">
        <v>184</v>
      </c>
      <c r="R18" s="139" t="s">
        <v>135</v>
      </c>
    </row>
    <row r="19" spans="3:18" ht="30" customHeight="1">
      <c r="C19" s="56" t="s">
        <v>308</v>
      </c>
      <c r="D19" s="56"/>
      <c r="I19" s="52" t="s">
        <v>319</v>
      </c>
      <c r="Q19" s="57" t="s">
        <v>185</v>
      </c>
      <c r="R19" s="139" t="s">
        <v>126</v>
      </c>
    </row>
    <row r="20" spans="3:18" ht="30" customHeight="1">
      <c r="C20" s="56" t="s">
        <v>309</v>
      </c>
      <c r="D20" s="56"/>
      <c r="I20" s="52" t="s">
        <v>320</v>
      </c>
      <c r="Q20" s="57" t="s">
        <v>186</v>
      </c>
      <c r="R20" s="139" t="s">
        <v>123</v>
      </c>
    </row>
    <row r="21" spans="3:18" ht="30" customHeight="1">
      <c r="C21" s="56"/>
      <c r="D21" s="56"/>
      <c r="Q21" s="57" t="s">
        <v>187</v>
      </c>
      <c r="R21" s="139" t="s">
        <v>124</v>
      </c>
    </row>
    <row r="22" spans="3:18" ht="30" customHeight="1">
      <c r="C22" s="56"/>
      <c r="D22" s="56"/>
      <c r="Q22" s="57" t="s">
        <v>188</v>
      </c>
      <c r="R22" s="139" t="s">
        <v>119</v>
      </c>
    </row>
    <row r="23" spans="3:18" ht="30" customHeight="1">
      <c r="C23" s="56"/>
      <c r="D23" s="56"/>
      <c r="Q23" s="57" t="s">
        <v>189</v>
      </c>
      <c r="R23" s="139" t="s">
        <v>120</v>
      </c>
    </row>
    <row r="24" spans="3:18" ht="30" customHeight="1">
      <c r="C24" s="56"/>
      <c r="D24" s="56"/>
      <c r="Q24" s="57" t="s">
        <v>190</v>
      </c>
      <c r="R24" s="139" t="s">
        <v>88</v>
      </c>
    </row>
    <row r="25" spans="3:18" ht="30" customHeight="1">
      <c r="Q25" s="57" t="s">
        <v>221</v>
      </c>
      <c r="R25" s="139" t="s">
        <v>223</v>
      </c>
    </row>
    <row r="26" spans="3:18" ht="30" customHeight="1">
      <c r="Q26" s="57" t="s">
        <v>222</v>
      </c>
      <c r="R26" s="139" t="s">
        <v>224</v>
      </c>
    </row>
    <row r="27" spans="3:18" ht="30" customHeight="1">
      <c r="Q27" s="57" t="s">
        <v>225</v>
      </c>
      <c r="R27" s="139" t="s">
        <v>226</v>
      </c>
    </row>
    <row r="28" spans="3:18" ht="30" customHeight="1">
      <c r="Q28" s="57" t="s">
        <v>227</v>
      </c>
      <c r="R28" s="139" t="s">
        <v>228</v>
      </c>
    </row>
    <row r="29" spans="3:18" ht="30" customHeight="1">
      <c r="Q29" s="57" t="s">
        <v>229</v>
      </c>
      <c r="R29" s="139" t="s">
        <v>60</v>
      </c>
    </row>
    <row r="30" spans="3:18" ht="30" customHeight="1">
      <c r="Q30" s="57" t="s">
        <v>230</v>
      </c>
      <c r="R30" s="139" t="s">
        <v>231</v>
      </c>
    </row>
    <row r="31" spans="3:18" ht="30" customHeight="1">
      <c r="Q31" s="57" t="s">
        <v>252</v>
      </c>
      <c r="R31" s="139" t="s">
        <v>246</v>
      </c>
    </row>
    <row r="32" spans="3:18" ht="30" customHeight="1">
      <c r="Q32" s="57" t="s">
        <v>255</v>
      </c>
      <c r="R32" s="139" t="s">
        <v>247</v>
      </c>
    </row>
    <row r="33" spans="17:18" ht="30" customHeight="1">
      <c r="Q33" s="57" t="s">
        <v>256</v>
      </c>
      <c r="R33" s="139" t="s">
        <v>248</v>
      </c>
    </row>
    <row r="34" spans="17:18" ht="30" customHeight="1">
      <c r="Q34" s="57" t="s">
        <v>257</v>
      </c>
      <c r="R34" s="139" t="s">
        <v>173</v>
      </c>
    </row>
    <row r="35" spans="17:18" ht="30" customHeight="1">
      <c r="Q35" s="57" t="s">
        <v>258</v>
      </c>
      <c r="R35" s="139" t="s">
        <v>175</v>
      </c>
    </row>
    <row r="36" spans="17:18" ht="30" customHeight="1">
      <c r="Q36" s="57" t="s">
        <v>261</v>
      </c>
      <c r="R36" s="139" t="s">
        <v>83</v>
      </c>
    </row>
    <row r="37" spans="17:18" ht="30" customHeight="1">
      <c r="Q37" s="83" t="s">
        <v>325</v>
      </c>
      <c r="R37" s="83" t="s">
        <v>326</v>
      </c>
    </row>
    <row r="38" spans="17:18" ht="30" customHeight="1">
      <c r="Q38" s="58" t="s">
        <v>331</v>
      </c>
      <c r="R38" s="58" t="s">
        <v>332</v>
      </c>
    </row>
    <row r="39" spans="17:18" ht="30" customHeight="1">
      <c r="Q39" s="58" t="s">
        <v>333</v>
      </c>
      <c r="R39" s="58" t="s">
        <v>334</v>
      </c>
    </row>
    <row r="40" spans="17:18" ht="30" customHeight="1">
      <c r="Q40" s="58" t="s">
        <v>335</v>
      </c>
      <c r="R40" s="58" t="s">
        <v>336</v>
      </c>
    </row>
    <row r="41" spans="17:18" ht="30" customHeight="1">
      <c r="Q41" s="83" t="s">
        <v>337</v>
      </c>
      <c r="R41" s="83" t="s">
        <v>338</v>
      </c>
    </row>
    <row r="42" spans="17:18" ht="30" customHeight="1">
      <c r="Q42" s="83" t="s">
        <v>372</v>
      </c>
      <c r="R42" s="83" t="s">
        <v>373</v>
      </c>
    </row>
    <row r="43" spans="17:18" ht="30" customHeight="1">
      <c r="Q43" s="83" t="s">
        <v>374</v>
      </c>
      <c r="R43" s="83" t="s">
        <v>375</v>
      </c>
    </row>
    <row r="44" spans="17:18" ht="30" customHeight="1">
      <c r="Q44" s="83" t="s">
        <v>376</v>
      </c>
      <c r="R44" s="83" t="s">
        <v>377</v>
      </c>
    </row>
    <row r="45" spans="17:18" ht="30" customHeight="1">
      <c r="Q45" s="83" t="s">
        <v>378</v>
      </c>
      <c r="R45" s="83" t="s">
        <v>384</v>
      </c>
    </row>
    <row r="46" spans="17:18" ht="30" customHeight="1">
      <c r="Q46" s="83" t="s">
        <v>379</v>
      </c>
      <c r="R46" s="83" t="s">
        <v>385</v>
      </c>
    </row>
    <row r="47" spans="17:18" ht="30" customHeight="1">
      <c r="Q47" s="83" t="s">
        <v>380</v>
      </c>
      <c r="R47" s="83" t="s">
        <v>386</v>
      </c>
    </row>
    <row r="48" spans="17:18" ht="30" customHeight="1">
      <c r="Q48" s="83" t="s">
        <v>381</v>
      </c>
      <c r="R48" s="83" t="s">
        <v>387</v>
      </c>
    </row>
    <row r="49" spans="17:18" ht="30" customHeight="1">
      <c r="Q49" s="83" t="s">
        <v>382</v>
      </c>
      <c r="R49" s="83" t="s">
        <v>388</v>
      </c>
    </row>
    <row r="50" spans="17:18" ht="30" customHeight="1">
      <c r="Q50" s="83" t="s">
        <v>383</v>
      </c>
      <c r="R50" s="83" t="s">
        <v>389</v>
      </c>
    </row>
    <row r="51" spans="17:18" ht="30" customHeight="1"/>
    <row r="52" spans="17:18" ht="30" customHeight="1"/>
    <row r="53" spans="17:18" ht="30" customHeight="1"/>
    <row r="54" spans="17:18" ht="30" customHeight="1"/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  <sheetView workbookViewId="1"/>
  </sheetViews>
  <sheetFormatPr baseColWidth="10" defaultColWidth="10.83203125" defaultRowHeight="13"/>
  <cols>
    <col min="1" max="8" width="10.83203125" style="29"/>
    <col min="9" max="9" width="27" style="29" customWidth="1"/>
    <col min="10" max="10" width="4.5" style="29" customWidth="1"/>
    <col min="11" max="16384" width="10.83203125" style="29"/>
  </cols>
  <sheetData>
    <row r="24" spans="8:11">
      <c r="H24" s="29" t="s">
        <v>167</v>
      </c>
    </row>
    <row r="26" spans="8:11">
      <c r="H26" s="41"/>
      <c r="I26" s="42"/>
      <c r="J26" s="42"/>
      <c r="K26" s="43"/>
    </row>
    <row r="27" spans="8:11">
      <c r="H27" s="44"/>
      <c r="K27" s="45"/>
    </row>
    <row r="28" spans="8:11">
      <c r="H28" s="50" t="s">
        <v>165</v>
      </c>
      <c r="I28" s="49"/>
      <c r="K28" s="45"/>
    </row>
    <row r="29" spans="8:11">
      <c r="H29" s="50"/>
      <c r="K29" s="45"/>
    </row>
    <row r="30" spans="8:11">
      <c r="H30" s="50" t="s">
        <v>166</v>
      </c>
      <c r="I30" s="49"/>
      <c r="K30" s="45"/>
    </row>
    <row r="31" spans="8:11">
      <c r="H31" s="44"/>
      <c r="K31" s="45"/>
    </row>
    <row r="32" spans="8:11">
      <c r="H32" s="46"/>
      <c r="I32" s="47"/>
      <c r="J32" s="47"/>
      <c r="K32" s="48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  <sheetView workbookViewId="1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171</vt:i4>
      </vt:variant>
    </vt:vector>
  </HeadingPairs>
  <TitlesOfParts>
    <vt:vector size="178" baseType="lpstr">
      <vt:lpstr>Compo</vt:lpstr>
      <vt:lpstr>Saisie vidéo</vt:lpstr>
      <vt:lpstr>Journal actions</vt:lpstr>
      <vt:lpstr>Stats match</vt:lpstr>
      <vt:lpstr>Listes</vt:lpstr>
      <vt:lpstr>Paramètres</vt:lpstr>
      <vt:lpstr>Popup</vt:lpstr>
      <vt:lpstr>ACT_ARRACHAGE</vt:lpstr>
      <vt:lpstr>ACT_ARRET_DU_JEU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2026-08-10T16:01:45Z</dcterms:modified>
</cp:coreProperties>
</file>