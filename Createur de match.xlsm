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7ABA9673-C44B-3F47-B905-6831C8F108CB}" xr6:coauthVersionLast="47" xr6:coauthVersionMax="47" xr10:uidLastSave="{00000000-0000-0000-0000-000000000000}"/>
  <bookViews>
    <workbookView xWindow="11460" yWindow="660" windowWidth="23100" windowHeight="16900" activeTab="4" xr2:uid="{1E5C896C-F332-E148-BC32-5F8B49356FF5}"/>
    <workbookView xWindow="10920" yWindow="14500" windowWidth="23640" windowHeight="7840" activeTab="3" xr2:uid="{F1B9606C-296E-034A-B033-0A5934677F42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state="hidden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  <sheet name="Popup possession" sheetId="28" state="hidden" r:id="rId14"/>
  </sheets>
  <functionGroups builtInGroupCount="19"/>
  <definedNames>
    <definedName name="_xleta.T" hidden="1" xlm="1">#NAME?</definedName>
    <definedName name="ACT_ARRACHAGE">Paramètres!$R$37</definedName>
    <definedName name="ACT_ARRACHAGE_ADV">Paramètres!$R$70</definedName>
    <definedName name="ACT_ARRACHAGE_NS">Paramètres!$R$69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CONTRE_RUCK_ADV">Paramètres!$R$68</definedName>
    <definedName name="ACT_CONTRE_RUCK_NS">Paramètres!$R$67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GRATTAGE_ADV">Paramètres!$R$66</definedName>
    <definedName name="ACT_GRATTAGE_NS">Paramètres!$R$65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AVANT">'Saisie vidéo'!$S$20</definedName>
    <definedName name="BTN_JO_COLLECTIF">'Saisie vidéo'!$K$20</definedName>
    <definedName name="BTN_JO_NON_IDENTIFIE">'Saisie vidéo'!$AJ$20</definedName>
    <definedName name="BTN_JO_TROIS_QUARTS">'Saisie vidéo'!$AB$20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SENS_JEU">'Saisie vidéo'!$BO$4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Paramètres!$T$2:$T$50</definedName>
    <definedName name="LISTE_MT_JOURNAL">Paramètres!$I$6:$I$7</definedName>
    <definedName name="LST_JOUEURS">LstEffectif[NOM Prénom]</definedName>
    <definedName name="LST_TM_ALIGNEMENT">'Touches Melees'!$AC$201:$AC$206</definedName>
    <definedName name="LST_TM_BALLON">'Touches Melees'!$AA$201:$AA$202</definedName>
    <definedName name="LST_TM_BALLON_LONG">'Touches Melees'!$AF$201:$AF$202</definedName>
    <definedName name="LST_TM_ISSUE_MELEE">'Touches Melees'!$Y$201:$Y$202</definedName>
    <definedName name="LST_TM_ISSUE_TOUCHE">'Touches Melees'!$X$201:$X$203</definedName>
    <definedName name="LST_TM_LANCE_POUR">'Touches Melees'!$W$201:$W$202</definedName>
    <definedName name="LST_TM_UTILISATION">'Touches Melees'!$AE$201:$AE$203</definedName>
    <definedName name="LST_TM_ZONE_LARGEUR">'Touches Melees'!$AD$201:$AD$203</definedName>
    <definedName name="LST_TM_ZONE_LONGUEUR">'Touches Melees'!$AB$201:$AB$211</definedName>
    <definedName name="LST_TM_ZONE_SAUT">'Touches Melees'!$Z$201:$Z$205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melee'!$C$19</definedName>
    <definedName name="POPUP_ME_CHAMPS">'Popup melee'!$AD$2:$AD$4,'Popup melee'!$C$17:$N$17</definedName>
    <definedName name="POPUP_ME_CONTEXTE">'Popup melee'!$C$4:$C$7</definedName>
    <definedName name="POPUP_ME_OBS">'Popup melee'!$C$17:$N$17</definedName>
    <definedName name="POPUP_ME_PLAY_PAUSE">'Popup melee'!$E$4</definedName>
    <definedName name="POPUP_ME_SENS_JEU">'Popup melee'!$J$5:$L$6</definedName>
    <definedName name="POPUP_ME_UTILISATION">'Popup melee'!$AD$4</definedName>
    <definedName name="POPUP_ME_VALIDER">'Popup melee'!$F$19</definedName>
    <definedName name="POPUP_ME_ZONE_LARGEUR">'Popup melee'!$AD$3</definedName>
    <definedName name="POPUP_ME_ZONE_LONGUEUR">'Popup melee'!$AD$2</definedName>
    <definedName name="POPUP_NOM">Popup!$D$9</definedName>
    <definedName name="POPUP_POSS_CHANGER">'Popup possession'!$F$7:$I$8</definedName>
    <definedName name="POPUP_POSS_GARDER">'Popup possession'!$B$7:$D$8</definedName>
    <definedName name="POPUP_POSS_QUESTION">'Popup possession'!$B$4:$I$5</definedName>
    <definedName name="POPUP_PRENOM">Popup!$D$11</definedName>
    <definedName name="POPUP_TO_ALIGNEMENT">'Popup touche'!$AD$5</definedName>
    <definedName name="POPUP_TO_ANNULER">'Popup touche'!$C$23</definedName>
    <definedName name="POPUP_TO_BALLON">'Popup touche'!$AD$3</definedName>
    <definedName name="POPUP_TO_CHAMPS">'Popup touche'!$C$9:$F$9,'Popup touche'!$AD$2:$AD$5,'Popup touche'!$C$21:$N$21</definedName>
    <definedName name="POPUP_TO_CONTEXTE">'Popup touche'!$C$4:$C$7</definedName>
    <definedName name="POPUP_TO_OBS">'Popup touche'!$C$21:$N$21</definedName>
    <definedName name="POPUP_TO_PLAY_PAUSE">'Popup touche'!$E$4</definedName>
    <definedName name="POPUP_TO_SAUTEUR">'Popup touche'!$C$9:$F$9</definedName>
    <definedName name="POPUP_TO_SENS_JEU">'Popup touche'!$J$5:$L$6</definedName>
    <definedName name="POPUP_TO_VALIDER">'Popup touche'!$F$23</definedName>
    <definedName name="POPUP_TO_ZONE_SAUT">'Popup touche'!$AD$2</definedName>
    <definedName name="POPUP_TO_ZONE_TERRAIN">'Popup touche'!$AD$4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ENS_JEU">Paramètres!$V$1</definedName>
    <definedName name="STAT_DUREES_ANCRE">'Stats match'!$B$96</definedName>
    <definedName name="STAT_POSSESSION_ANCRE">'Stats match'!$H$46</definedName>
    <definedName name="STAT_TEMPS_EFFECTIF_MT1">'Stats match'!$J$47</definedName>
    <definedName name="STAT_TEMPS_EFFECTIF_MT2">'Stats match'!$J$48</definedName>
    <definedName name="STAT_TEMPS_EFFECTIF_TOTAL">'Stats match'!$J$49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Melees'!$A$18</definedName>
    <definedName name="TM_RECAP_MELEES">'Touches Melees'!$A$14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1" i="12" l="1"/>
  <c r="Y31" i="12"/>
  <c r="X31" i="12"/>
  <c r="W31" i="12"/>
  <c r="V31" i="12"/>
  <c r="N31" i="12"/>
  <c r="M31" i="12"/>
  <c r="Z30" i="12"/>
  <c r="Y30" i="12"/>
  <c r="X30" i="12"/>
  <c r="W30" i="12"/>
  <c r="V30" i="12"/>
  <c r="N30" i="12"/>
  <c r="M30" i="12"/>
  <c r="C16" i="18"/>
  <c r="B16" i="18"/>
  <c r="C15" i="18"/>
  <c r="B15" i="18"/>
  <c r="D7" i="18"/>
  <c r="C7" i="18"/>
  <c r="B7" i="18"/>
  <c r="D6" i="18"/>
  <c r="C6" i="18"/>
  <c r="B6" i="18"/>
  <c r="B1" i="2"/>
  <c r="F73" i="3"/>
  <c r="E73" i="3"/>
  <c r="I40" i="12"/>
  <c r="I39" i="12"/>
  <c r="N33" i="12"/>
  <c r="M33" i="12"/>
  <c r="N32" i="12"/>
  <c r="M32" i="12"/>
  <c r="D43" i="12"/>
  <c r="D44" i="12"/>
  <c r="E43" i="12"/>
  <c r="E39" i="12"/>
  <c r="D40" i="12"/>
  <c r="D39" i="12"/>
  <c r="B58" i="12"/>
  <c r="O48" i="12"/>
  <c r="N48" i="12"/>
  <c r="O47" i="12"/>
  <c r="N47" i="12"/>
  <c r="O46" i="12"/>
  <c r="N46" i="12"/>
  <c r="O45" i="12"/>
  <c r="N45" i="12"/>
  <c r="O44" i="12"/>
  <c r="N44" i="12"/>
  <c r="F15" i="3"/>
  <c r="E15" i="3"/>
  <c r="F66" i="3"/>
  <c r="E66" i="3"/>
  <c r="B67" i="12" a="1"/>
  <c r="B67" i="12" s="1"/>
  <c r="B8" i="12" a="1"/>
  <c r="B8" i="12" s="1"/>
  <c r="M8" i="12" s="1"/>
  <c r="B3" i="12"/>
  <c r="E2" i="7"/>
  <c r="E40" i="12"/>
  <c r="E44" i="12"/>
  <c r="F40" i="3"/>
  <c r="E40" i="3"/>
  <c r="N8" i="12" l="1"/>
  <c r="N14" i="12"/>
  <c r="N20" i="12"/>
  <c r="N26" i="12"/>
  <c r="N9" i="12"/>
  <c r="N15" i="12"/>
  <c r="N21" i="12"/>
  <c r="N27" i="12"/>
  <c r="N13" i="12"/>
  <c r="N19" i="12"/>
  <c r="N25" i="12"/>
  <c r="M14" i="12"/>
  <c r="M20" i="12"/>
  <c r="M26" i="12"/>
  <c r="M10" i="12"/>
  <c r="M16" i="12"/>
  <c r="M22" i="12"/>
  <c r="M28" i="12"/>
  <c r="N10" i="12"/>
  <c r="N16" i="12"/>
  <c r="N22" i="12"/>
  <c r="N28" i="12"/>
  <c r="M11" i="12"/>
  <c r="M17" i="12"/>
  <c r="M23" i="12"/>
  <c r="M29" i="12"/>
  <c r="N11" i="12"/>
  <c r="N17" i="12"/>
  <c r="N23" i="12"/>
  <c r="N29" i="12"/>
  <c r="M12" i="12"/>
  <c r="M18" i="12"/>
  <c r="M24" i="12"/>
  <c r="N12" i="12"/>
  <c r="N18" i="12"/>
  <c r="N24" i="12"/>
  <c r="M13" i="12"/>
  <c r="M19" i="12"/>
  <c r="M25" i="12"/>
  <c r="M9" i="12"/>
  <c r="M15" i="12"/>
  <c r="M21" i="12"/>
  <c r="M27" i="12"/>
  <c r="N49" i="12"/>
  <c r="O49" i="12"/>
  <c r="F7" i="3"/>
  <c r="E7" i="3"/>
  <c r="S6" i="12"/>
  <c r="Q6" i="12"/>
  <c r="O6" i="12"/>
  <c r="H44" i="12"/>
  <c r="H43" i="12"/>
  <c r="H40" i="12"/>
  <c r="H39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T31" i="12"/>
  <c r="S31" i="12"/>
  <c r="S30" i="12"/>
  <c r="P31" i="12"/>
  <c r="P30" i="12"/>
  <c r="O31" i="12"/>
  <c r="O30" i="12"/>
  <c r="R33" i="12"/>
  <c r="R30" i="12"/>
  <c r="Q30" i="12"/>
  <c r="R31" i="12"/>
  <c r="Q31" i="12"/>
  <c r="T32" i="12"/>
  <c r="Q32" i="12"/>
  <c r="S33" i="12"/>
  <c r="S32" i="12"/>
  <c r="R32" i="12"/>
  <c r="T33" i="12"/>
  <c r="Q33" i="12"/>
  <c r="P33" i="12"/>
  <c r="P32" i="12"/>
  <c r="O33" i="12"/>
  <c r="O32" i="12"/>
  <c r="D52" i="12" l="1"/>
  <c r="C52" i="12"/>
  <c r="D51" i="12"/>
  <c r="C51" i="12"/>
  <c r="D48" i="12"/>
  <c r="C48" i="12"/>
  <c r="D47" i="12"/>
  <c r="C47" i="12"/>
  <c r="C44" i="12"/>
  <c r="C43" i="12"/>
  <c r="P41" i="12"/>
  <c r="O41" i="12"/>
  <c r="N41" i="12"/>
  <c r="M41" i="12"/>
  <c r="P40" i="12"/>
  <c r="O40" i="12"/>
  <c r="N40" i="12"/>
  <c r="M40" i="12"/>
  <c r="C40" i="12"/>
  <c r="C39" i="12"/>
  <c r="Z33" i="12"/>
  <c r="Y33" i="12"/>
  <c r="X33" i="12"/>
  <c r="W33" i="12"/>
  <c r="V33" i="12"/>
  <c r="Z32" i="12"/>
  <c r="Y32" i="12"/>
  <c r="X32" i="12"/>
  <c r="W32" i="12"/>
  <c r="V32" i="12"/>
  <c r="J65" i="12"/>
  <c r="H65" i="12"/>
  <c r="E65" i="12"/>
  <c r="C65" i="12"/>
  <c r="D89" i="12" s="1"/>
  <c r="Z7" i="12"/>
  <c r="Y7" i="12"/>
  <c r="X7" i="12"/>
  <c r="W7" i="12"/>
  <c r="V7" i="12"/>
  <c r="U7" i="12"/>
  <c r="K6" i="12"/>
  <c r="I6" i="12"/>
  <c r="G6" i="12"/>
  <c r="E6" i="12"/>
  <c r="C6" i="12"/>
  <c r="D31" i="12" l="1"/>
  <c r="D30" i="12"/>
  <c r="C31" i="12"/>
  <c r="C30" i="12"/>
  <c r="J31" i="12"/>
  <c r="J30" i="12"/>
  <c r="I30" i="12"/>
  <c r="I31" i="12"/>
  <c r="H31" i="12"/>
  <c r="H30" i="12"/>
  <c r="G31" i="12"/>
  <c r="G30" i="12"/>
  <c r="U32" i="12"/>
  <c r="U30" i="12"/>
  <c r="U31" i="12"/>
  <c r="F32" i="12"/>
  <c r="F31" i="12"/>
  <c r="F30" i="12"/>
  <c r="E31" i="12"/>
  <c r="E30" i="12"/>
  <c r="K31" i="12"/>
  <c r="K30" i="12"/>
  <c r="L31" i="12"/>
  <c r="L30" i="12"/>
  <c r="S29" i="12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5" i="12"/>
  <c r="G22" i="12"/>
  <c r="U33" i="12"/>
  <c r="H73" i="12"/>
  <c r="D81" i="12"/>
  <c r="C88" i="12"/>
  <c r="E33" i="12"/>
  <c r="I73" i="12"/>
  <c r="C82" i="12"/>
  <c r="D88" i="12"/>
  <c r="F33" i="12"/>
  <c r="H74" i="12"/>
  <c r="D82" i="12"/>
  <c r="C90" i="12"/>
  <c r="H68" i="12"/>
  <c r="C75" i="12"/>
  <c r="H82" i="12"/>
  <c r="D90" i="12"/>
  <c r="C69" i="12"/>
  <c r="D75" i="12"/>
  <c r="I82" i="12"/>
  <c r="D69" i="12"/>
  <c r="C76" i="12"/>
  <c r="H83" i="12"/>
  <c r="C70" i="12"/>
  <c r="D76" i="12"/>
  <c r="C84" i="12"/>
  <c r="D70" i="12"/>
  <c r="C78" i="12"/>
  <c r="D84" i="12"/>
  <c r="C72" i="12"/>
  <c r="D78" i="12"/>
  <c r="C85" i="12"/>
  <c r="D72" i="12"/>
  <c r="C79" i="12"/>
  <c r="D85" i="12"/>
  <c r="C73" i="12"/>
  <c r="D79" i="12"/>
  <c r="C87" i="12"/>
  <c r="D73" i="12"/>
  <c r="C81" i="12"/>
  <c r="D87" i="12"/>
  <c r="H77" i="12"/>
  <c r="H86" i="12"/>
  <c r="H10" i="12"/>
  <c r="W11" i="12"/>
  <c r="C15" i="12"/>
  <c r="L16" i="12"/>
  <c r="H18" i="12"/>
  <c r="W19" i="12"/>
  <c r="C23" i="12"/>
  <c r="L24" i="12"/>
  <c r="H26" i="12"/>
  <c r="W27" i="12"/>
  <c r="I68" i="12"/>
  <c r="I77" i="12"/>
  <c r="I86" i="12"/>
  <c r="G10" i="12"/>
  <c r="F13" i="12"/>
  <c r="K16" i="12"/>
  <c r="U19" i="12"/>
  <c r="F21" i="12"/>
  <c r="Z22" i="12"/>
  <c r="K24" i="12"/>
  <c r="G26" i="12"/>
  <c r="F29" i="12"/>
  <c r="D32" i="12"/>
  <c r="C32" i="12"/>
  <c r="D33" i="12"/>
  <c r="X11" i="12"/>
  <c r="E15" i="12"/>
  <c r="X19" i="12"/>
  <c r="G12" i="12"/>
  <c r="G20" i="12"/>
  <c r="F23" i="12"/>
  <c r="K26" i="12"/>
  <c r="G33" i="12"/>
  <c r="H33" i="12"/>
  <c r="L10" i="12"/>
  <c r="H20" i="12"/>
  <c r="K12" i="12"/>
  <c r="Z18" i="12"/>
  <c r="U23" i="12"/>
  <c r="Z26" i="12"/>
  <c r="G32" i="12"/>
  <c r="H79" i="12"/>
  <c r="H88" i="12"/>
  <c r="K87" i="12"/>
  <c r="C11" i="12"/>
  <c r="L12" i="12"/>
  <c r="H14" i="12"/>
  <c r="W15" i="12"/>
  <c r="C19" i="12"/>
  <c r="L20" i="12"/>
  <c r="H22" i="12"/>
  <c r="W23" i="12"/>
  <c r="C27" i="12"/>
  <c r="L28" i="12"/>
  <c r="H32" i="12"/>
  <c r="I70" i="12"/>
  <c r="I79" i="12"/>
  <c r="I88" i="12"/>
  <c r="U13" i="12"/>
  <c r="G28" i="12"/>
  <c r="H12" i="12"/>
  <c r="I83" i="12"/>
  <c r="K90" i="12"/>
  <c r="J90" i="12"/>
  <c r="K89" i="12"/>
  <c r="J89" i="12"/>
  <c r="G14" i="12"/>
  <c r="H71" i="12"/>
  <c r="H80" i="12"/>
  <c r="H89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G27" i="12"/>
  <c r="G25" i="12"/>
  <c r="G23" i="12"/>
  <c r="G21" i="12"/>
  <c r="G19" i="12"/>
  <c r="Y17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Y19" i="12"/>
  <c r="G17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Y15" i="12"/>
  <c r="G15" i="12"/>
  <c r="Y13" i="12"/>
  <c r="G13" i="12"/>
  <c r="G11" i="12"/>
  <c r="Z29" i="12"/>
  <c r="H29" i="12"/>
  <c r="Z27" i="12"/>
  <c r="H27" i="12"/>
  <c r="Z25" i="12"/>
  <c r="H25" i="12"/>
  <c r="Z23" i="12"/>
  <c r="H23" i="12"/>
  <c r="Z21" i="12"/>
  <c r="H21" i="12"/>
  <c r="Z19" i="12"/>
  <c r="H19" i="12"/>
  <c r="Z17" i="12"/>
  <c r="H17" i="12"/>
  <c r="Z15" i="12"/>
  <c r="H15" i="12"/>
  <c r="Z13" i="12"/>
  <c r="H13" i="12"/>
  <c r="Z11" i="12"/>
  <c r="H11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Y16" i="12"/>
  <c r="I18" i="12"/>
  <c r="E23" i="12"/>
  <c r="Y24" i="12"/>
  <c r="I26" i="12"/>
  <c r="X27" i="12"/>
  <c r="Z16" i="12"/>
  <c r="J33" i="12"/>
  <c r="I33" i="12"/>
  <c r="J32" i="12"/>
  <c r="E9" i="12"/>
  <c r="X13" i="12"/>
  <c r="Y18" i="12"/>
  <c r="I20" i="12"/>
  <c r="X21" i="12"/>
  <c r="E25" i="12"/>
  <c r="Y26" i="12"/>
  <c r="I28" i="12"/>
  <c r="X29" i="12"/>
  <c r="C33" i="12"/>
  <c r="I74" i="12"/>
  <c r="L33" i="12"/>
  <c r="K33" i="12"/>
  <c r="Z10" i="12"/>
  <c r="U15" i="12"/>
  <c r="K20" i="12"/>
  <c r="F25" i="12"/>
  <c r="K28" i="12"/>
  <c r="I71" i="12"/>
  <c r="I80" i="12"/>
  <c r="I89" i="12"/>
  <c r="U11" i="12"/>
  <c r="Z14" i="12"/>
  <c r="G18" i="12"/>
  <c r="U27" i="12"/>
  <c r="C9" i="12"/>
  <c r="F9" i="12"/>
  <c r="F17" i="12"/>
  <c r="Y12" i="12"/>
  <c r="X15" i="12"/>
  <c r="Y20" i="12"/>
  <c r="I22" i="12"/>
  <c r="X23" i="12"/>
  <c r="Y28" i="12"/>
  <c r="I32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2" i="12"/>
  <c r="H76" i="12"/>
  <c r="K10" i="12"/>
  <c r="F15" i="12"/>
  <c r="K18" i="12"/>
  <c r="U21" i="12"/>
  <c r="Z24" i="12"/>
  <c r="U29" i="12"/>
  <c r="F89" i="12"/>
  <c r="E89" i="12"/>
  <c r="F90" i="12"/>
  <c r="E90" i="12"/>
  <c r="W13" i="12"/>
  <c r="C17" i="12"/>
  <c r="L18" i="12"/>
  <c r="W21" i="12"/>
  <c r="C25" i="12"/>
  <c r="L26" i="12"/>
  <c r="H28" i="12"/>
  <c r="W29" i="12"/>
  <c r="I90" i="12"/>
  <c r="H90" i="12"/>
  <c r="Y10" i="12"/>
  <c r="I12" i="12"/>
  <c r="E17" i="12"/>
  <c r="H70" i="12"/>
  <c r="E11" i="12"/>
  <c r="I14" i="12"/>
  <c r="E19" i="12"/>
  <c r="E27" i="12"/>
  <c r="W9" i="12"/>
  <c r="C13" i="12"/>
  <c r="L14" i="12"/>
  <c r="H16" i="12"/>
  <c r="W17" i="12"/>
  <c r="C21" i="12"/>
  <c r="L22" i="12"/>
  <c r="H24" i="12"/>
  <c r="W25" i="12"/>
  <c r="C29" i="12"/>
  <c r="L32" i="12"/>
  <c r="X9" i="12"/>
  <c r="E13" i="12"/>
  <c r="Y14" i="12"/>
  <c r="I16" i="12"/>
  <c r="X17" i="12"/>
  <c r="E21" i="12"/>
  <c r="Y22" i="12"/>
  <c r="I24" i="12"/>
  <c r="X25" i="12"/>
  <c r="E29" i="12"/>
  <c r="I76" i="12"/>
  <c r="I85" i="12"/>
  <c r="J68" i="12"/>
  <c r="E70" i="12"/>
  <c r="J71" i="12"/>
  <c r="E73" i="12"/>
  <c r="J74" i="12"/>
  <c r="E76" i="12"/>
  <c r="J77" i="12"/>
  <c r="E79" i="12"/>
  <c r="J80" i="12"/>
  <c r="E82" i="12"/>
  <c r="J83" i="12"/>
  <c r="E85" i="12"/>
  <c r="J86" i="12"/>
  <c r="E88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F88" i="12"/>
  <c r="E69" i="12"/>
  <c r="J70" i="12"/>
  <c r="J73" i="12"/>
  <c r="J76" i="12"/>
  <c r="E78" i="12"/>
  <c r="J79" i="12"/>
  <c r="E81" i="12"/>
  <c r="J82" i="12"/>
  <c r="E84" i="12"/>
  <c r="J85" i="12"/>
  <c r="E87" i="12"/>
  <c r="J88" i="12"/>
  <c r="F69" i="12"/>
  <c r="K70" i="12"/>
  <c r="F72" i="12"/>
  <c r="K73" i="12"/>
  <c r="F75" i="12"/>
  <c r="K76" i="12"/>
  <c r="F78" i="12"/>
  <c r="K79" i="12"/>
  <c r="F81" i="12"/>
  <c r="K82" i="12"/>
  <c r="F84" i="12"/>
  <c r="K85" i="12"/>
  <c r="F87" i="12"/>
  <c r="K88" i="12"/>
  <c r="E75" i="12"/>
  <c r="C68" i="12"/>
  <c r="H69" i="12"/>
  <c r="C71" i="12"/>
  <c r="H72" i="12"/>
  <c r="C74" i="12"/>
  <c r="H75" i="12"/>
  <c r="C77" i="12"/>
  <c r="H78" i="12"/>
  <c r="C80" i="12"/>
  <c r="H81" i="12"/>
  <c r="C83" i="12"/>
  <c r="H84" i="12"/>
  <c r="C86" i="12"/>
  <c r="H87" i="12"/>
  <c r="C89" i="12"/>
  <c r="E72" i="12"/>
  <c r="D68" i="12"/>
  <c r="I69" i="12"/>
  <c r="D71" i="12"/>
  <c r="I72" i="12"/>
  <c r="D74" i="12"/>
  <c r="I75" i="12"/>
  <c r="D77" i="12"/>
  <c r="I78" i="12"/>
  <c r="D80" i="12"/>
  <c r="I81" i="12"/>
  <c r="D83" i="12"/>
  <c r="I84" i="12"/>
  <c r="D86" i="12"/>
  <c r="I87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J87" i="12"/>
  <c r="E32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T8" i="12" l="1"/>
  <c r="T34" i="12" s="1"/>
  <c r="R8" i="12"/>
  <c r="R34" i="12" s="1"/>
  <c r="S8" i="12"/>
  <c r="S34" i="12" s="1"/>
  <c r="Q8" i="12"/>
  <c r="Q34" i="12" s="1"/>
  <c r="P8" i="12"/>
  <c r="P34" i="12" s="1"/>
  <c r="O8" i="12"/>
  <c r="O34" i="12" s="1"/>
  <c r="X8" i="12"/>
  <c r="X34" i="12" s="1"/>
  <c r="G8" i="12"/>
  <c r="G34" i="12" s="1"/>
  <c r="F8" i="12"/>
  <c r="F34" i="12" s="1"/>
  <c r="H8" i="12"/>
  <c r="H34" i="12" s="1"/>
  <c r="L8" i="12"/>
  <c r="L34" i="12" s="1"/>
  <c r="V8" i="12"/>
  <c r="V34" i="12" s="1"/>
  <c r="Y8" i="12"/>
  <c r="Y34" i="12" s="1"/>
  <c r="W8" i="12"/>
  <c r="W34" i="12" s="1"/>
  <c r="E8" i="12"/>
  <c r="E34" i="12" s="1"/>
  <c r="Z8" i="12"/>
  <c r="Z34" i="12" s="1"/>
  <c r="D8" i="12"/>
  <c r="D34" i="12" s="1"/>
  <c r="M34" i="12"/>
  <c r="U8" i="12"/>
  <c r="U34" i="12" s="1"/>
  <c r="C8" i="12"/>
  <c r="C34" i="12" s="1"/>
  <c r="N34" i="12"/>
  <c r="J8" i="12"/>
  <c r="J34" i="12" s="1"/>
  <c r="K8" i="12"/>
  <c r="K34" i="12" s="1"/>
  <c r="I8" i="12"/>
  <c r="I34" i="12" s="1"/>
  <c r="D67" i="12"/>
  <c r="D91" i="12" s="1"/>
  <c r="C67" i="12"/>
  <c r="C91" i="12" s="1"/>
  <c r="J67" i="12"/>
  <c r="J91" i="12" s="1"/>
  <c r="K67" i="12"/>
  <c r="K91" i="12" s="1"/>
  <c r="F67" i="12"/>
  <c r="F91" i="12" s="1"/>
  <c r="E67" i="12"/>
  <c r="E91" i="12" s="1"/>
  <c r="I67" i="12"/>
  <c r="I91" i="12" s="1"/>
  <c r="H67" i="12"/>
  <c r="H91" i="12" s="1"/>
  <c r="Q35" i="12" l="1"/>
  <c r="S35" i="12"/>
  <c r="O35" i="12"/>
  <c r="I35" i="12"/>
  <c r="E92" i="12"/>
  <c r="M35" i="12"/>
  <c r="K35" i="12"/>
  <c r="C92" i="12"/>
  <c r="G35" i="12"/>
  <c r="E35" i="12"/>
  <c r="J92" i="12"/>
  <c r="H92" i="12"/>
  <c r="C35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<sst xmlns="http://schemas.openxmlformats.org/spreadsheetml/2006/main" count="1031" uniqueCount="669">
  <si>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</si>
  <si>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</si>
  <si>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</si>
  <si>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</si>
  <si>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</si>
  <si>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</si>
  <si>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</si>
  <si>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</si>
  <si>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</si>
  <si>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</si>
  <si>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</si>
  <si>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</si>
  <si>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</si>
  <si>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</si>
  <si>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</si>
  <si>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</si>
  <si>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</si>
  <si>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</si>
  <si>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</si>
  <si>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</si>
  <si>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</si>
  <si>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</si>
  <si>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</si>
  <si>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</si>
  <si>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</si>
  <si>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</si>
  <si>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</si>
  <si>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</si>
  <si>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</si>
  <si>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</si>
  <si>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</si>
  <si>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</si>
  <si>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</si>
  <si>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</si>
  <si>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</si>
  <si>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</si>
  <si>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</si>
  <si>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</si>
  <si>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</si>
  <si>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</si>
  <si>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</si>
  <si>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</si>
  <si>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</si>
  <si>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</si>
  <si>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</si>
  <si>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</si>
  <si>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</si>
  <si>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</si>
  <si>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</si>
  <si>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</si>
  <si>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</si>
  <si>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</si>
  <si>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</si>
  <si>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</si>
  <si>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</si>
  <si>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</si>
  <si>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</si>
  <si>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</si>
  <si>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</si>
  <si>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</si>
  <si>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</si>
  <si>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</si>
  <si>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</si>
  <si>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</si>
  <si>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</si>
  <si>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</si>
  <si>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</si>
  <si>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</si>
  <si>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</si>
  <si>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</si>
  <si>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</si>
  <si>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</si>
  <si>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</si>
  <si>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</si>
  <si>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</si>
  <si>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</si>
  <si>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</si>
  <si>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</si>
  <si>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</si>
  <si>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</si>
  <si>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</si>
  <si>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</si>
  <si>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</si>
  <si>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</si>
  <si>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</si>
  <si>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</si>
  <si>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</si>
  <si>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</si>
  <si>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</si>
  <si>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</si>
  <si>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</si>
  <si>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</si>
  <si>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</si>
  <si>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</si>
  <si>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</si>
  <si>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</si>
  <si>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</si>
  <si>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</si>
  <si>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</si>
  <si>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</si>
  <si>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</si>
  <si>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</si>
  <si>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</si>
  <si>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</si>
  <si>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</si>
  <si>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</si>
  <si>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</si>
  <si>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</si>
  <si>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</si>
  <si>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</si>
  <si>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</si>
  <si>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</si>
  <si>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</si>
  <si>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</si>
  <si>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</si>
  <si>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</si>
  <si>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</si>
  <si>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</si>
  <si>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</si>
  <si>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</si>
  <si>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</si>
  <si>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</si>
  <si>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</si>
  <si>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</si>
  <si>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</si>
  <si>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</si>
  <si>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</si>
  <si>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</si>
  <si>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</si>
  <si>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</si>
  <si>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</si>
  <si>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</si>
  <si>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</si>
  <si>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</si>
  <si>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</si>
  <si>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</si>
  <si>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</si>
  <si>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</si>
  <si>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</si>
  <si>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</si>
  <si>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</si>
  <si>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</si>
  <si>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</si>
  <si>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</si>
  <si>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</si>
  <si>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</si>
  <si>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</si>
  <si>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</si>
  <si>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</si>
  <si>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</si>
  <si>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</si>
  <si>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</si>
  <si>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</si>
  <si>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</si>
  <si>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</si>
  <si>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</si>
  <si>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</si>
  <si>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</si>
  <si>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</si>
  <si>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</si>
  <si>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</si>
  <si>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</si>
  <si>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</si>
  <si>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</si>
  <si>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</si>
  <si>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</si>
  <si>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</si>
  <si>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</si>
  <si>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</si>
  <si>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</si>
  <si>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</si>
  <si>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</si>
  <si>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</si>
  <si>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</si>
  <si>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</si>
  <si>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</si>
  <si>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</si>
  <si>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</si>
  <si>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</si>
  <si>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</si>
  <si>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</si>
  <si>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</si>
  <si>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</si>
  <si>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</si>
  <si>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</si>
  <si>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</si>
  <si>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</si>
  <si>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</si>
  <si>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</si>
  <si>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</si>
  <si>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</si>
  <si>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</si>
  <si>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</si>
  <si>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</si>
  <si>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</si>
  <si>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</si>
  <si>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</si>
  <si>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</si>
  <si>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</si>
  <si>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</si>
  <si>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</si>
  <si>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</si>
  <si>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</si>
  <si>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</si>
  <si>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</si>
  <si>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</si>
  <si>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</si>
  <si>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</si>
  <si>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</si>
  <si>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</si>
  <si>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</si>
  <si>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</si>
  <si>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</si>
  <si>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</si>
  <si>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</si>
  <si>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</si>
  <si>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</si>
  <si>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</si>
  <si>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</si>
  <si>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</si>
  <si>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</si>
  <si>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</si>
  <si>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</si>
  <si>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</si>
  <si>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</si>
  <si>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</si>
  <si>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</si>
  <si>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</si>
  <si>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</si>
  <si>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</si>
  <si>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</si>
  <si>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</si>
  <si>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</si>
  <si>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</si>
  <si>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</si>
  <si>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</si>
  <si>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</si>
  <si>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</si>
  <si>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</si>
  <si>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</si>
  <si>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</si>
  <si>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</si>
  <si>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</si>
  <si>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</si>
  <si>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</si>
  <si>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</si>
  <si>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</si>
  <si>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</si>
  <si>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</si>
  <si>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</si>
  <si>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</si>
  <si>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</si>
  <si>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</si>
  <si>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</si>
  <si>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</si>
  <si>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</si>
  <si>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</si>
  <si>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</si>
  <si>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</si>
  <si>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</si>
  <si>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</si>
  <si>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</si>
  <si>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</si>
  <si>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</si>
  <si>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</si>
  <si>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</si>
  <si>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</si>
  <si>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</si>
  <si>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</si>
  <si>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</si>
  <si>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</si>
  <si>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</si>
  <si>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</si>
  <si>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</si>
  <si>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</si>
  <si>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</si>
  <si>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</si>
  <si>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</si>
  <si>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</si>
  <si>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</si>
  <si>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</si>
  <si>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</si>
  <si>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</si>
  <si>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</si>
  <si>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</si>
  <si>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</si>
  <si>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</si>
  <si>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</si>
  <si>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</si>
  <si>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</si>
  <si>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</si>
  <si>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</si>
  <si>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</si>
  <si>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</si>
  <si>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</si>
  <si>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</si>
  <si>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</si>
  <si>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</si>
  <si>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</si>
  <si>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</si>
  <si>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</si>
  <si>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</si>
  <si>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</si>
  <si>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</si>
  <si>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</si>
  <si>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</si>
  <si>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</si>
  <si>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</si>
  <si>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</si>
  <si>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</si>
  <si>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</si>
  <si>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</si>
  <si>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</si>
  <si>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</si>
  <si>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</si>
  <si>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</si>
  <si>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</si>
  <si>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</si>
  <si>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</si>
  <si>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</si>
  <si>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</si>
  <si>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</si>
  <si>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</si>
  <si>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</si>
  <si>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</si>
  <si>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</si>
  <si>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</si>
  <si>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</si>
  <si>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</si>
  <si>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</si>
  <si>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</si>
  <si>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</si>
  <si>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</si>
  <si>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</si>
  <si>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</si>
  <si>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</si>
  <si>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</si>
  <si>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</si>
  <si>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</si>
  <si>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</si>
  <si>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</si>
  <si>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</si>
  <si>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</si>
  <si>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</si>
  <si>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</si>
  <si>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</si>
  <si>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</si>
  <si>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</si>
  <si>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</si>
  <si>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</si>
  <si>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</si>
  <si>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</si>
  <si>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</si>
  <si>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</si>
  <si>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</si>
  <si>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</si>
  <si>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</si>
  <si>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</si>
  <si>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</si>
  <si>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</si>
  <si>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</si>
  <si>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</si>
  <si>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</si>
  <si>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</si>
  <si>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</si>
  <si>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</si>
  <si>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</si>
  <si>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</si>
  <si>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</si>
  <si>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</si>
  <si>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</si>
  <si>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</si>
  <si>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</si>
  <si>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</si>
  <si>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</si>
  <si>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</si>
  <si>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</si>
  <si>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</si>
  <si>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</si>
  <si>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</si>
  <si>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</si>
  <si>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</si>
  <si>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</si>
  <si>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</si>
  <si>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</si>
  <si>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</si>
  <si>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</si>
  <si>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</si>
  <si>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</si>
  <si>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</si>
  <si>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</si>
  <si>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</si>
  <si>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</si>
  <si>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</si>
  <si>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</si>
  <si>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</si>
  <si>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</si>
  <si>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</si>
  <si>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</si>
  <si>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</si>
  <si>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</si>
  <si>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</si>
  <si>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</si>
  <si>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</si>
  <si>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</si>
  <si>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</si>
  <si>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</si>
  <si>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</si>
  <si>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</si>
  <si>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</si>
  <si>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</si>
  <si>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</si>
  <si>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</si>
  <si>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</si>
  <si>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</si>
  <si>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</si>
  <si>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</si>
  <si>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</si>
  <si>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</si>
  <si>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</si>
  <si>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</si>
  <si>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</si>
  <si>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</si>
  <si>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</si>
  <si>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</si>
  <si>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</si>
  <si>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</si>
  <si>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</si>
  <si>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</si>
  <si>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</si>
  <si>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</si>
  <si>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</si>
  <si>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</si>
  <si>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</si>
  <si>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</si>
  <si>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</si>
  <si>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</si>
  <si>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</si>
  <si>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</si>
  <si>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</si>
  <si>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</si>
  <si>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</si>
  <si>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</si>
  <si>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</si>
  <si>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</si>
  <si>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</si>
  <si>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</si>
  <si>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</si>
  <si>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</si>
  <si>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</si>
  <si>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</si>
  <si>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</si>
  <si>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</si>
  <si>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</si>
  <si>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</si>
  <si>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</si>
  <si>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</si>
  <si>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</si>
  <si>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</si>
  <si>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</si>
  <si>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</si>
  <si>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</si>
  <si>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</si>
  <si>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</si>
  <si>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</si>
  <si>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</si>
  <si>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</si>
  <si>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</si>
  <si>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</si>
  <si>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</si>
  <si>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</si>
  <si>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</si>
  <si>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</si>
  <si>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</si>
  <si>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</si>
  <si>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</si>
  <si>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</si>
  <si>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</si>
  <si>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</si>
  <si>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</si>
  <si>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</si>
  <si>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</si>
  <si>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</si>
  <si>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</si>
  <si>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</si>
  <si>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</si>
  <si>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</si>
  <si>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</si>
  <si>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</si>
  <si>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</si>
  <si>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</si>
  <si>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</si>
  <si>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</si>
  <si>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</si>
  <si>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</si>
  <si>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</si>
  <si>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</si>
  <si>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</si>
  <si>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</si>
  <si>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</si>
  <si>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</si>
  <si>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</si>
  <si>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</si>
  <si>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</si>
  <si>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</si>
  <si>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</si>
  <si>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</si>
  <si>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</si>
  <si>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</si>
  <si>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</si>
  <si>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</si>
  <si>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GALLINARO Pierrick</t>
  </si>
  <si>
    <t>STEFANI Titouan</t>
  </si>
  <si>
    <t>SOUVILLE Quentin</t>
  </si>
  <si>
    <t>Remplacement</t>
  </si>
  <si>
    <t>Passage à vide</t>
  </si>
  <si>
    <t>EXPORTER
LA FEUILLE</t>
  </si>
  <si>
    <t>00:00</t>
  </si>
  <si>
    <t>1 - ABADIE Quentin</t>
  </si>
  <si>
    <t>2 - RICHIARDONNE Gregory</t>
  </si>
  <si>
    <t>3 - BAUP Bastien</t>
  </si>
  <si>
    <t>4 - DUTREY Thomas</t>
  </si>
  <si>
    <t>5 - ABADIE Emeric</t>
  </si>
  <si>
    <t>6 - MULLIER Victor</t>
  </si>
  <si>
    <t>7 - BIFFI Pierre</t>
  </si>
  <si>
    <t>8 - BARATGIN Julian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</si>
  <si>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</si>
  <si>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</si>
  <si>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</si>
  <si>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</si>
  <si>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</si>
  <si>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</si>
  <si>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</si>
  <si>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16 - DALLA ROSA Jonah</t>
  </si>
  <si>
    <t>17 - GALLINARO Pierrick</t>
  </si>
  <si>
    <t>18 - STEFANI Titouan</t>
  </si>
  <si>
    <t>19 - LOUREIRO LABAZUY Antonio</t>
  </si>
  <si>
    <t>20 - ABADIE Thomas</t>
  </si>
  <si>
    <t>21 - CESCA Sacha</t>
  </si>
  <si>
    <t>22 - SOUVILLE Quentin</t>
  </si>
  <si>
    <r>
      <t>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RICHIARDONNE</t>
    </r>
  </si>
  <si>
    <r>
      <t>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BAUP</t>
    </r>
  </si>
  <si>
    <r>
      <t>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DUTREY</t>
    </r>
  </si>
  <si>
    <r>
      <t>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</si>
  <si>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>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MULLIER</t>
    </r>
  </si>
  <si>
    <r>
      <t>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BIFFI</t>
    </r>
  </si>
  <si>
    <r>
      <t>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BARATGIN</t>
    </r>
  </si>
  <si>
    <r>
      <t>9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MOUDENS</t>
    </r>
  </si>
  <si>
    <r>
      <t>10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COURREGES</t>
    </r>
  </si>
  <si>
    <r>
      <t>11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BOURREC</t>
    </r>
  </si>
  <si>
    <r>
      <t>12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LAUDET</t>
    </r>
  </si>
  <si>
    <r>
      <t>13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KAPFER</t>
    </r>
  </si>
  <si>
    <r>
      <t>14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JOUNAUX</t>
    </r>
  </si>
  <si>
    <r>
      <t>15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SALLES</t>
    </r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</si>
  <si>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</si>
  <si>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</si>
  <si>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</si>
  <si>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</si>
  <si>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</si>
  <si>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</si>
  <si>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</si>
  <si>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</si>
  <si>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</si>
  <si>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</si>
  <si>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</si>
  <si>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</si>
  <si>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</si>
  <si>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</si>
  <si>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</si>
  <si>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</si>
  <si>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</si>
  <si>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</si>
  <si>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</si>
  <si>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US Eauze Gondrin</t>
  </si>
  <si>
    <t>Jeu effectif</t>
  </si>
  <si>
    <t>Eux</t>
  </si>
  <si>
    <t>10m de plus - contestation</t>
  </si>
  <si>
    <t>Melee - Mise en place trop longue</t>
  </si>
  <si>
    <t>Melee - Engagement anticipé</t>
  </si>
  <si>
    <t>Melee - Poussée anticipée</t>
  </si>
  <si>
    <t>Melee - Introduction irreguliere</t>
  </si>
  <si>
    <t>Melee - Talonnage irregulier</t>
  </si>
  <si>
    <t>Touche - Mise en place trop longue</t>
  </si>
  <si>
    <t>Touche - Alignement irregulier</t>
  </si>
  <si>
    <t>Touche - Lancer non conforme</t>
  </si>
  <si>
    <t>Touche - Saut ou soutien premature</t>
  </si>
  <si>
    <t>Touche - Sauteur mal redescendu</t>
  </si>
  <si>
    <t>Touche - Soutient devant sauteur retombée</t>
  </si>
  <si>
    <t>Touche - Lancer dans les 5 m</t>
  </si>
  <si>
    <t>Ruck - Fausse sortie</t>
  </si>
  <si>
    <t>Perte de temps</t>
  </si>
  <si>
    <t>Jeu à la main - mauvaise remise en jeu</t>
  </si>
  <si>
    <t>Ecran</t>
  </si>
  <si>
    <t>Jeu-rapide 10m de plus</t>
  </si>
  <si>
    <t>ZONE TERRAIN</t>
  </si>
  <si>
    <t>en-but</t>
  </si>
  <si>
    <t>15m</t>
  </si>
  <si>
    <t>22m</t>
  </si>
  <si>
    <t>30m</t>
  </si>
  <si>
    <t>40m</t>
  </si>
  <si>
    <t>NOTRE CAMP</t>
  </si>
  <si>
    <t>CAMP ADVERSE</t>
  </si>
  <si>
    <t>ZONE DE JEU</t>
  </si>
  <si>
    <t>Zone de touche</t>
  </si>
  <si>
    <t>Gagnée</t>
  </si>
  <si>
    <t>Retour carton</t>
  </si>
  <si>
    <t>26-27_A4_RC Muret_Première_EXT</t>
  </si>
  <si>
    <t>Mi-temps :</t>
  </si>
  <si>
    <t>ACT_GRATTAGE_NS</t>
  </si>
  <si>
    <t>Grattage - récupération du ballon</t>
  </si>
  <si>
    <t>ACT_GRATTAGE_ADV</t>
  </si>
  <si>
    <t>Grattage - perte du ballon</t>
  </si>
  <si>
    <t>ACT_CONTRE_RUCK_NS</t>
  </si>
  <si>
    <t>Contre-ruck - récupération du ballon</t>
  </si>
  <si>
    <t>ACT_CONTRE_RUCK_ADV</t>
  </si>
  <si>
    <t>Contre-ruck - perte du ballon</t>
  </si>
  <si>
    <t>ACT_ARRACHAGE_NS</t>
  </si>
  <si>
    <t>Arrachage - récupération du ballon</t>
  </si>
  <si>
    <t>ACT_ARRACHAGE_ADV</t>
  </si>
  <si>
    <t>Arrachage - perte du ballon</t>
  </si>
  <si>
    <t>Score</t>
  </si>
  <si>
    <t>Benjamin</t>
  </si>
  <si>
    <t>SCANU</t>
  </si>
  <si>
    <t>PENALITE</t>
  </si>
  <si>
    <t>En-avant volontaire</t>
  </si>
  <si>
    <t>En-avant repris devant</t>
  </si>
  <si>
    <t>Maul - Entrer sur le côté</t>
  </si>
  <si>
    <t>Maul - Ecroulement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</si>
  <si>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</si>
  <si>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</si>
  <si>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</si>
  <si>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</si>
  <si>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</si>
  <si>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</si>
  <si>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</si>
  <si>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</si>
  <si>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Garde le ballon au sol</t>
  </si>
  <si>
    <t>Ruck - Déblayage sur le coté</t>
  </si>
  <si>
    <t>Ruck - Saisie relayeur</t>
  </si>
  <si>
    <t>Ruck - Talonnage à la main</t>
  </si>
  <si>
    <t>Ruck - Plaqueur qui ne sort pas</t>
  </si>
  <si>
    <t>Ruck - 4 appuis</t>
  </si>
  <si>
    <t>Ruck - Gratteur ne relâche pas</t>
  </si>
  <si>
    <t>Brutalité</t>
  </si>
  <si>
    <t>Plaquage - à 2</t>
  </si>
  <si>
    <t>Plaquage - haut</t>
  </si>
  <si>
    <t>Plaquage - sans ballon</t>
  </si>
  <si>
    <t>Plaquage - à retardement</t>
  </si>
  <si>
    <t>Plaquage - en l'air</t>
  </si>
  <si>
    <t>Porteur roule au sol</t>
  </si>
  <si>
    <t>10m de plus</t>
  </si>
  <si>
    <t>Adversaire  -  carton rouge  -  ?  -  00:00</t>
  </si>
  <si>
    <t>Nous  -  carton jaune  -  ABADIE Quentin  -  00:00</t>
  </si>
  <si>
    <t>E 22m</t>
  </si>
  <si>
    <t>E 15m</t>
  </si>
  <si>
    <t>E en-but</t>
  </si>
  <si>
    <t>LISTE_MOTIFS_PENALITE</t>
  </si>
  <si>
    <t>LST_SAUTEURS</t>
  </si>
  <si>
    <t>D</t>
  </si>
  <si>
    <r>
      <t>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</si>
  <si>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 xml:space="preserve">Sens de jeu de votre équipe
</t>
    </r>
    <r>
      <rPr>
        <b/>
        <sz val="22"/>
        <color theme="1"/>
        <rFont val="Arial"/>
        <family val="2"/>
      </rPr>
      <t>➡</t>
    </r>
  </si>
  <si>
    <t>REPRISE SUR TOUCHE</t>
  </si>
  <si>
    <t>Ne change pas de main
(Echap)</t>
  </si>
  <si>
    <t>Change de main
(Entree)</t>
  </si>
  <si>
    <t>La possession est actuellement sur Nous.
Quelle équipe aura la possession sur cette phase ?
Ne change pas de main : Nous     -     Change de main : l'adversaire</t>
  </si>
  <si>
    <r>
      <t xml:space="preserve">Sens de jeu de votre équipe
</t>
    </r>
    <r>
      <rPr>
        <sz val="18"/>
        <color theme="1"/>
        <rFont val="Calibri"/>
        <family val="2"/>
      </rPr>
      <t>➡</t>
    </r>
  </si>
  <si>
    <t>30:04</t>
  </si>
  <si>
    <t>L'attaque qui suit est intéressante à montrer à la vidéo pour montrer ce qu'il</t>
  </si>
  <si>
    <t>48:25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</si>
</sst>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60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rgb="FFFFFFFF"/>
      <name val="Calibri"/>
      <family val="2"/>
    </font>
    <font>
      <b/>
      <sz val="9"/>
      <color rgb="FF0070C0"/>
      <name val="Calibri"/>
      <family val="2"/>
    </font>
    <font>
      <i/>
      <sz val="9"/>
      <color theme="1"/>
      <name val="Calibri"/>
      <family val="2"/>
    </font>
    <font>
      <b/>
      <sz val="9"/>
      <color rgb="FF000000"/>
      <name val="Arial"/>
      <family val="2"/>
    </font>
    <font>
      <b/>
      <sz val="22"/>
      <color theme="1"/>
      <name val="Arial"/>
      <family val="2"/>
    </font>
    <font>
      <sz val="9"/>
      <color theme="1"/>
      <name val="Calibri"/>
      <family val="2"/>
    </font>
    <font>
      <sz val="18"/>
      <color theme="1"/>
      <name val="Calibri"/>
      <family val="2"/>
    </font>
    <font>
      <b/>
      <sz val="14"/>
      <color rgb="FF1F4E78"/>
      <name val="Arial"/>
      <family val="2"/>
    </font>
    <font>
      <sz val="11"/>
      <color theme="1"/>
      <name val="Arial"/>
      <family val="2"/>
    </font>
    <font>
      <sz val="10"/>
      <color rgb="FF000000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AEDFB"/>
        <bgColor indexed="64"/>
      </patternFill>
    </fill>
  </fills>
  <borders count="6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309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22" fillId="0" borderId="0" xfId="0" applyFont="1" applyAlignment="1">
      <alignment horizontal="center" vertical="center" wrapText="1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165" fontId="0" fillId="25" borderId="60" xfId="0" applyNumberFormat="1" applyFill="1" applyBorder="1"/>
    <xf numFmtId="165" fontId="0" fillId="17" borderId="61" xfId="0" applyNumberFormat="1" applyFill="1" applyBorder="1"/>
    <xf numFmtId="165" fontId="31" fillId="24" borderId="62" xfId="0" applyNumberFormat="1" applyFont="1" applyFill="1" applyBorder="1"/>
    <xf numFmtId="0" fontId="23" fillId="24" borderId="59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3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right" vertical="center"/>
    </xf>
    <xf numFmtId="0" fontId="52" fillId="16" borderId="0" xfId="0" applyFont="1" applyFill="1" applyAlignment="1">
      <alignment horizontal="center"/>
    </xf>
    <xf numFmtId="0" fontId="48" fillId="44" borderId="64" xfId="0" applyFont="1" applyFill="1" applyBorder="1" applyAlignment="1">
      <alignment horizontal="center" vertical="center"/>
    </xf>
    <xf numFmtId="0" fontId="48" fillId="12" borderId="64" xfId="0" applyFont="1" applyFill="1" applyBorder="1" applyAlignment="1">
      <alignment horizontal="center" vertical="center"/>
    </xf>
    <xf numFmtId="0" fontId="51" fillId="16" borderId="0" xfId="0" applyFont="1" applyFill="1" applyAlignment="1">
      <alignment horizontal="right" vertical="center"/>
    </xf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0" fillId="25" borderId="7" xfId="0" applyFill="1" applyBorder="1"/>
    <xf numFmtId="0" fontId="0" fillId="25" borderId="9" xfId="0" applyFill="1" applyBorder="1"/>
    <xf numFmtId="0" fontId="2" fillId="15" borderId="34" xfId="0" applyFont="1" applyFill="1" applyBorder="1" applyAlignment="1">
      <alignment horizontal="center" vertical="center" wrapText="1"/>
    </xf>
    <xf numFmtId="0" fontId="2" fillId="12" borderId="34" xfId="0" applyFont="1" applyFill="1" applyBorder="1" applyAlignment="1">
      <alignment horizontal="center" vertical="center" wrapText="1"/>
    </xf>
    <xf numFmtId="0" fontId="2" fillId="23" borderId="34" xfId="0" applyFont="1" applyFill="1" applyBorder="1" applyAlignment="1">
      <alignment horizontal="center" vertical="center" wrapText="1"/>
    </xf>
    <xf numFmtId="0" fontId="2" fillId="14" borderId="34" xfId="0" applyFont="1" applyFill="1" applyBorder="1" applyAlignment="1">
      <alignment horizontal="center" vertical="center" wrapText="1"/>
    </xf>
    <xf numFmtId="0" fontId="16" fillId="15" borderId="34" xfId="0" applyFont="1" applyFill="1" applyBorder="1" applyAlignment="1">
      <alignment horizontal="center" vertical="center" wrapText="1"/>
    </xf>
    <xf numFmtId="0" fontId="16" fillId="12" borderId="34" xfId="0" applyFont="1" applyFill="1" applyBorder="1" applyAlignment="1">
      <alignment horizontal="center" vertical="center" wrapText="1"/>
    </xf>
    <xf numFmtId="0" fontId="16" fillId="11" borderId="34" xfId="0" applyFont="1" applyFill="1" applyBorder="1" applyAlignment="1">
      <alignment horizontal="center" vertical="center" wrapText="1"/>
    </xf>
    <xf numFmtId="0" fontId="50" fillId="43" borderId="64" xfId="0" applyFont="1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57" fillId="16" borderId="0" xfId="0" applyFont="1" applyFill="1"/>
    <xf numFmtId="0" fontId="38" fillId="16" borderId="0" xfId="0" applyFont="1" applyFill="1"/>
    <xf numFmtId="165" fontId="0" fillId="16" borderId="0" xfId="0" applyNumberFormat="1" applyFill="1"/>
    <xf numFmtId="0" fontId="0" fillId="16" borderId="0" xfId="0" applyFill="1" applyAlignment="1">
      <alignment horizontal="center"/>
    </xf>
    <xf numFmtId="14" fontId="0" fillId="0" borderId="0" xfId="0" applyNumberFormat="1"/>
    <xf numFmtId="22" fontId="0" fillId="0" borderId="0" xfId="0" applyNumberFormat="1"/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3" fillId="13" borderId="19" xfId="0" applyFont="1" applyFill="1" applyBorder="1" applyAlignment="1">
      <alignment horizontal="center" vertical="center" wrapText="1"/>
    </xf>
    <xf numFmtId="0" fontId="3" fillId="13" borderId="44" xfId="0" applyFont="1" applyFill="1" applyBorder="1" applyAlignment="1">
      <alignment horizontal="center" vertical="center" wrapText="1"/>
    </xf>
    <xf numFmtId="0" fontId="3" fillId="13" borderId="20" xfId="0" applyFont="1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45" borderId="19" xfId="0" applyFill="1" applyBorder="1" applyAlignment="1">
      <alignment horizontal="center" vertical="center" wrapText="1"/>
    </xf>
    <xf numFmtId="0" fontId="0" fillId="45" borderId="44" xfId="0" applyFill="1" applyBorder="1" applyAlignment="1">
      <alignment horizontal="center" vertical="center" wrapText="1"/>
    </xf>
    <xf numFmtId="0" fontId="0" fillId="45" borderId="20" xfId="0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46" fillId="45" borderId="19" xfId="0" applyFont="1" applyFill="1" applyBorder="1" applyAlignment="1">
      <alignment horizontal="center" vertical="center" wrapText="1"/>
    </xf>
    <xf numFmtId="0" fontId="0" fillId="31" borderId="19" xfId="0" applyFill="1" applyBorder="1" applyAlignment="1">
      <alignment horizontal="center" vertical="center" wrapText="1"/>
    </xf>
    <xf numFmtId="0" fontId="0" fillId="31" borderId="44" xfId="0" applyFill="1" applyBorder="1" applyAlignment="1">
      <alignment horizontal="center" vertical="center" wrapText="1"/>
    </xf>
    <xf numFmtId="0" fontId="0" fillId="31" borderId="20" xfId="0" applyFill="1" applyBorder="1" applyAlignment="1">
      <alignment horizontal="center" vertical="center" wrapText="1"/>
    </xf>
    <xf numFmtId="0" fontId="0" fillId="16" borderId="19" xfId="0" applyFill="1" applyBorder="1" applyAlignment="1">
      <alignment horizontal="center" vertical="center" wrapText="1"/>
    </xf>
    <xf numFmtId="0" fontId="0" fillId="16" borderId="44" xfId="0" applyFill="1" applyBorder="1" applyAlignment="1">
      <alignment horizontal="center" vertical="center" wrapText="1"/>
    </xf>
    <xf numFmtId="0" fontId="0" fillId="16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2" fillId="15" borderId="19" xfId="0" applyFont="1" applyFill="1" applyBorder="1" applyAlignment="1">
      <alignment horizontal="center" vertical="center" wrapText="1"/>
    </xf>
    <xf numFmtId="0" fontId="2" fillId="15" borderId="44" xfId="0" applyFont="1" applyFill="1" applyBorder="1" applyAlignment="1">
      <alignment horizontal="center" vertical="center" wrapText="1"/>
    </xf>
    <xf numFmtId="0" fontId="2" fillId="15" borderId="20" xfId="0" applyFont="1" applyFill="1" applyBorder="1" applyAlignment="1">
      <alignment horizontal="center" vertical="center" wrapText="1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0" fontId="2" fillId="16" borderId="0" xfId="0" applyFont="1" applyFill="1" applyAlignment="1">
      <alignment horizontal="center" vertical="center" wrapText="1"/>
    </xf>
    <xf numFmtId="165" fontId="46" fillId="45" borderId="19" xfId="0" applyNumberFormat="1" applyFont="1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53" fillId="10" borderId="19" xfId="0" applyFont="1" applyFill="1" applyBorder="1" applyAlignment="1">
      <alignment horizontal="center" vertical="center" wrapText="1"/>
    </xf>
    <xf numFmtId="0" fontId="53" fillId="10" borderId="44" xfId="0" applyFont="1" applyFill="1" applyBorder="1" applyAlignment="1">
      <alignment horizontal="center" vertical="center" wrapText="1"/>
    </xf>
    <xf numFmtId="0" fontId="53" fillId="10" borderId="20" xfId="0" applyFont="1" applyFill="1" applyBorder="1" applyAlignment="1">
      <alignment horizontal="center" vertical="center" wrapText="1"/>
    </xf>
    <xf numFmtId="0" fontId="59" fillId="19" borderId="19" xfId="0" applyFont="1" applyFill="1" applyBorder="1" applyAlignment="1">
      <alignment horizontal="center" vertical="center"/>
    </xf>
    <xf numFmtId="0" fontId="59" fillId="19" borderId="44" xfId="0" applyFont="1" applyFill="1" applyBorder="1" applyAlignment="1">
      <alignment horizontal="center" vertical="center"/>
    </xf>
    <xf numFmtId="0" fontId="59" fillId="19" borderId="20" xfId="0" applyFont="1" applyFill="1" applyBorder="1" applyAlignment="1">
      <alignment horizontal="center" vertical="center"/>
    </xf>
    <xf numFmtId="0" fontId="0" fillId="19" borderId="19" xfId="0" applyFill="1" applyBorder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0" fontId="0" fillId="19" borderId="2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3" borderId="19" xfId="0" applyFont="1" applyFill="1" applyBorder="1" applyAlignment="1">
      <alignment horizontal="center" vertical="center"/>
    </xf>
    <xf numFmtId="0" fontId="3" fillId="13" borderId="44" xfId="0" applyFont="1" applyFill="1" applyBorder="1" applyAlignment="1">
      <alignment horizontal="center" vertical="center"/>
    </xf>
    <xf numFmtId="0" fontId="3" fillId="13" borderId="20" xfId="0" applyFont="1" applyFill="1" applyBorder="1" applyAlignment="1">
      <alignment horizontal="center" vertical="center"/>
    </xf>
    <xf numFmtId="0" fontId="29" fillId="27" borderId="7" xfId="0" applyFont="1" applyFill="1" applyBorder="1" applyAlignment="1">
      <alignment horizontal="center" vertical="center" wrapText="1"/>
    </xf>
    <xf numFmtId="0" fontId="29" fillId="27" borderId="8" xfId="0" applyFont="1" applyFill="1" applyBorder="1" applyAlignment="1">
      <alignment horizontal="center" vertical="center" wrapText="1"/>
    </xf>
    <xf numFmtId="0" fontId="29" fillId="27" borderId="9" xfId="0" applyFont="1" applyFill="1" applyBorder="1" applyAlignment="1">
      <alignment horizontal="center" vertical="center" wrapText="1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13" xfId="0" applyFont="1" applyFill="1" applyBorder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  <xf numFmtId="0" fontId="23" fillId="24" borderId="8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8" fillId="14" borderId="43" xfId="0" applyFont="1" applyFill="1" applyBorder="1" applyAlignment="1">
      <alignment horizontal="center" vertical="center"/>
    </xf>
    <xf numFmtId="0" fontId="50" fillId="43" borderId="4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42" fillId="33" borderId="0" xfId="0" applyFont="1" applyFill="1" applyAlignment="1">
      <alignment horizontal="center"/>
    </xf>
    <xf numFmtId="0" fontId="43" fillId="34" borderId="0" xfId="0" applyFont="1" applyFill="1" applyAlignment="1">
      <alignment horizontal="center" vertical="center"/>
    </xf>
    <xf numFmtId="0" fontId="55" fillId="33" borderId="43" xfId="0" applyFont="1" applyFill="1" applyBorder="1" applyAlignment="1">
      <alignment horizontal="center" vertical="center" wrapText="1"/>
    </xf>
    <xf numFmtId="0" fontId="40" fillId="16" borderId="43" xfId="0" applyFont="1" applyFill="1" applyBorder="1" applyAlignment="1">
      <alignment horizontal="left"/>
    </xf>
    <xf numFmtId="0" fontId="43" fillId="35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center"/>
    </xf>
    <xf numFmtId="0" fontId="51" fillId="16" borderId="0" xfId="0" applyFont="1" applyFill="1" applyAlignment="1">
      <alignment horizontal="center"/>
    </xf>
    <xf numFmtId="0" fontId="49" fillId="16" borderId="0" xfId="0" applyFont="1" applyFill="1" applyAlignment="1">
      <alignment horizontal="center" vertical="center" wrapText="1"/>
    </xf>
    <xf numFmtId="0" fontId="33" fillId="16" borderId="0" xfId="0" applyFont="1" applyFill="1" applyAlignment="1">
      <alignment horizontal="center" vertical="center"/>
    </xf>
    <xf numFmtId="0" fontId="50" fillId="14" borderId="43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center" vertical="center" wrapText="1"/>
    </xf>
    <xf numFmtId="0" fontId="33" fillId="41" borderId="0" xfId="0" applyFont="1" applyFill="1" applyAlignment="1">
      <alignment horizontal="center" vertical="center"/>
    </xf>
    <xf numFmtId="0" fontId="48" fillId="37" borderId="43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center" vertical="center"/>
    </xf>
    <xf numFmtId="0" fontId="58" fillId="16" borderId="0" xfId="0" applyFont="1" applyFill="1" applyAlignment="1">
      <alignment horizontal="left" vertical="center" wrapText="1"/>
    </xf>
    <xf numFmtId="0" fontId="2" fillId="33" borderId="43" xfId="0" applyFont="1" applyFill="1" applyBorder="1" applyAlignment="1">
      <alignment horizontal="center" vertical="center" wrapText="1"/>
    </xf>
    <xf numFmtId="0" fontId="3" fillId="34" borderId="0" xfId="0" applyFont="1" applyFill="1" applyAlignment="1">
      <alignment horizontal="center" vertical="center" wrapText="1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92"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numFmt numFmtId="165" formatCode="[m]:ss"/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numFmt numFmtId="165" formatCode="[m]:ss"/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fill>
        <patternFill patternType="none">
          <fgColor indexed="64"/>
          <bgColor rgb="FFFFFFFF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</dxfs>
  <tableStyles count="0" defaultTableStyle="TableStyleMedium2" defaultPivotStyle="PivotStyleLight16"/>
  <colors>
    <mruColors>
      <color rgb="FFD9EAF8"/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match'!$B$97:$B$101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match'!$C$97:$C$101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match'!$B$97:$B$101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match'!$D$97:$D$101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53</xdr:row>
      <xdr:rowOff>25399</xdr:rowOff>
    </xdr:from>
    <xdr:to>
      <xdr:col>8</xdr:col>
      <xdr:colOff>482600</xdr:colOff>
      <xdr:row>56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113</xdr:row>
      <xdr:rowOff>0</xdr:rowOff>
    </xdr:from>
    <xdr:to>
      <xdr:col>7</xdr:col>
      <xdr:colOff>647700</xdr:colOff>
      <xdr:row>136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3" totalsRowShown="0" headerRowDxfId="88" dataDxfId="87">
  <autoFilter ref="A1:F73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86"/>
    <tableColumn id="2" xr3:uid="{0C1B8A30-A3B8-DA4D-B893-C4C99FF33E90}" name="nom" dataDxfId="85"/>
    <tableColumn id="3" xr3:uid="{8AE5AF32-0026-9B41-8B0B-16B9ED0F3727}" name="prenom" dataDxfId="84"/>
    <tableColumn id="6" xr3:uid="{D5D3A7D0-7C7D-684B-8AA7-DABBCC7051CF}" name="1ère ligne" dataDxfId="83"/>
    <tableColumn id="4" xr3:uid="{4CE41A86-7158-6B42-B932-A5275F10AB48}" name="prenom NOM" dataDxfId="82">
      <calculatedColumnFormula>LstEffectif[[#This Row],[prenom]] &amp; " " &amp; LstEffectif[[#This Row],[nom]]</calculatedColumnFormula>
    </tableColumn>
    <tableColumn id="5" xr3:uid="{EB017694-E6D2-7440-91BF-61113926AB7D}" name="NOM Prénom" dataDxfId="81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80" dataDxfId="79">
  <autoFilter ref="J1:J11" xr:uid="{037D6424-D1EC-894D-B963-D36ABCA682C4}"/>
  <tableColumns count="1">
    <tableColumn id="1" xr3:uid="{63806632-B9ED-294D-800A-F2FDB2EC48D2}" name="EQUIPES_A_AFFRONTER" dataDxfId="7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77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91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90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89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insertRow="1" totalsRowShown="0" headerRowDxfId="76" dataDxfId="75">
  <autoFilter ref="A2:J3" xr:uid="{1BC259CC-2467-644D-900B-02D4F95FCC56}"/>
  <tableColumns count="10">
    <tableColumn id="1" xr3:uid="{29E94664-85C6-8341-9568-C2C37D97888A}" name="Temps video" dataDxfId="74"/>
    <tableColumn id="2" xr3:uid="{55A3C72E-11B1-DE4C-A8AA-CB6DB1EFD242}" name="Mi-temps" dataDxfId="73"/>
    <tableColumn id="3" xr3:uid="{4AE31CAA-4626-F642-B76C-C72B804D292F}" name="Lance pour" dataDxfId="72"/>
    <tableColumn id="4" xr3:uid="{1EA86226-F559-1043-9A84-6FF95B3B874A}" name="Issue" dataDxfId="71"/>
    <tableColumn id="5" xr3:uid="{2C4366BF-5214-BC47-A083-90D03DA6854F}" name="Sauteur" dataDxfId="70"/>
    <tableColumn id="6" xr3:uid="{9D288BC5-6D48-C24C-9619-DA2FF23FBD25}" name="Zone saut" dataDxfId="69"/>
    <tableColumn id="7" xr3:uid="{C5782212-F6FF-1047-ACE1-2423FE276759}" name="Ballon" dataDxfId="68"/>
    <tableColumn id="8" xr3:uid="{C5B2376F-1A1B-EE42-93FF-D1229E4F9C28}" name="Zone terrain" dataDxfId="67"/>
    <tableColumn id="9" xr3:uid="{F1D9F9BC-6535-E847-80D5-69098CD85B42}" name="Alignement" dataDxfId="66"/>
    <tableColumn id="10" xr3:uid="{40E35BB9-1748-7C41-8DA3-305B06F71737}" name="Observations" dataDxfId="65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11:J12" insertRow="1" totalsRowShown="0" headerRowDxfId="64" dataDxfId="63">
  <autoFilter ref="A11:J12" xr:uid="{A1FE138B-7A57-FD4E-B0BC-4BF4203BE379}"/>
  <tableColumns count="10">
    <tableColumn id="1" xr3:uid="{9154875D-F6A2-FD43-A363-B5D480E2C8C9}" name="Temps video" dataDxfId="62"/>
    <tableColumn id="2" xr3:uid="{B3C15621-3E96-6848-870A-E1606D2022B1}" name="Mi-temps" dataDxfId="61"/>
    <tableColumn id="3" xr3:uid="{82E522EF-5DF0-A04D-AFD6-8A58284D960F}" name="Introduction pour" dataDxfId="60"/>
    <tableColumn id="4" xr3:uid="{5779EC3B-EA51-BF4B-81EB-CFE3E9CACA34}" name="Issue" dataDxfId="59"/>
    <tableColumn id="5" xr3:uid="{FFAF75C5-1430-7640-B33A-CDF548EF256F}" name="Zone longueur" dataDxfId="58"/>
    <tableColumn id="6" xr3:uid="{18D5B587-DA93-C049-940F-FA2A855A20A5}" name="Zone largeur" dataDxfId="57"/>
    <tableColumn id="7" xr3:uid="{EFF3CB7A-10D5-9D42-B368-93E6B4853022}" name="Jeu avant" dataDxfId="56"/>
    <tableColumn id="8" xr3:uid="{D9175B18-6528-4648-B15C-FF2CC25EEBE4}" name="Jeu 3/4" dataDxfId="55"/>
    <tableColumn id="9" xr3:uid="{CAE0CE17-6518-8346-8125-3B7CA02D88C1}" name="Jeu pied" dataDxfId="54"/>
    <tableColumn id="10" xr3:uid="{9D4C3BED-381E-2945-8DDD-9AF72C0A70C5}" name="Observations" dataDxfId="53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70" totalsRowShown="0" headerRowDxfId="52" dataDxfId="50" headerRowBorderDxfId="51" tableBorderDxfId="49" totalsRowBorderDxfId="48">
  <autoFilter ref="Q1:R70" xr:uid="{6D1F5F0A-5FD5-AC4E-A195-33A78A5E0E58}"/>
  <tableColumns count="2">
    <tableColumn id="1" xr3:uid="{8A0D5429-5616-B849-BD27-167A576FE99E}" name="Nom de cellule à créer" dataDxfId="47"/>
    <tableColumn id="2" xr3:uid="{19545507-672A-9F40-8818-E4C9060AA52B}" name="Libellé" dataDxfId="4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45" headerRowBorderDxfId="44" tableBorderDxfId="43" totalsRowBorderDxfId="42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41" headerRowBorderDxfId="40" tableBorderDxfId="39" totalsRowBorderDxfId="38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37" dataDxfId="36">
  <autoFilter ref="I14:I20" xr:uid="{CC940AF9-E81A-F746-8EAD-392809C3CFBE}"/>
  <tableColumns count="1">
    <tableColumn id="1" xr3:uid="{816CA1DF-3681-2948-A622-26353E2B9A97}" name="LISTE_LECTEUR_VIDEO" dataDxfId="3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34" dataDxfId="33">
  <autoFilter ref="C1:C4" xr:uid="{61FC7709-08E5-D048-A38B-441B18CF5D35}"/>
  <tableColumns count="1">
    <tableColumn id="1" xr3:uid="{C41B523D-40DA-AF48-A2C2-015B04960B0A}" name="LIEU_MATCH" dataDxfId="3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31" dataDxfId="30">
  <autoFilter ref="C6:C10" xr:uid="{86EA01CF-5567-6445-9906-AD2B60CA0A8A}"/>
  <tableColumns count="1">
    <tableColumn id="1" xr3:uid="{B57F8324-6F25-7B40-9B20-1BFDF9708631}" name="PHASE" dataDxfId="2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28" dataDxfId="27">
  <autoFilter ref="C12:C15" xr:uid="{DAA9B017-78F0-D447-B788-CF8333AEAC38}"/>
  <tableColumns count="1">
    <tableColumn id="1" xr3:uid="{C5E86C3D-762A-054E-B864-5A67DBB9A8CA}" name="RESULTAT" dataDxfId="2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25" dataDxfId="24">
  <autoFilter ref="C17:C21" xr:uid="{F661D9E2-619C-DA44-92C5-8A09E8E281AC}"/>
  <tableColumns count="1">
    <tableColumn id="1" xr3:uid="{ADD3AF05-089E-D149-9728-7C2A6F62FA22}" name="EQUIPE_NIV" dataDxfId="2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22" dataDxfId="20" headerRowBorderDxfId="21" tableBorderDxfId="19" totalsRowBorderDxfId="18">
  <autoFilter ref="K1:K25" xr:uid="{391966D0-8F83-3948-82BB-835638F7D3FE}"/>
  <tableColumns count="1">
    <tableColumn id="1" xr3:uid="{F45BF991-6668-F741-B07C-7905B99AC752}" name="LISTE_JOUEURS_JOURNAL" dataDxfId="1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16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J27" sqref="J27"/>
    </sheetView>
    <sheetView topLeftCell="B1" workbookViewId="1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407</v>
      </c>
      <c r="E1" s="96" t="s">
        <v>72</v>
      </c>
      <c r="F1" s="96" t="s">
        <v>112</v>
      </c>
      <c r="J1" t="s">
        <v>385</v>
      </c>
    </row>
    <row r="2" spans="1:10" ht="14">
      <c r="A2">
        <v>1</v>
      </c>
      <c r="B2" s="85" t="s">
        <v>268</v>
      </c>
      <c r="C2" s="85" t="s">
        <v>269</v>
      </c>
      <c r="D2" s="85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377</v>
      </c>
    </row>
    <row r="3" spans="1:10" ht="14">
      <c r="A3">
        <v>2</v>
      </c>
      <c r="B3" s="85" t="s">
        <v>268</v>
      </c>
      <c r="C3" s="85" t="s">
        <v>270</v>
      </c>
      <c r="D3" s="85" t="s">
        <v>409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378</v>
      </c>
    </row>
    <row r="4" spans="1:10" ht="14">
      <c r="A4">
        <v>3</v>
      </c>
      <c r="B4" s="85" t="s">
        <v>268</v>
      </c>
      <c r="C4" s="85" t="s">
        <v>73</v>
      </c>
      <c r="D4" s="85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379</v>
      </c>
    </row>
    <row r="5" spans="1:10" ht="14">
      <c r="A5">
        <v>4</v>
      </c>
      <c r="B5" s="85" t="s">
        <v>271</v>
      </c>
      <c r="C5" s="85" t="s">
        <v>272</v>
      </c>
      <c r="D5" s="85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380</v>
      </c>
    </row>
    <row r="6" spans="1:10" ht="14">
      <c r="A6">
        <v>5</v>
      </c>
      <c r="B6" s="85" t="s">
        <v>273</v>
      </c>
      <c r="C6" s="85" t="s">
        <v>274</v>
      </c>
      <c r="D6" s="85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381</v>
      </c>
    </row>
    <row r="7" spans="1:10" ht="14">
      <c r="A7">
        <v>68</v>
      </c>
      <c r="B7" s="85" t="s">
        <v>273</v>
      </c>
      <c r="C7" s="85" t="s">
        <v>411</v>
      </c>
      <c r="D7" s="85" t="s">
        <v>409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573</v>
      </c>
    </row>
    <row r="8" spans="1:10" ht="14">
      <c r="A8">
        <v>6</v>
      </c>
      <c r="B8" s="85" t="s">
        <v>275</v>
      </c>
      <c r="C8" s="85" t="s">
        <v>276</v>
      </c>
      <c r="D8" s="85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382</v>
      </c>
    </row>
    <row r="9" spans="1:10" ht="14">
      <c r="A9">
        <v>7</v>
      </c>
      <c r="B9" s="85" t="s">
        <v>277</v>
      </c>
      <c r="C9" s="85" t="s">
        <v>278</v>
      </c>
      <c r="D9" s="85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383</v>
      </c>
    </row>
    <row r="10" spans="1:10" ht="14">
      <c r="A10">
        <v>8</v>
      </c>
      <c r="B10" s="85" t="s">
        <v>279</v>
      </c>
      <c r="C10" s="85" t="s">
        <v>280</v>
      </c>
      <c r="D10" s="85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384</v>
      </c>
    </row>
    <row r="11" spans="1:10" ht="14">
      <c r="A11">
        <v>9</v>
      </c>
      <c r="B11" s="85" t="s">
        <v>281</v>
      </c>
      <c r="C11" s="85" t="s">
        <v>282</v>
      </c>
      <c r="D11" s="85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386</v>
      </c>
    </row>
    <row r="12" spans="1:10" ht="14">
      <c r="A12">
        <v>10</v>
      </c>
      <c r="B12" s="85" t="s">
        <v>283</v>
      </c>
      <c r="C12" s="85" t="s">
        <v>284</v>
      </c>
      <c r="D12" s="85" t="s">
        <v>409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5" t="s">
        <v>285</v>
      </c>
      <c r="C13" s="85" t="s">
        <v>286</v>
      </c>
      <c r="D13" s="85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5" t="s">
        <v>287</v>
      </c>
      <c r="C14" s="85" t="s">
        <v>288</v>
      </c>
      <c r="D14" s="85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5" t="s">
        <v>287</v>
      </c>
      <c r="C15" s="85" t="s">
        <v>288</v>
      </c>
      <c r="D15" s="85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5" t="s">
        <v>289</v>
      </c>
      <c r="C16" s="85" t="s">
        <v>290</v>
      </c>
      <c r="D16" s="85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5" t="s">
        <v>291</v>
      </c>
      <c r="C17" s="85" t="s">
        <v>292</v>
      </c>
      <c r="D17" s="85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5" t="s">
        <v>293</v>
      </c>
      <c r="C18" s="85" t="s">
        <v>294</v>
      </c>
      <c r="D18" s="85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5" t="s">
        <v>293</v>
      </c>
      <c r="C19" s="85" t="s">
        <v>295</v>
      </c>
      <c r="D19" s="85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5" t="s">
        <v>296</v>
      </c>
      <c r="C20" s="85" t="s">
        <v>297</v>
      </c>
      <c r="D20" s="85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5" t="s">
        <v>298</v>
      </c>
      <c r="C21" s="85" t="s">
        <v>299</v>
      </c>
      <c r="D21" s="85" t="s">
        <v>409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5" t="s">
        <v>300</v>
      </c>
      <c r="C22" s="85" t="s">
        <v>299</v>
      </c>
      <c r="D22" s="85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5" t="s">
        <v>301</v>
      </c>
      <c r="C23" s="85" t="s">
        <v>302</v>
      </c>
      <c r="D23" s="85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5" t="s">
        <v>303</v>
      </c>
      <c r="C24" s="85" t="s">
        <v>304</v>
      </c>
      <c r="D24" s="85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5" t="s">
        <v>305</v>
      </c>
      <c r="C25" s="85" t="s">
        <v>306</v>
      </c>
      <c r="D25" s="85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5" t="s">
        <v>305</v>
      </c>
      <c r="C26" s="85" t="s">
        <v>307</v>
      </c>
      <c r="D26" s="85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5" t="s">
        <v>308</v>
      </c>
      <c r="C27" s="85" t="s">
        <v>309</v>
      </c>
      <c r="D27" s="85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5" t="s">
        <v>310</v>
      </c>
      <c r="C28" s="85" t="s">
        <v>299</v>
      </c>
      <c r="D28" s="85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5" t="s">
        <v>311</v>
      </c>
      <c r="C29" s="85" t="s">
        <v>312</v>
      </c>
      <c r="D29" s="85" t="s">
        <v>409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5" t="s">
        <v>313</v>
      </c>
      <c r="C30" s="85" t="s">
        <v>73</v>
      </c>
      <c r="D30" s="85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5" t="s">
        <v>314</v>
      </c>
      <c r="C31" s="85" t="s">
        <v>315</v>
      </c>
      <c r="D31" s="85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5" t="s">
        <v>316</v>
      </c>
      <c r="C32" s="85" t="s">
        <v>317</v>
      </c>
      <c r="D32" s="85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5" t="s">
        <v>318</v>
      </c>
      <c r="C33" s="85" t="s">
        <v>319</v>
      </c>
      <c r="D33" s="85" t="s">
        <v>409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5" t="s">
        <v>320</v>
      </c>
      <c r="C34" s="85" t="s">
        <v>282</v>
      </c>
      <c r="D34" s="85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5" t="s">
        <v>321</v>
      </c>
      <c r="C35" s="85" t="s">
        <v>266</v>
      </c>
      <c r="D35" s="85" t="s">
        <v>409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5" t="s">
        <v>322</v>
      </c>
      <c r="C36" s="85" t="s">
        <v>323</v>
      </c>
      <c r="D36" s="85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5" t="s">
        <v>324</v>
      </c>
      <c r="C37" s="85" t="s">
        <v>325</v>
      </c>
      <c r="D37" s="85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5" t="s">
        <v>324</v>
      </c>
      <c r="C38" s="85" t="s">
        <v>326</v>
      </c>
      <c r="D38" s="85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5" t="s">
        <v>327</v>
      </c>
      <c r="C39" s="85" t="s">
        <v>284</v>
      </c>
      <c r="D39" s="85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5" t="s">
        <v>327</v>
      </c>
      <c r="C40" s="85" t="s">
        <v>302</v>
      </c>
      <c r="D40" s="85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5" t="s">
        <v>328</v>
      </c>
      <c r="C41" s="85" t="s">
        <v>297</v>
      </c>
      <c r="D41" s="85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5" t="s">
        <v>329</v>
      </c>
      <c r="C42" s="85" t="s">
        <v>330</v>
      </c>
      <c r="D42" s="85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5" t="s">
        <v>331</v>
      </c>
      <c r="C43" s="85" t="s">
        <v>274</v>
      </c>
      <c r="D43" s="85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5" t="s">
        <v>332</v>
      </c>
      <c r="C44" s="85" t="s">
        <v>333</v>
      </c>
      <c r="D44" s="85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5" t="s">
        <v>334</v>
      </c>
      <c r="C45" s="85" t="s">
        <v>292</v>
      </c>
      <c r="D45" s="85" t="s">
        <v>409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5" t="s">
        <v>335</v>
      </c>
      <c r="C46" s="85" t="s">
        <v>336</v>
      </c>
      <c r="D46" s="85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5" t="s">
        <v>337</v>
      </c>
      <c r="C47" s="85" t="s">
        <v>338</v>
      </c>
      <c r="D47" s="85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5" t="s">
        <v>339</v>
      </c>
      <c r="C48" s="85" t="s">
        <v>340</v>
      </c>
      <c r="D48" s="85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5" t="s">
        <v>341</v>
      </c>
      <c r="C49" s="85" t="s">
        <v>342</v>
      </c>
      <c r="D49" s="85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5" t="s">
        <v>343</v>
      </c>
      <c r="C50" s="85" t="s">
        <v>344</v>
      </c>
      <c r="D50" s="85" t="s">
        <v>409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5" t="s">
        <v>343</v>
      </c>
      <c r="C51" s="85" t="s">
        <v>345</v>
      </c>
      <c r="D51" s="85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5" t="s">
        <v>346</v>
      </c>
      <c r="C52" s="85" t="s">
        <v>347</v>
      </c>
      <c r="D52" s="85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5" t="s">
        <v>348</v>
      </c>
      <c r="C53" s="85" t="s">
        <v>349</v>
      </c>
      <c r="D53" s="85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5" t="s">
        <v>350</v>
      </c>
      <c r="C54" s="85" t="s">
        <v>323</v>
      </c>
      <c r="D54" s="85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5" t="s">
        <v>351</v>
      </c>
      <c r="C55" s="85" t="s">
        <v>352</v>
      </c>
      <c r="D55" s="85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5" t="s">
        <v>353</v>
      </c>
      <c r="C56" s="85" t="s">
        <v>297</v>
      </c>
      <c r="D56" s="85" t="s">
        <v>409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5" t="s">
        <v>354</v>
      </c>
      <c r="C57" s="85" t="s">
        <v>267</v>
      </c>
      <c r="D57" s="85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5" t="s">
        <v>355</v>
      </c>
      <c r="C58" s="85" t="s">
        <v>356</v>
      </c>
      <c r="D58" s="85" t="s">
        <v>409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5" t="s">
        <v>357</v>
      </c>
      <c r="C59" s="85" t="s">
        <v>235</v>
      </c>
      <c r="D59" s="85" t="s">
        <v>409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5" t="s">
        <v>358</v>
      </c>
      <c r="C60" s="85" t="s">
        <v>359</v>
      </c>
      <c r="D60" s="85" t="s">
        <v>409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5" t="s">
        <v>360</v>
      </c>
      <c r="C61" s="85" t="s">
        <v>361</v>
      </c>
      <c r="D61" s="85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5" t="s">
        <v>362</v>
      </c>
      <c r="C62" s="85" t="s">
        <v>363</v>
      </c>
      <c r="D62" s="85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5" t="s">
        <v>362</v>
      </c>
      <c r="C63" s="85" t="s">
        <v>295</v>
      </c>
      <c r="D63" s="85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5" t="s">
        <v>364</v>
      </c>
      <c r="C64" s="85" t="s">
        <v>365</v>
      </c>
      <c r="D64" s="85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5" t="s">
        <v>366</v>
      </c>
      <c r="C65" s="85" t="s">
        <v>270</v>
      </c>
      <c r="D65" s="85" t="s">
        <v>409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5" t="s">
        <v>508</v>
      </c>
      <c r="C66" s="85" t="s">
        <v>507</v>
      </c>
      <c r="D66" s="85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5" t="s">
        <v>367</v>
      </c>
      <c r="C67" s="85" t="s">
        <v>368</v>
      </c>
      <c r="D67" s="85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5" t="s">
        <v>369</v>
      </c>
      <c r="C68" s="85" t="s">
        <v>370</v>
      </c>
      <c r="D68" s="85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5" t="s">
        <v>371</v>
      </c>
      <c r="C69" s="85" t="s">
        <v>295</v>
      </c>
      <c r="D69" s="85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5" t="s">
        <v>372</v>
      </c>
      <c r="C70" s="85" t="s">
        <v>373</v>
      </c>
      <c r="D70" s="85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5" t="s">
        <v>374</v>
      </c>
      <c r="C71" s="85" t="s">
        <v>282</v>
      </c>
      <c r="D71" s="85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5" t="s">
        <v>375</v>
      </c>
      <c r="C72" s="85" t="s">
        <v>376</v>
      </c>
      <c r="D72" s="85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 ht="14">
      <c r="A73">
        <v>72</v>
      </c>
      <c r="B73" s="85" t="s">
        <v>622</v>
      </c>
      <c r="C73" s="85" t="s">
        <v>621</v>
      </c>
      <c r="D73" s="85"/>
      <c r="E73" t="str">
        <f>LstEffectif[[#This Row],[prenom]] &amp; " " &amp; LstEffectif[[#This Row],[nom]]</f>
        <v>Benjamin SCANU</v>
      </c>
      <c r="F73" t="str">
        <f>LstEffectif[[#This Row],[nom]] &amp; " " &amp; LstEffectif[[#This Row],[prenom]]</f>
        <v>SCANU Benjamin</v>
      </c>
    </row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/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3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workbookViewId="0">
      <selection activeCell="C20" sqref="C20"/>
    </sheetView>
    <sheetView workbookViewId="1"/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5" width="10.83203125" style="3"/>
  </cols>
  <sheetData>
    <row r="1" spans="1:8" s="3" customFormat="1" ht="14" thickBot="1">
      <c r="A1" s="63"/>
      <c r="D1" s="63"/>
    </row>
    <row r="2" spans="1:8" ht="19" customHeight="1">
      <c r="B2" s="180" t="s">
        <v>200</v>
      </c>
      <c r="C2" s="180"/>
      <c r="E2" s="181" t="str">
        <f>"FEUILLE COMPO "&amp;MATCH_NOUS</f>
        <v>FEUILLE COMPO MXV</v>
      </c>
      <c r="F2" s="182"/>
      <c r="G2" s="182"/>
      <c r="H2" s="183"/>
    </row>
    <row r="3" spans="1:8" ht="19" customHeight="1">
      <c r="B3" s="180"/>
      <c r="C3" s="180"/>
      <c r="E3" s="184"/>
      <c r="F3" s="185"/>
      <c r="G3" s="185"/>
      <c r="H3" s="186"/>
    </row>
    <row r="4" spans="1:8" ht="19" customHeight="1" thickBot="1">
      <c r="B4" s="180"/>
      <c r="C4" s="180"/>
      <c r="E4" s="187"/>
      <c r="F4" s="188"/>
      <c r="G4" s="188"/>
      <c r="H4" s="189"/>
    </row>
    <row r="5" spans="1:8" s="3" customFormat="1">
      <c r="A5" s="63"/>
      <c r="D5" s="63"/>
    </row>
    <row r="6" spans="1:8">
      <c r="B6" s="42" t="s">
        <v>180</v>
      </c>
      <c r="C6" s="43" t="s">
        <v>387</v>
      </c>
      <c r="E6" t="s">
        <v>67</v>
      </c>
      <c r="F6" t="s">
        <v>68</v>
      </c>
      <c r="G6" t="s">
        <v>151</v>
      </c>
      <c r="H6" t="s">
        <v>150</v>
      </c>
    </row>
    <row r="7" spans="1:8">
      <c r="B7" s="3"/>
      <c r="C7" s="3"/>
      <c r="E7">
        <v>1</v>
      </c>
      <c r="F7" t="s">
        <v>480</v>
      </c>
      <c r="G7" t="s">
        <v>153</v>
      </c>
    </row>
    <row r="8" spans="1:8">
      <c r="B8" s="42" t="s">
        <v>208</v>
      </c>
      <c r="C8" s="43">
        <v>46313</v>
      </c>
      <c r="E8">
        <v>2</v>
      </c>
      <c r="F8" t="s">
        <v>492</v>
      </c>
      <c r="G8" t="s">
        <v>153</v>
      </c>
    </row>
    <row r="9" spans="1:8">
      <c r="B9" s="3"/>
      <c r="C9" s="3"/>
      <c r="E9">
        <v>3</v>
      </c>
      <c r="F9" t="s">
        <v>482</v>
      </c>
      <c r="G9" t="s">
        <v>153</v>
      </c>
    </row>
    <row r="10" spans="1:8">
      <c r="B10" s="42" t="s">
        <v>505</v>
      </c>
      <c r="C10" s="43" t="s">
        <v>506</v>
      </c>
      <c r="E10">
        <v>4</v>
      </c>
      <c r="F10" t="s">
        <v>509</v>
      </c>
      <c r="G10" t="s">
        <v>153</v>
      </c>
    </row>
    <row r="11" spans="1:8">
      <c r="B11" s="3"/>
      <c r="C11" s="3"/>
      <c r="E11">
        <v>5</v>
      </c>
      <c r="F11" t="s">
        <v>483</v>
      </c>
      <c r="G11" t="s">
        <v>153</v>
      </c>
    </row>
    <row r="12" spans="1:8">
      <c r="B12" s="42" t="s">
        <v>181</v>
      </c>
      <c r="C12" s="43" t="s">
        <v>380</v>
      </c>
      <c r="E12">
        <v>6</v>
      </c>
      <c r="F12" t="s">
        <v>510</v>
      </c>
      <c r="G12" t="s">
        <v>153</v>
      </c>
    </row>
    <row r="13" spans="1:8">
      <c r="B13" s="3"/>
      <c r="C13" s="3"/>
      <c r="E13">
        <v>7</v>
      </c>
      <c r="F13" t="s">
        <v>493</v>
      </c>
      <c r="G13" t="s">
        <v>153</v>
      </c>
    </row>
    <row r="14" spans="1:8">
      <c r="B14" s="42" t="s">
        <v>207</v>
      </c>
      <c r="C14" s="43" t="s">
        <v>186</v>
      </c>
      <c r="E14">
        <v>8</v>
      </c>
      <c r="F14" t="s">
        <v>484</v>
      </c>
      <c r="G14" t="s">
        <v>153</v>
      </c>
    </row>
    <row r="15" spans="1:8">
      <c r="B15" s="3"/>
      <c r="C15" s="3"/>
      <c r="E15" s="35">
        <v>9</v>
      </c>
      <c r="F15" s="35" t="s">
        <v>485</v>
      </c>
      <c r="G15" s="35" t="s">
        <v>169</v>
      </c>
      <c r="H15" s="35"/>
    </row>
    <row r="16" spans="1:8">
      <c r="B16" s="42" t="s">
        <v>182</v>
      </c>
      <c r="C16" s="43" t="s">
        <v>178</v>
      </c>
      <c r="E16">
        <v>10</v>
      </c>
      <c r="F16" t="s">
        <v>486</v>
      </c>
      <c r="G16" t="s">
        <v>169</v>
      </c>
    </row>
    <row r="17" spans="1:8">
      <c r="B17" s="3"/>
      <c r="C17" s="64"/>
      <c r="E17">
        <v>11</v>
      </c>
      <c r="F17" t="s">
        <v>487</v>
      </c>
      <c r="G17" t="s">
        <v>169</v>
      </c>
    </row>
    <row r="18" spans="1:8">
      <c r="B18" s="42" t="s">
        <v>183</v>
      </c>
      <c r="C18" s="44">
        <v>4</v>
      </c>
      <c r="E18">
        <v>12</v>
      </c>
      <c r="F18" t="s">
        <v>488</v>
      </c>
      <c r="G18" t="s">
        <v>169</v>
      </c>
    </row>
    <row r="19" spans="1:8">
      <c r="B19" s="3"/>
      <c r="C19" s="3"/>
      <c r="E19">
        <v>13</v>
      </c>
      <c r="F19" t="s">
        <v>489</v>
      </c>
      <c r="G19" t="s">
        <v>169</v>
      </c>
    </row>
    <row r="20" spans="1:8">
      <c r="B20" s="42" t="s">
        <v>184</v>
      </c>
      <c r="C20" s="43" t="s">
        <v>179</v>
      </c>
      <c r="E20">
        <v>14</v>
      </c>
      <c r="F20" t="s">
        <v>490</v>
      </c>
      <c r="G20" t="s">
        <v>169</v>
      </c>
    </row>
    <row r="21" spans="1:8">
      <c r="B21" s="3"/>
      <c r="C21" s="64"/>
      <c r="E21" s="30">
        <v>15</v>
      </c>
      <c r="F21" s="30" t="s">
        <v>491</v>
      </c>
      <c r="G21" s="30" t="s">
        <v>169</v>
      </c>
      <c r="H21" s="30"/>
    </row>
    <row r="22" spans="1:8">
      <c r="B22" s="42" t="s">
        <v>206</v>
      </c>
      <c r="C22" s="43" t="s">
        <v>202</v>
      </c>
      <c r="E22">
        <v>16</v>
      </c>
      <c r="F22" t="s">
        <v>481</v>
      </c>
      <c r="G22" t="s">
        <v>153</v>
      </c>
    </row>
    <row r="23" spans="1:8">
      <c r="B23" s="3"/>
      <c r="C23" s="3"/>
      <c r="E23">
        <v>17</v>
      </c>
      <c r="F23" t="s">
        <v>511</v>
      </c>
      <c r="G23" t="s">
        <v>153</v>
      </c>
    </row>
    <row r="24" spans="1:8">
      <c r="B24" s="3"/>
      <c r="C24" s="3"/>
      <c r="E24">
        <v>18</v>
      </c>
      <c r="F24" t="s">
        <v>512</v>
      </c>
      <c r="G24" t="s">
        <v>153</v>
      </c>
    </row>
    <row r="25" spans="1:8">
      <c r="B25" s="3"/>
      <c r="C25" s="3"/>
      <c r="E25">
        <v>19</v>
      </c>
      <c r="F25" t="s">
        <v>479</v>
      </c>
      <c r="G25" t="s">
        <v>153</v>
      </c>
    </row>
    <row r="26" spans="1:8">
      <c r="B26" s="3"/>
      <c r="C26" s="3"/>
      <c r="E26">
        <v>20</v>
      </c>
      <c r="F26" t="s">
        <v>495</v>
      </c>
      <c r="G26" t="s">
        <v>169</v>
      </c>
    </row>
    <row r="27" spans="1:8">
      <c r="B27" s="3"/>
      <c r="C27" s="3"/>
      <c r="E27">
        <v>21</v>
      </c>
      <c r="F27" t="s">
        <v>494</v>
      </c>
      <c r="G27" t="s">
        <v>169</v>
      </c>
    </row>
    <row r="28" spans="1:8">
      <c r="B28" s="3"/>
      <c r="C28" s="3"/>
      <c r="E28">
        <v>22</v>
      </c>
      <c r="F28" t="s">
        <v>513</v>
      </c>
      <c r="G28" t="s">
        <v>169</v>
      </c>
    </row>
    <row r="29" spans="1:8" s="3" customFormat="1" hidden="1">
      <c r="A29" s="63"/>
      <c r="D29" s="63"/>
    </row>
    <row r="30" spans="1:8" s="3" customFormat="1">
      <c r="A30" s="63"/>
      <c r="D30" s="63"/>
    </row>
    <row r="31" spans="1:8" s="3" customFormat="1">
      <c r="A31" s="63"/>
      <c r="D31" s="63"/>
    </row>
    <row r="32" spans="1:8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7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185</v>
      </c>
      <c r="C59" s="3" t="s">
        <v>606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zoomScale="90" zoomScaleNormal="90" workbookViewId="0"/>
    <sheetView workbookViewId="1"/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37"/>
      <c r="B1" s="193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4 : RC Muret / MXV</v>
      </c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  <c r="Z1" s="194"/>
      <c r="AA1" s="194"/>
      <c r="AB1" s="194"/>
      <c r="AC1" s="194"/>
      <c r="AD1" s="194"/>
      <c r="AE1" s="194"/>
      <c r="AF1" s="194"/>
      <c r="AG1" s="194"/>
      <c r="AH1" s="194"/>
      <c r="AI1" s="194"/>
      <c r="AJ1" s="194"/>
      <c r="AK1" s="194"/>
      <c r="AL1" s="194"/>
      <c r="AM1" s="194"/>
      <c r="AN1" s="194"/>
      <c r="AO1" s="194"/>
      <c r="AP1" s="194"/>
      <c r="AQ1" s="194"/>
      <c r="AR1" s="194"/>
      <c r="AS1" s="194"/>
      <c r="AT1" s="194"/>
      <c r="AU1" s="194"/>
      <c r="AV1" s="194"/>
      <c r="AW1" s="194"/>
      <c r="AX1" s="194"/>
      <c r="AY1" s="194"/>
      <c r="AZ1" s="137"/>
      <c r="BA1" s="137"/>
      <c r="BB1" s="137"/>
      <c r="BC1" s="137"/>
      <c r="BD1" s="137"/>
      <c r="BE1" s="137"/>
      <c r="BF1" s="137"/>
      <c r="BG1" s="137"/>
      <c r="BH1" s="137"/>
      <c r="BI1" s="137"/>
      <c r="BJ1" s="137"/>
      <c r="BK1" s="137"/>
      <c r="BL1" s="137"/>
      <c r="BM1" s="137"/>
      <c r="BN1" s="137"/>
      <c r="BO1" s="137"/>
      <c r="BP1" s="137"/>
      <c r="BQ1" s="137"/>
      <c r="BR1" s="137"/>
      <c r="BS1" s="137"/>
      <c r="BT1" s="137"/>
      <c r="BU1" s="137"/>
      <c r="BV1" s="137"/>
      <c r="BW1" s="137"/>
      <c r="BX1" s="137"/>
      <c r="BY1" s="137"/>
      <c r="BZ1" s="137"/>
      <c r="CA1" s="137"/>
      <c r="CB1" s="137"/>
      <c r="CC1" s="137"/>
      <c r="CD1" s="137"/>
      <c r="CE1" s="137"/>
      <c r="CF1" s="137"/>
      <c r="CG1" s="137"/>
      <c r="CH1" s="137"/>
      <c r="CI1" s="137"/>
      <c r="CJ1" s="137"/>
    </row>
    <row r="2" spans="1:88" ht="10" customHeight="1" thickBot="1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37"/>
      <c r="AR2" s="137"/>
      <c r="AS2" s="137"/>
      <c r="AT2" s="137"/>
      <c r="AU2" s="137"/>
      <c r="AV2" s="137"/>
      <c r="AW2" s="137"/>
      <c r="AX2" s="137"/>
      <c r="AY2" s="137"/>
      <c r="AZ2" s="137"/>
      <c r="BA2" s="137"/>
      <c r="BB2" s="137"/>
      <c r="BC2" s="137"/>
      <c r="BD2" s="137"/>
      <c r="BE2" s="137"/>
      <c r="BF2" s="137"/>
      <c r="BG2" s="137"/>
      <c r="BH2" s="137"/>
      <c r="BI2" s="137"/>
      <c r="BJ2" s="137"/>
      <c r="BK2" s="137"/>
      <c r="BL2" s="137"/>
      <c r="BM2" s="137"/>
      <c r="BN2" s="137"/>
      <c r="BO2" s="137"/>
      <c r="BP2" s="137"/>
      <c r="BQ2" s="137"/>
      <c r="BR2" s="137"/>
      <c r="BS2" s="137"/>
      <c r="BT2" s="137"/>
      <c r="BU2" s="137"/>
      <c r="BV2" s="137"/>
      <c r="BW2" s="137"/>
      <c r="BX2" s="137"/>
      <c r="BY2" s="137"/>
      <c r="BZ2" s="137"/>
      <c r="CA2" s="137"/>
      <c r="CB2" s="137"/>
      <c r="CC2" s="137"/>
      <c r="CD2" s="137"/>
      <c r="CE2" s="137"/>
      <c r="CF2" s="137"/>
      <c r="CG2" s="137"/>
      <c r="CH2" s="137"/>
      <c r="CI2" s="137"/>
      <c r="CJ2" s="137"/>
    </row>
    <row r="3" spans="1:88" ht="10" customHeight="1">
      <c r="A3" s="137"/>
      <c r="B3" s="139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  <c r="AB3" s="140"/>
      <c r="AC3" s="140"/>
      <c r="AD3" s="140"/>
      <c r="AE3" s="140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1"/>
      <c r="AZ3" s="137"/>
      <c r="BA3" s="139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1"/>
      <c r="BN3" s="137"/>
      <c r="BO3" s="137"/>
      <c r="BP3" s="137"/>
      <c r="BQ3" s="137"/>
      <c r="BR3" s="137"/>
      <c r="BS3" s="137"/>
      <c r="BT3" s="137"/>
      <c r="BU3" s="137"/>
      <c r="BV3" s="137"/>
      <c r="BW3" s="137"/>
      <c r="BX3" s="137"/>
      <c r="BY3" s="137"/>
      <c r="BZ3" s="137"/>
      <c r="CA3" s="137"/>
      <c r="CB3" s="137"/>
      <c r="CC3" s="137"/>
      <c r="CD3" s="137"/>
      <c r="CE3" s="137"/>
      <c r="CF3" s="137"/>
      <c r="CG3" s="137"/>
      <c r="CH3" s="137"/>
      <c r="CI3" s="137"/>
      <c r="CJ3" s="137"/>
    </row>
    <row r="4" spans="1:88" ht="42" customHeight="1">
      <c r="A4" s="137"/>
      <c r="B4" s="138"/>
      <c r="C4" s="225" t="s">
        <v>124</v>
      </c>
      <c r="D4" s="199"/>
      <c r="E4" s="199"/>
      <c r="F4" s="199"/>
      <c r="G4" s="199"/>
      <c r="H4" s="199"/>
      <c r="I4" s="199"/>
      <c r="J4" s="199"/>
      <c r="K4" s="137"/>
      <c r="L4" s="230" t="s">
        <v>39</v>
      </c>
      <c r="M4" s="231"/>
      <c r="N4" s="231"/>
      <c r="O4" s="231"/>
      <c r="P4" s="231"/>
      <c r="Q4" s="231"/>
      <c r="R4" s="232"/>
      <c r="S4" s="137"/>
      <c r="T4" s="230" t="s">
        <v>55</v>
      </c>
      <c r="U4" s="231"/>
      <c r="V4" s="231"/>
      <c r="W4" s="231"/>
      <c r="X4" s="231"/>
      <c r="Y4" s="231"/>
      <c r="Z4" s="232"/>
      <c r="AA4" s="137"/>
      <c r="AB4" s="225" t="s">
        <v>607</v>
      </c>
      <c r="AC4" s="199"/>
      <c r="AD4" s="199"/>
      <c r="AE4" s="199"/>
      <c r="AF4" s="199"/>
      <c r="AG4" s="199"/>
      <c r="AH4" s="199"/>
      <c r="AI4" s="137"/>
      <c r="AJ4" s="233" t="s">
        <v>43</v>
      </c>
      <c r="AK4" s="234"/>
      <c r="AL4" s="234"/>
      <c r="AM4" s="234"/>
      <c r="AN4" s="234"/>
      <c r="AO4" s="234"/>
      <c r="AP4" s="235"/>
      <c r="AQ4" s="137"/>
      <c r="AR4" s="236" t="s">
        <v>44</v>
      </c>
      <c r="AS4" s="237"/>
      <c r="AT4" s="237"/>
      <c r="AU4" s="237"/>
      <c r="AV4" s="237"/>
      <c r="AW4" s="237"/>
      <c r="AX4" s="238"/>
      <c r="AY4" s="142"/>
      <c r="AZ4" s="137"/>
      <c r="BA4" s="138"/>
      <c r="BB4" s="173" t="s">
        <v>38</v>
      </c>
      <c r="BC4" s="137"/>
      <c r="BD4" s="167" t="s">
        <v>29</v>
      </c>
      <c r="BE4" s="137"/>
      <c r="BF4" s="167" t="s">
        <v>51</v>
      </c>
      <c r="BG4" s="137"/>
      <c r="BH4" s="167" t="s">
        <v>141</v>
      </c>
      <c r="BI4" s="137"/>
      <c r="BJ4" s="167" t="s">
        <v>30</v>
      </c>
      <c r="BK4" s="137"/>
      <c r="BL4" s="167" t="s">
        <v>31</v>
      </c>
      <c r="BM4" s="142"/>
      <c r="BN4" s="137"/>
      <c r="BO4" s="222" t="s">
        <v>660</v>
      </c>
      <c r="BP4" s="223"/>
      <c r="BQ4" s="223"/>
      <c r="BR4" s="224"/>
      <c r="BS4" s="137"/>
      <c r="BT4" s="137"/>
      <c r="BU4" s="137"/>
      <c r="BV4" s="137"/>
      <c r="BW4" s="137"/>
      <c r="BX4" s="137"/>
      <c r="BY4" s="137"/>
      <c r="BZ4" s="137"/>
      <c r="CA4" s="137"/>
      <c r="CB4" s="137"/>
      <c r="CC4" s="137"/>
      <c r="CD4" s="137"/>
      <c r="CE4" s="137"/>
      <c r="CF4" s="137"/>
      <c r="CG4" s="137"/>
      <c r="CH4" s="137"/>
      <c r="CI4" s="137"/>
      <c r="CJ4" s="137"/>
    </row>
    <row r="5" spans="1:88" ht="10" customHeight="1" thickBot="1">
      <c r="A5" s="137"/>
      <c r="B5" s="143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44"/>
      <c r="AH5" s="144"/>
      <c r="AI5" s="144"/>
      <c r="AJ5" s="144"/>
      <c r="AK5" s="144"/>
      <c r="AL5" s="144"/>
      <c r="AM5" s="144"/>
      <c r="AN5" s="144"/>
      <c r="AO5" s="144"/>
      <c r="AP5" s="144"/>
      <c r="AQ5" s="144"/>
      <c r="AR5" s="144"/>
      <c r="AS5" s="144"/>
      <c r="AT5" s="144"/>
      <c r="AU5" s="144"/>
      <c r="AV5" s="144"/>
      <c r="AW5" s="144"/>
      <c r="AX5" s="144"/>
      <c r="AY5" s="145"/>
      <c r="AZ5" s="137"/>
      <c r="BA5" s="143"/>
      <c r="BB5" s="144"/>
      <c r="BC5" s="144"/>
      <c r="BD5" s="144"/>
      <c r="BE5" s="144"/>
      <c r="BF5" s="144"/>
      <c r="BG5" s="144"/>
      <c r="BH5" s="144"/>
      <c r="BI5" s="144"/>
      <c r="BJ5" s="144"/>
      <c r="BK5" s="144"/>
      <c r="BL5" s="144"/>
      <c r="BM5" s="145"/>
      <c r="BN5" s="137"/>
      <c r="BO5" s="137"/>
      <c r="BP5" s="137"/>
      <c r="BQ5" s="137"/>
      <c r="BR5" s="137"/>
      <c r="BS5" s="137"/>
      <c r="BT5" s="137"/>
      <c r="BU5" s="137"/>
      <c r="BV5" s="137"/>
      <c r="BW5" s="137"/>
      <c r="BX5" s="137"/>
      <c r="BY5" s="137"/>
      <c r="BZ5" s="137"/>
      <c r="CA5" s="137"/>
      <c r="CB5" s="137"/>
      <c r="CC5" s="137"/>
      <c r="CD5" s="137"/>
      <c r="CE5" s="137"/>
      <c r="CF5" s="137"/>
      <c r="CG5" s="137"/>
      <c r="CH5" s="137"/>
      <c r="CI5" s="137"/>
      <c r="CJ5" s="137"/>
    </row>
    <row r="6" spans="1:88" ht="10" customHeight="1" thickBot="1">
      <c r="A6" s="137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7"/>
      <c r="AS6" s="137"/>
      <c r="AT6" s="137"/>
      <c r="AU6" s="137"/>
      <c r="AV6" s="137"/>
      <c r="AW6" s="137"/>
      <c r="AX6" s="137"/>
      <c r="AY6" s="137"/>
      <c r="AZ6" s="137"/>
      <c r="BA6" s="137"/>
      <c r="BB6" s="137"/>
      <c r="BC6" s="137"/>
      <c r="BD6" s="137"/>
      <c r="BE6" s="137"/>
      <c r="BF6" s="137"/>
      <c r="BG6" s="137"/>
      <c r="BH6" s="137"/>
      <c r="BI6" s="137"/>
      <c r="BJ6" s="137"/>
      <c r="BK6" s="137"/>
      <c r="BL6" s="137"/>
      <c r="BM6" s="137"/>
      <c r="BN6" s="137"/>
      <c r="BO6" s="137"/>
      <c r="BP6" s="137"/>
      <c r="BQ6" s="137"/>
      <c r="BR6" s="137"/>
      <c r="BS6" s="137"/>
      <c r="BT6" s="137"/>
      <c r="BU6" s="137"/>
      <c r="BV6" s="137"/>
      <c r="BW6" s="137"/>
      <c r="BX6" s="137"/>
      <c r="BY6" s="137"/>
      <c r="BZ6" s="137"/>
      <c r="CA6" s="137"/>
      <c r="CB6" s="137"/>
      <c r="CC6" s="137"/>
      <c r="CD6" s="137"/>
      <c r="CE6" s="137"/>
      <c r="CF6" s="137"/>
      <c r="CG6" s="137"/>
      <c r="CH6" s="137"/>
      <c r="CI6" s="137"/>
      <c r="CJ6" s="137"/>
    </row>
    <row r="7" spans="1:88" ht="10" customHeight="1">
      <c r="A7" s="137"/>
      <c r="B7" s="139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  <c r="AQ7" s="140"/>
      <c r="AR7" s="140"/>
      <c r="AS7" s="140"/>
      <c r="AT7" s="140"/>
      <c r="AU7" s="140"/>
      <c r="AV7" s="140"/>
      <c r="AW7" s="140"/>
      <c r="AX7" s="140"/>
      <c r="AY7" s="141"/>
      <c r="AZ7" s="137"/>
      <c r="BA7" s="139"/>
      <c r="BB7" s="140"/>
      <c r="BC7" s="140"/>
      <c r="BD7" s="140"/>
      <c r="BE7" s="140"/>
      <c r="BF7" s="140"/>
      <c r="BG7" s="140"/>
      <c r="BH7" s="140"/>
      <c r="BI7" s="140"/>
      <c r="BJ7" s="140"/>
      <c r="BK7" s="140"/>
      <c r="BL7" s="140"/>
      <c r="BM7" s="141"/>
      <c r="BN7" s="137"/>
      <c r="BO7" s="213" t="s">
        <v>514</v>
      </c>
      <c r="BP7" s="214"/>
      <c r="BQ7" s="214"/>
      <c r="BR7" s="215"/>
      <c r="BS7" s="137"/>
      <c r="BT7" s="137"/>
      <c r="BU7" s="137"/>
      <c r="BV7" s="137"/>
      <c r="BW7" s="137"/>
      <c r="BX7" s="137"/>
      <c r="BY7" s="137"/>
      <c r="BZ7" s="137"/>
      <c r="CA7" s="137"/>
      <c r="CB7" s="137"/>
      <c r="CC7" s="137"/>
      <c r="CD7" s="137"/>
      <c r="CE7" s="137"/>
      <c r="CF7" s="137"/>
      <c r="CG7" s="137"/>
      <c r="CH7" s="137"/>
      <c r="CI7" s="137"/>
      <c r="CJ7" s="137"/>
    </row>
    <row r="8" spans="1:88" ht="26" customHeight="1">
      <c r="A8" s="137"/>
      <c r="B8" s="138"/>
      <c r="C8" s="239" t="s">
        <v>242</v>
      </c>
      <c r="D8" s="199"/>
      <c r="E8" s="199"/>
      <c r="F8" s="199"/>
      <c r="G8" s="199"/>
      <c r="H8" s="199"/>
      <c r="I8" s="199"/>
      <c r="J8" s="137"/>
      <c r="K8" s="240"/>
      <c r="L8" s="241"/>
      <c r="M8" s="241"/>
      <c r="N8" s="241"/>
      <c r="O8" s="241"/>
      <c r="P8" s="241"/>
      <c r="Q8" s="242"/>
      <c r="R8" s="137"/>
      <c r="S8" s="201"/>
      <c r="T8" s="202"/>
      <c r="U8" s="202"/>
      <c r="V8" s="202"/>
      <c r="W8" s="202"/>
      <c r="X8" s="202"/>
      <c r="Y8" s="203"/>
      <c r="Z8" s="137"/>
      <c r="AA8" s="204"/>
      <c r="AB8" s="205"/>
      <c r="AC8" s="205"/>
      <c r="AD8" s="205"/>
      <c r="AE8" s="205"/>
      <c r="AF8" s="205"/>
      <c r="AG8" s="206"/>
      <c r="AH8" s="137"/>
      <c r="AI8" s="207"/>
      <c r="AJ8" s="208"/>
      <c r="AK8" s="208"/>
      <c r="AL8" s="208"/>
      <c r="AM8" s="208"/>
      <c r="AN8" s="208"/>
      <c r="AO8" s="209"/>
      <c r="AP8" s="137"/>
      <c r="AQ8" s="210" t="s">
        <v>605</v>
      </c>
      <c r="AR8" s="211"/>
      <c r="AS8" s="211"/>
      <c r="AT8" s="211"/>
      <c r="AU8" s="211"/>
      <c r="AV8" s="211"/>
      <c r="AW8" s="212"/>
      <c r="AX8" s="137"/>
      <c r="AY8" s="142"/>
      <c r="AZ8" s="137"/>
      <c r="BA8" s="138"/>
      <c r="BB8" s="173" t="s">
        <v>48</v>
      </c>
      <c r="BC8" s="137"/>
      <c r="BD8" s="169" t="s">
        <v>33</v>
      </c>
      <c r="BE8" s="137"/>
      <c r="BF8" s="169" t="s">
        <v>34</v>
      </c>
      <c r="BG8" s="137"/>
      <c r="BH8" s="169" t="s">
        <v>35</v>
      </c>
      <c r="BI8" s="137"/>
      <c r="BJ8" s="165" t="s">
        <v>36</v>
      </c>
      <c r="BK8" s="137"/>
      <c r="BL8" s="171" t="s">
        <v>37</v>
      </c>
      <c r="BM8" s="142"/>
      <c r="BN8" s="137"/>
      <c r="BO8" s="216"/>
      <c r="BP8" s="217"/>
      <c r="BQ8" s="217"/>
      <c r="BR8" s="218"/>
      <c r="BS8" s="137"/>
      <c r="BT8" s="137"/>
      <c r="BU8" s="137"/>
      <c r="BV8" s="137"/>
      <c r="BW8" s="137"/>
      <c r="BX8" s="137"/>
      <c r="BY8" s="137"/>
      <c r="BZ8" s="137"/>
      <c r="CA8" s="137"/>
      <c r="CB8" s="137"/>
      <c r="CC8" s="137"/>
      <c r="CD8" s="137"/>
      <c r="CE8" s="137"/>
      <c r="CF8" s="137"/>
      <c r="CG8" s="137"/>
      <c r="CH8" s="137"/>
      <c r="CI8" s="137"/>
      <c r="CJ8" s="137"/>
    </row>
    <row r="9" spans="1:88" ht="10" customHeight="1" thickBot="1">
      <c r="A9" s="137"/>
      <c r="B9" s="143"/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AQ9" s="144"/>
      <c r="AR9" s="144"/>
      <c r="AS9" s="144"/>
      <c r="AT9" s="144"/>
      <c r="AU9" s="144"/>
      <c r="AV9" s="144"/>
      <c r="AW9" s="144"/>
      <c r="AX9" s="144"/>
      <c r="AY9" s="145"/>
      <c r="AZ9" s="137"/>
      <c r="BA9" s="143"/>
      <c r="BB9" s="144"/>
      <c r="BC9" s="144"/>
      <c r="BD9" s="144"/>
      <c r="BE9" s="144"/>
      <c r="BF9" s="144"/>
      <c r="BG9" s="144"/>
      <c r="BH9" s="144"/>
      <c r="BI9" s="144"/>
      <c r="BJ9" s="144"/>
      <c r="BK9" s="144"/>
      <c r="BL9" s="144"/>
      <c r="BM9" s="145"/>
      <c r="BN9" s="137"/>
      <c r="BO9" s="219"/>
      <c r="BP9" s="220"/>
      <c r="BQ9" s="220"/>
      <c r="BR9" s="221"/>
      <c r="BS9" s="137"/>
      <c r="BT9" s="137"/>
      <c r="BU9" s="137"/>
      <c r="BV9" s="137"/>
      <c r="BW9" s="137"/>
      <c r="BX9" s="137"/>
      <c r="BY9" s="137"/>
      <c r="BZ9" s="137"/>
      <c r="CA9" s="137"/>
      <c r="CB9" s="137"/>
      <c r="CC9" s="137"/>
      <c r="CD9" s="137"/>
      <c r="CE9" s="137"/>
      <c r="CF9" s="137"/>
      <c r="CG9" s="137"/>
      <c r="CH9" s="137"/>
      <c r="CI9" s="137"/>
      <c r="CJ9" s="137"/>
    </row>
    <row r="10" spans="1:88" ht="10" customHeight="1" thickBot="1">
      <c r="A10" s="137"/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37"/>
      <c r="T10" s="137"/>
      <c r="U10" s="137"/>
      <c r="V10" s="137"/>
      <c r="W10" s="137"/>
      <c r="X10" s="137"/>
      <c r="Y10" s="137"/>
      <c r="Z10" s="137"/>
      <c r="AA10" s="137"/>
      <c r="AB10" s="137"/>
      <c r="AC10" s="137"/>
      <c r="AD10" s="137"/>
      <c r="AE10" s="137"/>
      <c r="AF10" s="137"/>
      <c r="AG10" s="137"/>
      <c r="AH10" s="137"/>
      <c r="AI10" s="137"/>
      <c r="AJ10" s="137"/>
      <c r="AK10" s="137"/>
      <c r="AL10" s="137"/>
      <c r="AM10" s="137"/>
      <c r="AN10" s="137"/>
      <c r="AO10" s="137"/>
      <c r="AP10" s="137"/>
      <c r="AQ10" s="137"/>
      <c r="AR10" s="137"/>
      <c r="AS10" s="137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7"/>
      <c r="BE10" s="137"/>
      <c r="BF10" s="137"/>
      <c r="BG10" s="137"/>
      <c r="BH10" s="137"/>
      <c r="BI10" s="137"/>
      <c r="BJ10" s="137"/>
      <c r="BK10" s="137"/>
      <c r="BL10" s="137"/>
      <c r="BM10" s="137"/>
      <c r="BN10" s="137"/>
      <c r="BO10" s="137"/>
      <c r="BP10" s="137"/>
      <c r="BQ10" s="137"/>
      <c r="BR10" s="137"/>
      <c r="BS10" s="137"/>
      <c r="BT10" s="137"/>
      <c r="BU10" s="137"/>
      <c r="BV10" s="137"/>
      <c r="BW10" s="137"/>
      <c r="BX10" s="137"/>
      <c r="BY10" s="137"/>
      <c r="BZ10" s="137"/>
      <c r="CA10" s="137"/>
      <c r="CB10" s="137"/>
      <c r="CC10" s="137"/>
      <c r="CD10" s="137"/>
      <c r="CE10" s="137"/>
      <c r="CF10" s="137"/>
      <c r="CG10" s="137"/>
      <c r="CH10" s="137"/>
      <c r="CI10" s="137"/>
      <c r="CJ10" s="137"/>
    </row>
    <row r="11" spans="1:88" ht="10" customHeight="1">
      <c r="A11" s="137"/>
      <c r="B11" s="139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140"/>
      <c r="AA11" s="140"/>
      <c r="AB11" s="140"/>
      <c r="AC11" s="140"/>
      <c r="AD11" s="140"/>
      <c r="AE11" s="140"/>
      <c r="AF11" s="140"/>
      <c r="AG11" s="140"/>
      <c r="AH11" s="140"/>
      <c r="AI11" s="140"/>
      <c r="AJ11" s="140"/>
      <c r="AK11" s="140"/>
      <c r="AL11" s="140"/>
      <c r="AM11" s="140"/>
      <c r="AN11" s="140"/>
      <c r="AO11" s="140"/>
      <c r="AP11" s="140"/>
      <c r="AQ11" s="140"/>
      <c r="AR11" s="140"/>
      <c r="AS11" s="140"/>
      <c r="AT11" s="140"/>
      <c r="AU11" s="140"/>
      <c r="AV11" s="140"/>
      <c r="AW11" s="140"/>
      <c r="AX11" s="140"/>
      <c r="AY11" s="141"/>
      <c r="AZ11" s="137"/>
      <c r="BA11" s="139"/>
      <c r="BB11" s="140"/>
      <c r="BC11" s="140"/>
      <c r="BD11" s="140"/>
      <c r="BE11" s="140"/>
      <c r="BF11" s="140"/>
      <c r="BG11" s="140"/>
      <c r="BH11" s="140"/>
      <c r="BI11" s="140"/>
      <c r="BJ11" s="140"/>
      <c r="BK11" s="140"/>
      <c r="BL11" s="140"/>
      <c r="BM11" s="140"/>
      <c r="BN11" s="140"/>
      <c r="BO11" s="140"/>
      <c r="BP11" s="140"/>
      <c r="BQ11" s="140"/>
      <c r="BR11" s="140"/>
      <c r="BS11" s="141"/>
      <c r="BT11" s="137"/>
      <c r="BU11" s="137"/>
      <c r="BV11" s="137"/>
      <c r="BW11" s="137"/>
      <c r="BX11" s="137"/>
      <c r="BY11" s="137"/>
      <c r="BZ11" s="137"/>
      <c r="CA11" s="137"/>
      <c r="CB11" s="137"/>
      <c r="CC11" s="137"/>
      <c r="CD11" s="137"/>
      <c r="CE11" s="137"/>
      <c r="CF11" s="137"/>
      <c r="CG11" s="137"/>
      <c r="CH11" s="137"/>
      <c r="CI11" s="137"/>
      <c r="CJ11" s="137"/>
    </row>
    <row r="12" spans="1:88" ht="15" customHeight="1">
      <c r="A12" s="137"/>
      <c r="B12" s="138"/>
      <c r="C12" s="198" t="s">
        <v>18</v>
      </c>
      <c r="D12" s="199"/>
      <c r="E12" s="199"/>
      <c r="F12" s="199"/>
      <c r="G12" s="199"/>
      <c r="H12" s="199"/>
      <c r="I12" s="199"/>
      <c r="J12" s="199"/>
      <c r="K12" s="199"/>
      <c r="L12" s="199"/>
      <c r="M12" s="199"/>
      <c r="N12" s="199"/>
      <c r="O12" s="199"/>
      <c r="P12" s="199"/>
      <c r="Q12" s="199"/>
      <c r="R12" s="199"/>
      <c r="S12" s="199"/>
      <c r="T12" s="199"/>
      <c r="U12" s="199"/>
      <c r="V12" s="199"/>
      <c r="W12" s="199"/>
      <c r="X12" s="199"/>
      <c r="Y12" s="199"/>
      <c r="Z12" s="199"/>
      <c r="AA12" s="199"/>
      <c r="AB12" s="199"/>
      <c r="AC12" s="199"/>
      <c r="AD12" s="199"/>
      <c r="AE12" s="199"/>
      <c r="AF12" s="199"/>
      <c r="AG12" s="199"/>
      <c r="AH12" s="199"/>
      <c r="AI12" s="199"/>
      <c r="AJ12" s="199"/>
      <c r="AK12" s="199"/>
      <c r="AL12" s="199"/>
      <c r="AM12" s="199"/>
      <c r="AN12" s="199"/>
      <c r="AO12" s="199"/>
      <c r="AP12" s="199"/>
      <c r="AQ12" s="199"/>
      <c r="AR12" s="199"/>
      <c r="AS12" s="199"/>
      <c r="AT12" s="199"/>
      <c r="AU12" s="199"/>
      <c r="AV12" s="199"/>
      <c r="AW12" s="199"/>
      <c r="AX12" s="199"/>
      <c r="AY12" s="142"/>
      <c r="AZ12" s="137"/>
      <c r="BA12" s="138"/>
      <c r="BB12" s="198" t="s">
        <v>19</v>
      </c>
      <c r="BC12" s="199"/>
      <c r="BD12" s="199"/>
      <c r="BE12" s="199"/>
      <c r="BF12" s="199"/>
      <c r="BG12" s="199"/>
      <c r="BH12" s="199"/>
      <c r="BI12" s="199"/>
      <c r="BJ12" s="199"/>
      <c r="BK12" s="199"/>
      <c r="BL12" s="199"/>
      <c r="BM12" s="199"/>
      <c r="BN12" s="199"/>
      <c r="BO12" s="199"/>
      <c r="BP12" s="199"/>
      <c r="BQ12" s="199"/>
      <c r="BR12" s="199"/>
      <c r="BS12" s="142"/>
      <c r="BT12" s="137"/>
      <c r="BU12" s="137"/>
      <c r="BV12" s="137"/>
      <c r="BW12" s="137"/>
      <c r="BX12" s="137"/>
      <c r="BY12" s="137"/>
      <c r="BZ12" s="137"/>
      <c r="CA12" s="137"/>
      <c r="CB12" s="137"/>
      <c r="CC12" s="137"/>
      <c r="CD12" s="137"/>
      <c r="CE12" s="137"/>
      <c r="CF12" s="137"/>
      <c r="CG12" s="137"/>
      <c r="CH12" s="137"/>
      <c r="CI12" s="137"/>
      <c r="CJ12" s="137"/>
    </row>
    <row r="13" spans="1:88" ht="13" customHeight="1">
      <c r="A13" s="137"/>
      <c r="B13" s="138"/>
      <c r="C13" s="137"/>
      <c r="D13" s="137"/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37"/>
      <c r="R13" s="137"/>
      <c r="S13" s="137"/>
      <c r="T13" s="137"/>
      <c r="U13" s="137"/>
      <c r="V13" s="137"/>
      <c r="W13" s="137"/>
      <c r="X13" s="137"/>
      <c r="Y13" s="137"/>
      <c r="Z13" s="137"/>
      <c r="AA13" s="137"/>
      <c r="AB13" s="137"/>
      <c r="AC13" s="137"/>
      <c r="AD13" s="137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7"/>
      <c r="AS13" s="137"/>
      <c r="AT13" s="137"/>
      <c r="AU13" s="137"/>
      <c r="AV13" s="137"/>
      <c r="AW13" s="137"/>
      <c r="AX13" s="137"/>
      <c r="AY13" s="142"/>
      <c r="AZ13" s="137"/>
      <c r="BA13" s="138"/>
      <c r="BB13" s="137"/>
      <c r="BC13" s="137"/>
      <c r="BD13" s="137"/>
      <c r="BE13" s="137"/>
      <c r="BF13" s="137"/>
      <c r="BG13" s="137"/>
      <c r="BH13" s="137"/>
      <c r="BI13" s="137"/>
      <c r="BJ13" s="137"/>
      <c r="BK13" s="137"/>
      <c r="BL13" s="137"/>
      <c r="BM13" s="137"/>
      <c r="BN13" s="137"/>
      <c r="BO13" s="137"/>
      <c r="BP13" s="137"/>
      <c r="BQ13" s="137"/>
      <c r="BR13" s="137"/>
      <c r="BS13" s="142"/>
      <c r="BT13" s="137"/>
      <c r="BU13" s="137"/>
      <c r="BV13" s="137"/>
      <c r="BW13" s="137"/>
      <c r="BX13" s="137"/>
      <c r="BY13" s="137"/>
      <c r="BZ13" s="137"/>
      <c r="CA13" s="137"/>
      <c r="CB13" s="137"/>
      <c r="CC13" s="137"/>
      <c r="CD13" s="137"/>
      <c r="CE13" s="137"/>
      <c r="CF13" s="137"/>
      <c r="CG13" s="137"/>
      <c r="CH13" s="137"/>
      <c r="CI13" s="137"/>
      <c r="CJ13" s="137"/>
    </row>
    <row r="14" spans="1:88" ht="42" customHeight="1">
      <c r="A14" s="137"/>
      <c r="B14" s="138"/>
      <c r="C14" s="200" t="s">
        <v>659</v>
      </c>
      <c r="D14" s="196"/>
      <c r="E14" s="196"/>
      <c r="F14" s="196"/>
      <c r="G14" s="196"/>
      <c r="H14" s="196"/>
      <c r="I14" s="197"/>
      <c r="J14" s="137"/>
      <c r="K14" s="200" t="s">
        <v>540</v>
      </c>
      <c r="L14" s="196"/>
      <c r="M14" s="196"/>
      <c r="N14" s="196"/>
      <c r="O14" s="196"/>
      <c r="P14" s="196"/>
      <c r="Q14" s="197"/>
      <c r="R14" s="137"/>
      <c r="S14" s="200" t="s">
        <v>541</v>
      </c>
      <c r="T14" s="196"/>
      <c r="U14" s="196"/>
      <c r="V14" s="196"/>
      <c r="W14" s="196"/>
      <c r="X14" s="196"/>
      <c r="Y14" s="197"/>
      <c r="Z14" s="137"/>
      <c r="AA14" s="137"/>
      <c r="AB14" s="137"/>
      <c r="AC14" s="137"/>
      <c r="AD14" s="200" t="s">
        <v>547</v>
      </c>
      <c r="AE14" s="196"/>
      <c r="AF14" s="196"/>
      <c r="AG14" s="196"/>
      <c r="AH14" s="196"/>
      <c r="AI14" s="196"/>
      <c r="AJ14" s="197"/>
      <c r="AK14" s="137"/>
      <c r="AL14" s="137"/>
      <c r="AM14" s="137"/>
      <c r="AN14" s="137"/>
      <c r="AO14" s="137"/>
      <c r="AP14" s="200" t="s">
        <v>548</v>
      </c>
      <c r="AQ14" s="196"/>
      <c r="AR14" s="196"/>
      <c r="AS14" s="196"/>
      <c r="AT14" s="196"/>
      <c r="AU14" s="196"/>
      <c r="AV14" s="197"/>
      <c r="AW14" s="137"/>
      <c r="AX14" s="137"/>
      <c r="AY14" s="142"/>
      <c r="AZ14" s="137"/>
      <c r="BA14" s="138"/>
      <c r="BB14" s="173" t="s">
        <v>265</v>
      </c>
      <c r="BC14" s="137"/>
      <c r="BD14" s="166" t="s">
        <v>22</v>
      </c>
      <c r="BE14" s="137"/>
      <c r="BF14" s="166" t="s">
        <v>20</v>
      </c>
      <c r="BG14" s="137"/>
      <c r="BH14" s="166" t="s">
        <v>23</v>
      </c>
      <c r="BI14" s="137"/>
      <c r="BJ14" s="166" t="s">
        <v>24</v>
      </c>
      <c r="BK14" s="137"/>
      <c r="BL14" s="166" t="s">
        <v>21</v>
      </c>
      <c r="BM14" s="137"/>
      <c r="BN14" s="173" t="s">
        <v>222</v>
      </c>
      <c r="BO14" s="137"/>
      <c r="BP14" s="170" t="s">
        <v>25</v>
      </c>
      <c r="BQ14" s="137"/>
      <c r="BR14" s="170" t="s">
        <v>26</v>
      </c>
      <c r="BS14" s="142"/>
      <c r="BT14" s="137"/>
      <c r="BU14" s="137"/>
      <c r="BV14" s="137"/>
      <c r="BW14" s="137"/>
      <c r="BX14" s="137"/>
      <c r="BY14" s="137"/>
      <c r="BZ14" s="137"/>
      <c r="CA14" s="137"/>
      <c r="CB14" s="137"/>
      <c r="CC14" s="137"/>
      <c r="CD14" s="137"/>
      <c r="CE14" s="137"/>
      <c r="CF14" s="137"/>
      <c r="CG14" s="137"/>
      <c r="CH14" s="137"/>
      <c r="CI14" s="137"/>
      <c r="CJ14" s="137"/>
    </row>
    <row r="15" spans="1:88" ht="10" customHeight="1">
      <c r="A15" s="137"/>
      <c r="B15" s="138"/>
      <c r="C15" s="137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137"/>
      <c r="U15" s="137"/>
      <c r="V15" s="137"/>
      <c r="W15" s="137"/>
      <c r="X15" s="137"/>
      <c r="Y15" s="137"/>
      <c r="Z15" s="137"/>
      <c r="AA15" s="137"/>
      <c r="AB15" s="137"/>
      <c r="AC15" s="137"/>
      <c r="AD15" s="137"/>
      <c r="AE15" s="137"/>
      <c r="AF15" s="137"/>
      <c r="AG15" s="137"/>
      <c r="AH15" s="137"/>
      <c r="AI15" s="137"/>
      <c r="AJ15" s="137"/>
      <c r="AK15" s="137"/>
      <c r="AL15" s="137"/>
      <c r="AM15" s="137"/>
      <c r="AN15" s="137"/>
      <c r="AO15" s="137"/>
      <c r="AP15" s="137"/>
      <c r="AQ15" s="137"/>
      <c r="AR15" s="137"/>
      <c r="AS15" s="137"/>
      <c r="AT15" s="137"/>
      <c r="AU15" s="137"/>
      <c r="AV15" s="137"/>
      <c r="AW15" s="137"/>
      <c r="AX15" s="137"/>
      <c r="AY15" s="142"/>
      <c r="AZ15" s="137"/>
      <c r="BA15" s="138"/>
      <c r="BB15" s="137"/>
      <c r="BC15" s="137"/>
      <c r="BD15" s="137"/>
      <c r="BE15" s="137"/>
      <c r="BF15" s="137"/>
      <c r="BG15" s="137"/>
      <c r="BH15" s="137"/>
      <c r="BI15" s="137"/>
      <c r="BJ15" s="137"/>
      <c r="BK15" s="137"/>
      <c r="BL15" s="137"/>
      <c r="BM15" s="137"/>
      <c r="BN15" s="137"/>
      <c r="BO15" s="137"/>
      <c r="BP15" s="137"/>
      <c r="BQ15" s="137"/>
      <c r="BR15" s="137"/>
      <c r="BS15" s="142"/>
      <c r="BT15" s="137"/>
      <c r="BU15" s="137"/>
      <c r="BV15" s="137"/>
      <c r="BW15" s="137"/>
      <c r="BX15" s="137"/>
      <c r="BY15" s="137"/>
      <c r="BZ15" s="137"/>
      <c r="CA15" s="137"/>
      <c r="CB15" s="137"/>
      <c r="CC15" s="137"/>
      <c r="CD15" s="137"/>
      <c r="CE15" s="137"/>
      <c r="CF15" s="137"/>
      <c r="CG15" s="137"/>
      <c r="CH15" s="137"/>
      <c r="CI15" s="137"/>
      <c r="CJ15" s="137"/>
    </row>
    <row r="16" spans="1:88" ht="42" customHeight="1">
      <c r="A16" s="137"/>
      <c r="B16" s="138"/>
      <c r="C16" s="137"/>
      <c r="D16" s="137"/>
      <c r="E16" s="137"/>
      <c r="F16" s="137"/>
      <c r="G16" s="200" t="s">
        <v>542</v>
      </c>
      <c r="H16" s="196"/>
      <c r="I16" s="196"/>
      <c r="J16" s="196"/>
      <c r="K16" s="196"/>
      <c r="L16" s="196"/>
      <c r="M16" s="197"/>
      <c r="N16" s="137"/>
      <c r="O16" s="200" t="s">
        <v>543</v>
      </c>
      <c r="P16" s="196"/>
      <c r="Q16" s="196"/>
      <c r="R16" s="196"/>
      <c r="S16" s="196"/>
      <c r="T16" s="196"/>
      <c r="U16" s="197"/>
      <c r="V16" s="137"/>
      <c r="W16" s="137"/>
      <c r="X16" s="137"/>
      <c r="Y16" s="137"/>
      <c r="Z16" s="137"/>
      <c r="AA16" s="137"/>
      <c r="AB16" s="137"/>
      <c r="AC16" s="137"/>
      <c r="AD16" s="137"/>
      <c r="AE16" s="137"/>
      <c r="AF16" s="200" t="s">
        <v>550</v>
      </c>
      <c r="AG16" s="196"/>
      <c r="AH16" s="196"/>
      <c r="AI16" s="196"/>
      <c r="AJ16" s="196"/>
      <c r="AK16" s="196"/>
      <c r="AL16" s="197"/>
      <c r="AM16" s="137"/>
      <c r="AN16" s="200" t="s">
        <v>551</v>
      </c>
      <c r="AO16" s="196"/>
      <c r="AP16" s="196"/>
      <c r="AQ16" s="196"/>
      <c r="AR16" s="196"/>
      <c r="AS16" s="196"/>
      <c r="AT16" s="197"/>
      <c r="AU16" s="137"/>
      <c r="AV16" s="137"/>
      <c r="AW16" s="137"/>
      <c r="AX16" s="137"/>
      <c r="AY16" s="142"/>
      <c r="AZ16" s="137"/>
      <c r="BA16" s="138"/>
      <c r="BB16" s="173" t="s">
        <v>221</v>
      </c>
      <c r="BC16" s="137"/>
      <c r="BD16" s="170" t="s">
        <v>25</v>
      </c>
      <c r="BE16" s="137"/>
      <c r="BF16" s="170" t="s">
        <v>26</v>
      </c>
      <c r="BG16" s="137"/>
      <c r="BH16" s="166" t="s">
        <v>45</v>
      </c>
      <c r="BI16" s="137"/>
      <c r="BJ16" s="137"/>
      <c r="BK16" s="137"/>
      <c r="BL16" s="173" t="s">
        <v>402</v>
      </c>
      <c r="BM16" s="137"/>
      <c r="BN16" s="167" t="s">
        <v>243</v>
      </c>
      <c r="BO16" s="137"/>
      <c r="BP16" s="167" t="s">
        <v>400</v>
      </c>
      <c r="BQ16" s="137"/>
      <c r="BR16" s="167" t="s">
        <v>401</v>
      </c>
      <c r="BS16" s="142"/>
      <c r="BT16" s="137"/>
      <c r="BU16" s="137"/>
      <c r="BV16" s="137"/>
      <c r="BW16" s="137"/>
      <c r="BX16" s="137"/>
      <c r="BY16" s="137"/>
      <c r="BZ16" s="137"/>
      <c r="CA16" s="137"/>
      <c r="CB16" s="137"/>
      <c r="CC16" s="137"/>
      <c r="CD16" s="137"/>
      <c r="CE16" s="137"/>
      <c r="CF16" s="137"/>
      <c r="CG16" s="137"/>
      <c r="CH16" s="137"/>
      <c r="CI16" s="137"/>
      <c r="CJ16" s="137"/>
    </row>
    <row r="17" spans="1:88" ht="10" customHeight="1">
      <c r="A17" s="137"/>
      <c r="B17" s="138"/>
      <c r="C17" s="137"/>
      <c r="D17" s="137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  <c r="S17" s="137"/>
      <c r="T17" s="137"/>
      <c r="U17" s="137"/>
      <c r="V17" s="137"/>
      <c r="W17" s="137"/>
      <c r="X17" s="137"/>
      <c r="Y17" s="137"/>
      <c r="Z17" s="137"/>
      <c r="AA17" s="137"/>
      <c r="AB17" s="137"/>
      <c r="AC17" s="137"/>
      <c r="AD17" s="137"/>
      <c r="AE17" s="137"/>
      <c r="AF17" s="137"/>
      <c r="AG17" s="137"/>
      <c r="AH17" s="137"/>
      <c r="AI17" s="137"/>
      <c r="AJ17" s="137"/>
      <c r="AK17" s="137"/>
      <c r="AL17" s="137"/>
      <c r="AM17" s="137"/>
      <c r="AN17" s="137"/>
      <c r="AO17" s="137"/>
      <c r="AP17" s="137"/>
      <c r="AQ17" s="137"/>
      <c r="AR17" s="137"/>
      <c r="AS17" s="137"/>
      <c r="AT17" s="137"/>
      <c r="AU17" s="137"/>
      <c r="AV17" s="137"/>
      <c r="AW17" s="137"/>
      <c r="AX17" s="137"/>
      <c r="AY17" s="142"/>
      <c r="AZ17" s="137"/>
      <c r="BA17" s="138"/>
      <c r="BB17" s="137"/>
      <c r="BC17" s="137"/>
      <c r="BD17" s="137"/>
      <c r="BE17" s="137"/>
      <c r="BF17" s="137"/>
      <c r="BG17" s="137"/>
      <c r="BH17" s="137"/>
      <c r="BI17" s="137"/>
      <c r="BJ17" s="137"/>
      <c r="BK17" s="137"/>
      <c r="BL17" s="137"/>
      <c r="BM17" s="137"/>
      <c r="BN17" s="137"/>
      <c r="BO17" s="137"/>
      <c r="BP17" s="137"/>
      <c r="BQ17" s="137"/>
      <c r="BR17" s="137"/>
      <c r="BS17" s="142"/>
      <c r="BT17" s="137"/>
      <c r="BU17" s="137"/>
      <c r="BV17" s="137"/>
      <c r="BW17" s="137"/>
      <c r="BX17" s="137"/>
      <c r="BY17" s="137"/>
      <c r="BZ17" s="137"/>
      <c r="CA17" s="137"/>
      <c r="CB17" s="137"/>
      <c r="CC17" s="137"/>
      <c r="CD17" s="137"/>
      <c r="CE17" s="137"/>
      <c r="CF17" s="137"/>
      <c r="CG17" s="137"/>
      <c r="CH17" s="137"/>
      <c r="CI17" s="137"/>
      <c r="CJ17" s="137"/>
    </row>
    <row r="18" spans="1:88" ht="42" customHeight="1">
      <c r="A18" s="137"/>
      <c r="B18" s="138"/>
      <c r="C18" s="200" t="s">
        <v>544</v>
      </c>
      <c r="D18" s="196"/>
      <c r="E18" s="196"/>
      <c r="F18" s="196"/>
      <c r="G18" s="196"/>
      <c r="H18" s="196"/>
      <c r="I18" s="197"/>
      <c r="J18" s="137"/>
      <c r="K18" s="200" t="s">
        <v>546</v>
      </c>
      <c r="L18" s="196"/>
      <c r="M18" s="196"/>
      <c r="N18" s="196"/>
      <c r="O18" s="196"/>
      <c r="P18" s="196"/>
      <c r="Q18" s="197"/>
      <c r="R18" s="137"/>
      <c r="S18" s="200" t="s">
        <v>545</v>
      </c>
      <c r="T18" s="196"/>
      <c r="U18" s="196"/>
      <c r="V18" s="196"/>
      <c r="W18" s="196"/>
      <c r="X18" s="196"/>
      <c r="Y18" s="197"/>
      <c r="Z18" s="137"/>
      <c r="AA18" s="137"/>
      <c r="AB18" s="200" t="s">
        <v>549</v>
      </c>
      <c r="AC18" s="196"/>
      <c r="AD18" s="196"/>
      <c r="AE18" s="196"/>
      <c r="AF18" s="196"/>
      <c r="AG18" s="196"/>
      <c r="AH18" s="197"/>
      <c r="AI18" s="137"/>
      <c r="AJ18" s="200" t="s">
        <v>553</v>
      </c>
      <c r="AK18" s="196"/>
      <c r="AL18" s="196"/>
      <c r="AM18" s="196"/>
      <c r="AN18" s="196"/>
      <c r="AO18" s="196"/>
      <c r="AP18" s="197"/>
      <c r="AQ18" s="137"/>
      <c r="AR18" s="200" t="s">
        <v>552</v>
      </c>
      <c r="AS18" s="196"/>
      <c r="AT18" s="196"/>
      <c r="AU18" s="196"/>
      <c r="AV18" s="196"/>
      <c r="AW18" s="196"/>
      <c r="AX18" s="197"/>
      <c r="AY18" s="142"/>
      <c r="AZ18" s="137"/>
      <c r="BA18" s="138"/>
      <c r="BB18" s="173" t="s">
        <v>125</v>
      </c>
      <c r="BC18" s="137"/>
      <c r="BD18" s="170" t="s">
        <v>126</v>
      </c>
      <c r="BE18" s="137"/>
      <c r="BF18" s="170" t="s">
        <v>127</v>
      </c>
      <c r="BG18" s="137"/>
      <c r="BH18" s="170" t="s">
        <v>128</v>
      </c>
      <c r="BI18" s="137"/>
      <c r="BJ18" s="170" t="s">
        <v>129</v>
      </c>
      <c r="BK18" s="137"/>
      <c r="BL18" s="166" t="s">
        <v>10</v>
      </c>
      <c r="BM18" s="137"/>
      <c r="BN18" s="166" t="s">
        <v>27</v>
      </c>
      <c r="BO18" s="137"/>
      <c r="BP18" s="166" t="s">
        <v>218</v>
      </c>
      <c r="BQ18" s="137"/>
      <c r="BR18" s="166" t="s">
        <v>395</v>
      </c>
      <c r="BS18" s="142"/>
      <c r="BT18" s="137"/>
      <c r="BU18" s="137"/>
      <c r="BV18" s="137"/>
      <c r="BW18" s="137"/>
      <c r="BX18" s="137"/>
      <c r="BY18" s="137"/>
      <c r="BZ18" s="137"/>
      <c r="CA18" s="137"/>
      <c r="CB18" s="137"/>
      <c r="CC18" s="137"/>
      <c r="CD18" s="137"/>
      <c r="CE18" s="137"/>
      <c r="CF18" s="137"/>
      <c r="CG18" s="137"/>
      <c r="CH18" s="137"/>
      <c r="CI18" s="137"/>
      <c r="CJ18" s="137"/>
    </row>
    <row r="19" spans="1:88" s="3" customFormat="1" ht="10" customHeight="1">
      <c r="A19" s="137"/>
      <c r="B19" s="138"/>
      <c r="C19" s="137"/>
      <c r="D19" s="137"/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37"/>
      <c r="Q19" s="137"/>
      <c r="R19" s="137"/>
      <c r="S19" s="137"/>
      <c r="T19" s="137"/>
      <c r="U19" s="137"/>
      <c r="V19" s="137"/>
      <c r="W19" s="137"/>
      <c r="X19" s="137"/>
      <c r="Y19" s="137"/>
      <c r="Z19" s="137"/>
      <c r="AA19" s="137"/>
      <c r="AB19" s="137"/>
      <c r="AC19" s="137"/>
      <c r="AD19" s="137"/>
      <c r="AE19" s="137"/>
      <c r="AF19" s="137"/>
      <c r="AG19" s="137"/>
      <c r="AH19" s="137"/>
      <c r="AI19" s="137"/>
      <c r="AJ19" s="137"/>
      <c r="AK19" s="137"/>
      <c r="AL19" s="137"/>
      <c r="AM19" s="137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  <c r="AY19" s="142"/>
      <c r="AZ19" s="137"/>
      <c r="BA19" s="138"/>
      <c r="BB19" s="137"/>
      <c r="BC19" s="137"/>
      <c r="BD19" s="137"/>
      <c r="BE19" s="137"/>
      <c r="BF19" s="137"/>
      <c r="BG19" s="137"/>
      <c r="BH19" s="137"/>
      <c r="BI19" s="137"/>
      <c r="BJ19" s="137"/>
      <c r="BK19" s="137"/>
      <c r="BL19" s="137"/>
      <c r="BM19" s="137"/>
      <c r="BN19" s="137"/>
      <c r="BO19" s="137"/>
      <c r="BP19" s="137"/>
      <c r="BQ19" s="137"/>
      <c r="BR19" s="137"/>
      <c r="BS19" s="142"/>
      <c r="BT19" s="137"/>
      <c r="BU19" s="137"/>
      <c r="BV19" s="137"/>
      <c r="BW19" s="137"/>
      <c r="BX19" s="137"/>
      <c r="BY19" s="137"/>
      <c r="BZ19" s="137"/>
      <c r="CA19" s="137"/>
      <c r="CB19" s="137"/>
      <c r="CC19" s="137"/>
      <c r="CD19" s="137"/>
      <c r="CE19" s="137"/>
      <c r="CF19" s="137"/>
      <c r="CG19" s="137"/>
      <c r="CH19" s="137"/>
      <c r="CI19" s="137"/>
      <c r="CJ19" s="137"/>
    </row>
    <row r="20" spans="1:88" ht="42" customHeight="1">
      <c r="A20" s="137"/>
      <c r="B20" s="138"/>
      <c r="C20" s="137"/>
      <c r="D20" s="137"/>
      <c r="E20" s="137"/>
      <c r="F20" s="137"/>
      <c r="G20" s="137"/>
      <c r="H20" s="137"/>
      <c r="I20" s="137"/>
      <c r="J20" s="137"/>
      <c r="K20" s="195" t="s">
        <v>42</v>
      </c>
      <c r="L20" s="196"/>
      <c r="M20" s="196"/>
      <c r="N20" s="196"/>
      <c r="O20" s="196"/>
      <c r="P20" s="196"/>
      <c r="Q20" s="197"/>
      <c r="R20" s="137"/>
      <c r="S20" s="195" t="s">
        <v>153</v>
      </c>
      <c r="T20" s="196"/>
      <c r="U20" s="196"/>
      <c r="V20" s="196"/>
      <c r="W20" s="196"/>
      <c r="X20" s="196"/>
      <c r="Y20" s="197"/>
      <c r="Z20" s="137"/>
      <c r="AA20" s="137"/>
      <c r="AB20" s="195" t="s">
        <v>169</v>
      </c>
      <c r="AC20" s="196"/>
      <c r="AD20" s="196"/>
      <c r="AE20" s="196"/>
      <c r="AF20" s="196"/>
      <c r="AG20" s="196"/>
      <c r="AH20" s="197"/>
      <c r="AI20" s="137"/>
      <c r="AJ20" s="195" t="s">
        <v>32</v>
      </c>
      <c r="AK20" s="196"/>
      <c r="AL20" s="196"/>
      <c r="AM20" s="196"/>
      <c r="AN20" s="196"/>
      <c r="AO20" s="196"/>
      <c r="AP20" s="197"/>
      <c r="AQ20" s="137"/>
      <c r="AR20" s="137"/>
      <c r="AS20" s="137"/>
      <c r="AT20" s="137"/>
      <c r="AU20" s="137"/>
      <c r="AV20" s="137"/>
      <c r="AW20" s="137"/>
      <c r="AX20" s="137"/>
      <c r="AY20" s="142"/>
      <c r="AZ20" s="137"/>
      <c r="BA20" s="138"/>
      <c r="BB20" s="173" t="s">
        <v>65</v>
      </c>
      <c r="BC20" s="137"/>
      <c r="BD20" s="168" t="s">
        <v>157</v>
      </c>
      <c r="BE20" s="137"/>
      <c r="BF20" s="168" t="s">
        <v>158</v>
      </c>
      <c r="BG20" s="137"/>
      <c r="BH20" s="137"/>
      <c r="BI20" s="137"/>
      <c r="BJ20" s="173" t="s">
        <v>504</v>
      </c>
      <c r="BK20" s="137"/>
      <c r="BL20" s="168" t="s">
        <v>157</v>
      </c>
      <c r="BM20" s="137"/>
      <c r="BN20" s="168" t="s">
        <v>158</v>
      </c>
      <c r="BO20" s="137"/>
      <c r="BP20" s="137"/>
      <c r="BQ20" s="137"/>
      <c r="BR20" s="137"/>
      <c r="BS20" s="142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</row>
    <row r="21" spans="1:88" ht="10" customHeight="1" thickBot="1">
      <c r="A21" s="137"/>
      <c r="B21" s="143"/>
      <c r="C21" s="144"/>
      <c r="D21" s="144"/>
      <c r="E21" s="144"/>
      <c r="F21" s="144"/>
      <c r="G21" s="144"/>
      <c r="H21" s="144"/>
      <c r="I21" s="144"/>
      <c r="J21" s="144"/>
      <c r="K21" s="144"/>
      <c r="L21" s="144"/>
      <c r="M21" s="144"/>
      <c r="N21" s="144"/>
      <c r="O21" s="144"/>
      <c r="P21" s="144"/>
      <c r="Q21" s="144"/>
      <c r="R21" s="144"/>
      <c r="S21" s="144"/>
      <c r="T21" s="144"/>
      <c r="U21" s="144"/>
      <c r="V21" s="144"/>
      <c r="W21" s="144"/>
      <c r="X21" s="144"/>
      <c r="Y21" s="144"/>
      <c r="Z21" s="144"/>
      <c r="AA21" s="144"/>
      <c r="AB21" s="144"/>
      <c r="AC21" s="144"/>
      <c r="AD21" s="144"/>
      <c r="AE21" s="144"/>
      <c r="AF21" s="144"/>
      <c r="AG21" s="144"/>
      <c r="AH21" s="144"/>
      <c r="AI21" s="144"/>
      <c r="AJ21" s="144"/>
      <c r="AK21" s="144"/>
      <c r="AL21" s="144"/>
      <c r="AM21" s="144"/>
      <c r="AN21" s="144"/>
      <c r="AO21" s="144"/>
      <c r="AP21" s="144"/>
      <c r="AQ21" s="144"/>
      <c r="AR21" s="144"/>
      <c r="AS21" s="144"/>
      <c r="AT21" s="144"/>
      <c r="AU21" s="144"/>
      <c r="AV21" s="144"/>
      <c r="AW21" s="144"/>
      <c r="AX21" s="144"/>
      <c r="AY21" s="145"/>
      <c r="AZ21" s="137"/>
      <c r="BA21" s="143"/>
      <c r="BB21" s="144"/>
      <c r="BC21" s="144"/>
      <c r="BD21" s="144"/>
      <c r="BE21" s="144"/>
      <c r="BF21" s="144"/>
      <c r="BG21" s="144"/>
      <c r="BH21" s="144"/>
      <c r="BI21" s="144"/>
      <c r="BJ21" s="144"/>
      <c r="BK21" s="144"/>
      <c r="BL21" s="144"/>
      <c r="BM21" s="144"/>
      <c r="BN21" s="144"/>
      <c r="BO21" s="144"/>
      <c r="BP21" s="144"/>
      <c r="BQ21" s="144"/>
      <c r="BR21" s="144"/>
      <c r="BS21" s="145"/>
      <c r="BT21" s="137"/>
      <c r="BU21" s="137"/>
      <c r="BV21" s="137"/>
      <c r="BW21" s="137"/>
      <c r="BX21" s="137"/>
      <c r="BY21" s="137"/>
      <c r="BZ21" s="137"/>
      <c r="CA21" s="137"/>
      <c r="CB21" s="137"/>
      <c r="CC21" s="137"/>
      <c r="CD21" s="137"/>
      <c r="CE21" s="137"/>
      <c r="CF21" s="137"/>
      <c r="CG21" s="137"/>
      <c r="CH21" s="137"/>
      <c r="CI21" s="137"/>
      <c r="CJ21" s="137"/>
    </row>
    <row r="22" spans="1:88" ht="10" customHeight="1" thickBot="1">
      <c r="A22" s="137"/>
      <c r="B22" s="137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37"/>
      <c r="S22" s="137"/>
      <c r="T22" s="137"/>
      <c r="U22" s="137"/>
      <c r="V22" s="137"/>
      <c r="W22" s="137"/>
      <c r="X22" s="137"/>
      <c r="Y22" s="137"/>
      <c r="Z22" s="137"/>
      <c r="AA22" s="137"/>
      <c r="AB22" s="137"/>
      <c r="AC22" s="137"/>
      <c r="AD22" s="137"/>
      <c r="AE22" s="137"/>
      <c r="AF22" s="137"/>
      <c r="AG22" s="137"/>
      <c r="AH22" s="137"/>
      <c r="AI22" s="137"/>
      <c r="AJ22" s="137"/>
      <c r="AK22" s="137"/>
      <c r="AL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37"/>
      <c r="BP22" s="137"/>
      <c r="BQ22" s="137"/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137"/>
      <c r="CD22" s="137"/>
      <c r="CE22" s="137"/>
      <c r="CF22" s="137"/>
      <c r="CG22" s="137"/>
      <c r="CH22" s="137"/>
      <c r="CI22" s="137"/>
      <c r="CJ22" s="137"/>
    </row>
    <row r="23" spans="1:88" ht="10" customHeight="1">
      <c r="A23" s="137"/>
      <c r="B23" s="139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  <c r="AC23" s="140"/>
      <c r="AD23" s="140"/>
      <c r="AE23" s="140"/>
      <c r="AF23" s="140"/>
      <c r="AG23" s="140"/>
      <c r="AH23" s="140"/>
      <c r="AI23" s="140"/>
      <c r="AJ23" s="140"/>
      <c r="AK23" s="140"/>
      <c r="AL23" s="140"/>
      <c r="AM23" s="140"/>
      <c r="AN23" s="140"/>
      <c r="AO23" s="140"/>
      <c r="AP23" s="140"/>
      <c r="AQ23" s="140"/>
      <c r="AR23" s="140"/>
      <c r="AS23" s="140"/>
      <c r="AT23" s="140"/>
      <c r="AU23" s="140"/>
      <c r="AV23" s="140"/>
      <c r="AW23" s="140"/>
      <c r="AX23" s="140"/>
      <c r="AY23" s="141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137"/>
      <c r="CD23" s="137"/>
      <c r="CE23" s="137"/>
      <c r="CF23" s="137"/>
      <c r="CG23" s="137"/>
      <c r="CH23" s="137"/>
      <c r="CI23" s="137"/>
      <c r="CJ23" s="137"/>
    </row>
    <row r="24" spans="1:88" ht="15" customHeight="1">
      <c r="A24" s="137"/>
      <c r="B24" s="138"/>
      <c r="C24" s="198" t="s">
        <v>40</v>
      </c>
      <c r="D24" s="199"/>
      <c r="E24" s="199"/>
      <c r="F24" s="199"/>
      <c r="G24" s="199"/>
      <c r="H24" s="199"/>
      <c r="I24" s="199"/>
      <c r="J24" s="199"/>
      <c r="K24" s="199"/>
      <c r="L24" s="199"/>
      <c r="M24" s="199"/>
      <c r="N24" s="199"/>
      <c r="O24" s="199"/>
      <c r="P24" s="199"/>
      <c r="Q24" s="199"/>
      <c r="R24" s="199"/>
      <c r="S24" s="199"/>
      <c r="T24" s="199"/>
      <c r="U24" s="199"/>
      <c r="V24" s="199"/>
      <c r="W24" s="199"/>
      <c r="X24" s="199"/>
      <c r="Y24" s="199"/>
      <c r="Z24" s="199"/>
      <c r="AA24" s="199"/>
      <c r="AB24" s="199"/>
      <c r="AC24" s="199"/>
      <c r="AD24" s="199"/>
      <c r="AE24" s="199"/>
      <c r="AF24" s="199"/>
      <c r="AG24" s="199"/>
      <c r="AH24" s="199"/>
      <c r="AI24" s="199"/>
      <c r="AJ24" s="199"/>
      <c r="AK24" s="199"/>
      <c r="AL24" s="199"/>
      <c r="AM24" s="199"/>
      <c r="AN24" s="199"/>
      <c r="AO24" s="199"/>
      <c r="AP24" s="199"/>
      <c r="AQ24" s="199"/>
      <c r="AR24" s="199"/>
      <c r="AS24" s="199"/>
      <c r="AT24" s="199"/>
      <c r="AU24" s="199"/>
      <c r="AV24" s="199"/>
      <c r="AW24" s="199"/>
      <c r="AX24" s="199"/>
      <c r="AY24" s="142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  <c r="BM24" s="137"/>
      <c r="BN24" s="137"/>
      <c r="BO24" s="137"/>
      <c r="BP24" s="137"/>
      <c r="BQ24" s="137"/>
      <c r="BR24" s="137"/>
      <c r="BS24" s="137"/>
      <c r="BT24" s="137"/>
      <c r="BU24" s="137"/>
      <c r="BV24" s="137"/>
      <c r="BW24" s="137"/>
      <c r="BX24" s="137"/>
      <c r="BY24" s="137"/>
      <c r="BZ24" s="137"/>
      <c r="CA24" s="137"/>
      <c r="CB24" s="137"/>
      <c r="CC24" s="137"/>
      <c r="CD24" s="137"/>
      <c r="CE24" s="137"/>
      <c r="CF24" s="137"/>
      <c r="CG24" s="137"/>
      <c r="CH24" s="137"/>
      <c r="CI24" s="137"/>
      <c r="CJ24" s="137"/>
    </row>
    <row r="25" spans="1:88" s="3" customFormat="1" ht="10" customHeight="1">
      <c r="A25" s="137"/>
      <c r="B25" s="138"/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42"/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7"/>
      <c r="BM25" s="137"/>
      <c r="BN25" s="137"/>
      <c r="BO25" s="137"/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7"/>
      <c r="CC25" s="137"/>
      <c r="CD25" s="137"/>
      <c r="CE25" s="137"/>
      <c r="CF25" s="137"/>
      <c r="CG25" s="137"/>
      <c r="CH25" s="137"/>
      <c r="CI25" s="137"/>
      <c r="CJ25" s="137"/>
    </row>
    <row r="26" spans="1:88" ht="15" customHeight="1">
      <c r="A26" s="137"/>
      <c r="B26" s="138"/>
      <c r="C26" s="225" t="s">
        <v>41</v>
      </c>
      <c r="D26" s="199"/>
      <c r="E26" s="199"/>
      <c r="F26" s="199"/>
      <c r="G26" s="199"/>
      <c r="H26" s="199"/>
      <c r="I26" s="199"/>
      <c r="J26" s="199"/>
      <c r="K26" s="199"/>
      <c r="L26" s="137"/>
      <c r="M26" s="137"/>
      <c r="N26" s="137"/>
      <c r="O26" s="137"/>
      <c r="P26" s="137"/>
      <c r="Q26" s="137"/>
      <c r="R26" s="137"/>
      <c r="S26" s="137"/>
      <c r="T26" s="137"/>
      <c r="U26" s="137"/>
      <c r="V26" s="137"/>
      <c r="W26" s="137"/>
      <c r="X26" s="137"/>
      <c r="Y26" s="137"/>
      <c r="Z26" s="137"/>
      <c r="AA26" s="137"/>
      <c r="AB26" s="137"/>
      <c r="AC26" s="137"/>
      <c r="AD26" s="137"/>
      <c r="AE26" s="137"/>
      <c r="AF26" s="137"/>
      <c r="AG26" s="137"/>
      <c r="AH26" s="137"/>
      <c r="AI26" s="137"/>
      <c r="AJ26" s="137"/>
      <c r="AK26" s="137"/>
      <c r="AL26" s="137"/>
      <c r="AM26" s="137"/>
      <c r="AN26" s="137"/>
      <c r="AO26" s="137"/>
      <c r="AP26" s="137"/>
      <c r="AQ26" s="137"/>
      <c r="AR26" s="137"/>
      <c r="AS26" s="137"/>
      <c r="AT26" s="137"/>
      <c r="AU26" s="137"/>
      <c r="AV26" s="137"/>
      <c r="AW26" s="137"/>
      <c r="AX26" s="137"/>
      <c r="AY26" s="142"/>
      <c r="AZ26" s="137"/>
      <c r="BA26" s="137"/>
      <c r="BB26" s="137"/>
      <c r="BC26" s="137"/>
      <c r="BD26" s="137"/>
      <c r="BE26" s="137"/>
      <c r="BF26" s="137"/>
      <c r="BG26" s="137"/>
      <c r="BH26" s="137"/>
      <c r="BI26" s="137"/>
      <c r="BJ26" s="137"/>
      <c r="BK26" s="137"/>
      <c r="BL26" s="137"/>
      <c r="BM26" s="137"/>
      <c r="BN26" s="137"/>
      <c r="BO26" s="137"/>
      <c r="BP26" s="137"/>
      <c r="BQ26" s="137"/>
      <c r="BR26" s="137"/>
      <c r="BS26" s="137"/>
      <c r="BT26" s="137"/>
      <c r="BU26" s="137"/>
      <c r="BV26" s="137"/>
      <c r="BW26" s="137"/>
      <c r="BX26" s="137"/>
      <c r="BY26" s="137"/>
      <c r="BZ26" s="137"/>
      <c r="CA26" s="137"/>
      <c r="CB26" s="137"/>
      <c r="CC26" s="137"/>
      <c r="CD26" s="137"/>
      <c r="CE26" s="137"/>
      <c r="CF26" s="137"/>
      <c r="CG26" s="137"/>
      <c r="CH26" s="137"/>
      <c r="CI26" s="137"/>
      <c r="CJ26" s="137"/>
    </row>
    <row r="27" spans="1:88" ht="10" customHeight="1">
      <c r="A27" s="137"/>
      <c r="B27" s="138"/>
      <c r="C27" s="137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  <c r="AC27" s="137"/>
      <c r="AD27" s="137"/>
      <c r="AE27" s="137"/>
      <c r="AF27" s="137"/>
      <c r="AG27" s="137"/>
      <c r="AH27" s="137"/>
      <c r="AI27" s="137"/>
      <c r="AJ27" s="137"/>
      <c r="AK27" s="137"/>
      <c r="AL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42"/>
      <c r="AZ27" s="137"/>
      <c r="BA27" s="137"/>
      <c r="BB27" s="137"/>
      <c r="BC27" s="137"/>
      <c r="BD27" s="137"/>
      <c r="BE27" s="137"/>
      <c r="BF27" s="137"/>
      <c r="BG27" s="137"/>
      <c r="BH27" s="137"/>
      <c r="BI27" s="137"/>
      <c r="BJ27" s="137"/>
      <c r="BK27" s="137"/>
      <c r="BL27" s="137"/>
      <c r="BM27" s="137"/>
      <c r="BN27" s="137"/>
      <c r="BO27" s="137"/>
      <c r="BP27" s="137"/>
      <c r="BQ27" s="137"/>
      <c r="BR27" s="137"/>
      <c r="BS27" s="137"/>
      <c r="BT27" s="137"/>
      <c r="BU27" s="137"/>
      <c r="BV27" s="137"/>
      <c r="BW27" s="137"/>
      <c r="BX27" s="137"/>
      <c r="BY27" s="137"/>
      <c r="BZ27" s="137"/>
      <c r="CA27" s="137"/>
      <c r="CB27" s="137"/>
      <c r="CC27" s="137"/>
      <c r="CD27" s="137"/>
      <c r="CE27" s="137"/>
      <c r="CF27" s="137"/>
      <c r="CG27" s="137"/>
      <c r="CH27" s="137"/>
      <c r="CI27" s="137"/>
      <c r="CJ27" s="137"/>
    </row>
    <row r="28" spans="1:88" ht="42" customHeight="1">
      <c r="A28" s="137"/>
      <c r="B28" s="138"/>
      <c r="C28" s="226">
        <v>3.3638292141203702E-2</v>
      </c>
      <c r="D28" s="196"/>
      <c r="E28" s="196"/>
      <c r="F28" s="196"/>
      <c r="G28" s="196"/>
      <c r="H28" s="196"/>
      <c r="I28" s="196"/>
      <c r="J28" s="196"/>
      <c r="K28" s="196"/>
      <c r="L28" s="196"/>
      <c r="M28" s="196"/>
      <c r="N28" s="196"/>
      <c r="O28" s="196"/>
      <c r="P28" s="197"/>
      <c r="Q28" s="137"/>
      <c r="R28" s="227" t="s">
        <v>12</v>
      </c>
      <c r="S28" s="228"/>
      <c r="T28" s="228"/>
      <c r="U28" s="228"/>
      <c r="V28" s="228"/>
      <c r="W28" s="228"/>
      <c r="X28" s="229"/>
      <c r="Y28" s="137"/>
      <c r="Z28" s="227" t="s">
        <v>11</v>
      </c>
      <c r="AA28" s="228"/>
      <c r="AB28" s="228"/>
      <c r="AC28" s="228"/>
      <c r="AD28" s="228"/>
      <c r="AE28" s="228"/>
      <c r="AF28" s="229"/>
      <c r="AG28" s="137"/>
      <c r="AH28" s="227" t="s">
        <v>118</v>
      </c>
      <c r="AI28" s="228"/>
      <c r="AJ28" s="228"/>
      <c r="AK28" s="228"/>
      <c r="AL28" s="228"/>
      <c r="AM28" s="228"/>
      <c r="AN28" s="229"/>
      <c r="AO28" s="137"/>
      <c r="AP28" s="190" t="s">
        <v>13</v>
      </c>
      <c r="AQ28" s="191"/>
      <c r="AR28" s="191"/>
      <c r="AS28" s="191"/>
      <c r="AT28" s="191"/>
      <c r="AU28" s="191"/>
      <c r="AV28" s="192"/>
      <c r="AW28" s="137"/>
      <c r="AX28" s="137"/>
      <c r="AY28" s="142"/>
      <c r="AZ28" s="137"/>
      <c r="BA28" s="137"/>
      <c r="BB28" s="137"/>
      <c r="BC28" s="137"/>
      <c r="BD28" s="137"/>
      <c r="BE28" s="137"/>
      <c r="BF28" s="137"/>
      <c r="BG28" s="137"/>
      <c r="BH28" s="137"/>
      <c r="BI28" s="137"/>
      <c r="BJ28" s="137"/>
      <c r="BK28" s="137"/>
      <c r="BL28" s="137"/>
      <c r="BM28" s="137"/>
      <c r="BN28" s="137"/>
      <c r="BO28" s="137"/>
      <c r="BP28" s="137"/>
      <c r="BQ28" s="137"/>
      <c r="BR28" s="137"/>
      <c r="BS28" s="137"/>
      <c r="BT28" s="137"/>
      <c r="BU28" s="137"/>
      <c r="BV28" s="137"/>
      <c r="BW28" s="137"/>
      <c r="BX28" s="137"/>
      <c r="BY28" s="137"/>
      <c r="BZ28" s="137"/>
      <c r="CA28" s="137"/>
      <c r="CB28" s="137"/>
      <c r="CC28" s="137"/>
      <c r="CD28" s="137"/>
      <c r="CE28" s="137"/>
      <c r="CF28" s="137"/>
      <c r="CG28" s="137"/>
      <c r="CH28" s="137"/>
      <c r="CI28" s="137"/>
      <c r="CJ28" s="137"/>
    </row>
    <row r="29" spans="1:88" ht="90" customHeight="1" thickBot="1">
      <c r="A29" s="137"/>
      <c r="B29" s="143"/>
      <c r="C29" s="144"/>
      <c r="D29" s="144"/>
      <c r="E29" s="144"/>
      <c r="F29" s="14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4"/>
      <c r="W29" s="144"/>
      <c r="X29" s="144"/>
      <c r="Y29" s="144"/>
      <c r="Z29" s="144"/>
      <c r="AA29" s="144"/>
      <c r="AB29" s="144"/>
      <c r="AC29" s="144"/>
      <c r="AD29" s="144"/>
      <c r="AE29" s="144"/>
      <c r="AF29" s="144"/>
      <c r="AG29" s="144"/>
      <c r="AH29" s="144"/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44"/>
      <c r="AX29" s="144"/>
      <c r="AY29" s="145"/>
      <c r="AZ29" s="137"/>
      <c r="BA29" s="137"/>
      <c r="BB29" s="137"/>
      <c r="BC29" s="137"/>
      <c r="BD29" s="137"/>
      <c r="BE29" s="137"/>
      <c r="BF29" s="137"/>
      <c r="BG29" s="137"/>
      <c r="BH29" s="137"/>
      <c r="BI29" s="137"/>
      <c r="BJ29" s="137"/>
      <c r="BK29" s="137"/>
      <c r="BL29" s="137"/>
      <c r="BM29" s="137"/>
      <c r="BN29" s="137"/>
      <c r="BO29" s="137"/>
      <c r="BP29" s="137"/>
      <c r="BQ29" s="137"/>
      <c r="BR29" s="137"/>
      <c r="BS29" s="137"/>
      <c r="BT29" s="137"/>
      <c r="BU29" s="137"/>
      <c r="BV29" s="137"/>
      <c r="BW29" s="137"/>
      <c r="BX29" s="137"/>
      <c r="BY29" s="137"/>
      <c r="BZ29" s="137"/>
      <c r="CA29" s="137"/>
      <c r="CB29" s="137"/>
      <c r="CC29" s="137"/>
      <c r="CD29" s="137"/>
      <c r="CE29" s="137"/>
      <c r="CF29" s="137"/>
      <c r="CG29" s="137"/>
      <c r="CH29" s="137"/>
      <c r="CI29" s="137"/>
      <c r="CJ29" s="137"/>
    </row>
    <row r="30" spans="1:88" ht="106" customHeight="1">
      <c r="A30" s="137"/>
      <c r="B30" s="137"/>
      <c r="C30" s="137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  <c r="U30" s="137"/>
      <c r="V30" s="137"/>
      <c r="W30" s="137"/>
      <c r="X30" s="137"/>
      <c r="Y30" s="137"/>
      <c r="Z30" s="137"/>
      <c r="AA30" s="137"/>
      <c r="AB30" s="137"/>
      <c r="AC30" s="137"/>
      <c r="AD30" s="137"/>
      <c r="AE30" s="137"/>
      <c r="AF30" s="137"/>
      <c r="AG30" s="137"/>
      <c r="AH30" s="137"/>
      <c r="AI30" s="137"/>
      <c r="AJ30" s="137"/>
      <c r="AK30" s="137"/>
      <c r="AL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7"/>
      <c r="CB30" s="137"/>
      <c r="CC30" s="137"/>
      <c r="CD30" s="137"/>
      <c r="CE30" s="137"/>
      <c r="CF30" s="137"/>
      <c r="CG30" s="137"/>
      <c r="CH30" s="137"/>
      <c r="CI30" s="137"/>
      <c r="CJ30" s="137"/>
    </row>
    <row r="31" spans="1:88" ht="10" customHeight="1">
      <c r="A31" s="137"/>
      <c r="B31" s="137"/>
      <c r="C31" s="137"/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  <c r="U31" s="137"/>
      <c r="V31" s="137"/>
      <c r="W31" s="137"/>
      <c r="X31" s="137"/>
      <c r="Y31" s="137"/>
      <c r="Z31" s="137"/>
      <c r="AA31" s="137"/>
      <c r="AB31" s="137"/>
      <c r="AC31" s="137"/>
      <c r="AD31" s="137"/>
      <c r="AE31" s="137"/>
      <c r="AF31" s="137"/>
      <c r="AG31" s="137"/>
      <c r="AH31" s="137"/>
      <c r="AI31" s="137"/>
      <c r="AJ31" s="137"/>
      <c r="AK31" s="137"/>
      <c r="AL31" s="137"/>
      <c r="AM31" s="137"/>
      <c r="AN31" s="137"/>
      <c r="AO31" s="137"/>
      <c r="AP31" s="137"/>
      <c r="AQ31" s="137"/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7"/>
      <c r="BE31" s="137"/>
      <c r="BF31" s="137"/>
      <c r="BG31" s="137"/>
      <c r="BH31" s="137"/>
      <c r="BI31" s="137"/>
      <c r="BJ31" s="137"/>
      <c r="BK31" s="137"/>
      <c r="BL31" s="137"/>
      <c r="BM31" s="137"/>
      <c r="BN31" s="137"/>
      <c r="BO31" s="137"/>
      <c r="BP31" s="137"/>
      <c r="BQ31" s="137"/>
      <c r="BR31" s="137"/>
      <c r="BS31" s="137"/>
      <c r="BT31" s="137"/>
      <c r="BU31" s="137"/>
      <c r="BV31" s="137"/>
      <c r="BW31" s="137"/>
      <c r="BX31" s="137"/>
      <c r="BY31" s="137"/>
      <c r="BZ31" s="137"/>
      <c r="CA31" s="137"/>
      <c r="CB31" s="137"/>
      <c r="CC31" s="137"/>
      <c r="CD31" s="137"/>
      <c r="CE31" s="137"/>
      <c r="CF31" s="137"/>
      <c r="CG31" s="137"/>
      <c r="CH31" s="137"/>
      <c r="CI31" s="137"/>
      <c r="CJ31" s="137"/>
    </row>
    <row r="32" spans="1:88" ht="10" customHeight="1">
      <c r="A32" s="137"/>
      <c r="B32" s="137"/>
      <c r="C32" s="137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  <c r="U32" s="137"/>
      <c r="V32" s="137"/>
      <c r="W32" s="137"/>
      <c r="X32" s="137"/>
      <c r="Y32" s="137"/>
      <c r="Z32" s="137"/>
      <c r="AA32" s="137"/>
      <c r="AB32" s="137"/>
      <c r="AC32" s="137"/>
      <c r="AD32" s="137"/>
      <c r="AE32" s="137"/>
      <c r="AF32" s="137"/>
      <c r="AG32" s="137"/>
      <c r="AH32" s="137"/>
      <c r="AI32" s="137"/>
      <c r="AJ32" s="137"/>
      <c r="AK32" s="137"/>
      <c r="AL32" s="137"/>
      <c r="AM32" s="137"/>
      <c r="AN32" s="137"/>
      <c r="AO32" s="137"/>
      <c r="AP32" s="137"/>
      <c r="AQ32" s="137"/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7"/>
      <c r="BE32" s="137"/>
      <c r="BF32" s="137"/>
      <c r="BG32" s="137"/>
      <c r="BH32" s="137"/>
      <c r="BI32" s="137"/>
      <c r="BJ32" s="137"/>
      <c r="BK32" s="137"/>
      <c r="BL32" s="137"/>
      <c r="BM32" s="137"/>
      <c r="BN32" s="137"/>
      <c r="BO32" s="137"/>
      <c r="BP32" s="137"/>
      <c r="BQ32" s="137"/>
      <c r="BR32" s="137"/>
      <c r="BS32" s="137"/>
      <c r="BT32" s="137"/>
      <c r="BU32" s="137"/>
      <c r="BV32" s="137"/>
      <c r="BW32" s="137"/>
      <c r="BX32" s="137"/>
      <c r="BY32" s="137"/>
      <c r="BZ32" s="137"/>
      <c r="CA32" s="137"/>
      <c r="CB32" s="137"/>
      <c r="CC32" s="137"/>
      <c r="CD32" s="137"/>
      <c r="CE32" s="137"/>
      <c r="CF32" s="137"/>
      <c r="CG32" s="137"/>
      <c r="CH32" s="137"/>
      <c r="CI32" s="137"/>
      <c r="CJ32" s="137"/>
    </row>
    <row r="33" spans="1:88" ht="15" customHeight="1">
      <c r="A33" s="137"/>
      <c r="B33" s="137"/>
      <c r="C33" s="137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  <c r="U33" s="137"/>
      <c r="V33" s="137"/>
      <c r="W33" s="137"/>
      <c r="X33" s="137"/>
      <c r="Y33" s="137"/>
      <c r="Z33" s="137"/>
      <c r="AA33" s="137"/>
      <c r="AB33" s="137"/>
      <c r="AC33" s="137"/>
      <c r="AD33" s="137"/>
      <c r="AE33" s="137"/>
      <c r="AF33" s="137"/>
      <c r="AG33" s="137"/>
      <c r="AH33" s="137"/>
      <c r="AI33" s="137"/>
      <c r="AJ33" s="137"/>
      <c r="AK33" s="137"/>
      <c r="AL33" s="137"/>
      <c r="AM33" s="137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37"/>
      <c r="BP33" s="137"/>
      <c r="BQ33" s="137"/>
      <c r="BR33" s="137"/>
      <c r="BS33" s="137"/>
      <c r="BT33" s="137"/>
      <c r="BU33" s="137"/>
      <c r="BV33" s="137"/>
      <c r="BW33" s="137"/>
      <c r="BX33" s="137"/>
      <c r="BY33" s="137"/>
      <c r="BZ33" s="137"/>
      <c r="CA33" s="137"/>
      <c r="CB33" s="137"/>
      <c r="CC33" s="137"/>
      <c r="CD33" s="137"/>
      <c r="CE33" s="137"/>
      <c r="CF33" s="137"/>
      <c r="CG33" s="137"/>
      <c r="CH33" s="137"/>
      <c r="CI33" s="137"/>
      <c r="CJ33" s="137"/>
    </row>
    <row r="34" spans="1:88" ht="15" customHeight="1">
      <c r="A34" s="137"/>
      <c r="B34" s="137"/>
      <c r="C34" s="137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  <c r="U34" s="137"/>
      <c r="V34" s="137"/>
      <c r="W34" s="137"/>
      <c r="X34" s="137"/>
      <c r="Y34" s="137"/>
      <c r="Z34" s="137"/>
      <c r="AA34" s="137"/>
      <c r="AB34" s="137"/>
      <c r="AC34" s="137"/>
      <c r="AD34" s="137"/>
      <c r="AE34" s="137"/>
      <c r="AF34" s="137"/>
      <c r="AG34" s="137"/>
      <c r="AH34" s="137"/>
      <c r="AI34" s="137"/>
      <c r="AJ34" s="137"/>
      <c r="AK34" s="137"/>
      <c r="AL34" s="137"/>
      <c r="AM34" s="137"/>
      <c r="AN34" s="137"/>
      <c r="AO34" s="137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  <c r="BK34" s="137"/>
      <c r="BL34" s="137"/>
      <c r="BM34" s="137"/>
      <c r="BN34" s="137"/>
      <c r="BO34" s="137"/>
      <c r="BP34" s="137"/>
      <c r="BQ34" s="137"/>
      <c r="BR34" s="137"/>
      <c r="BS34" s="137"/>
      <c r="BT34" s="137"/>
      <c r="BU34" s="137"/>
      <c r="BV34" s="137"/>
      <c r="BW34" s="137"/>
      <c r="BX34" s="137"/>
      <c r="BY34" s="137"/>
      <c r="BZ34" s="137"/>
      <c r="CA34" s="137"/>
      <c r="CB34" s="137"/>
      <c r="CC34" s="137"/>
      <c r="CD34" s="137"/>
      <c r="CE34" s="137"/>
      <c r="CF34" s="137"/>
      <c r="CG34" s="137"/>
      <c r="CH34" s="137"/>
      <c r="CI34" s="137"/>
      <c r="CJ34" s="137"/>
    </row>
    <row r="35" spans="1:88" ht="15" customHeight="1">
      <c r="A35" s="137"/>
      <c r="B35" s="137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37"/>
      <c r="V35" s="137"/>
      <c r="W35" s="137"/>
      <c r="X35" s="137"/>
      <c r="Y35" s="137"/>
      <c r="Z35" s="137"/>
      <c r="AA35" s="137"/>
      <c r="AB35" s="137"/>
      <c r="AC35" s="137"/>
      <c r="AD35" s="137"/>
      <c r="AE35" s="137"/>
      <c r="AF35" s="137"/>
      <c r="AG35" s="137"/>
      <c r="AH35" s="137"/>
      <c r="AI35" s="137"/>
      <c r="AJ35" s="137"/>
      <c r="AK35" s="137"/>
      <c r="AL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37"/>
      <c r="BH35" s="137"/>
      <c r="BI35" s="137"/>
      <c r="BJ35" s="137"/>
      <c r="BK35" s="137"/>
      <c r="BL35" s="137"/>
      <c r="BM35" s="137"/>
      <c r="BN35" s="137"/>
      <c r="BO35" s="137"/>
      <c r="BP35" s="137"/>
      <c r="BQ35" s="137"/>
      <c r="BR35" s="137"/>
      <c r="BS35" s="137"/>
      <c r="BT35" s="137"/>
      <c r="BU35" s="137"/>
      <c r="BV35" s="137"/>
      <c r="BW35" s="137"/>
      <c r="BX35" s="137"/>
      <c r="BY35" s="137"/>
      <c r="BZ35" s="137"/>
      <c r="CA35" s="137"/>
      <c r="CB35" s="137"/>
      <c r="CC35" s="137"/>
      <c r="CD35" s="137"/>
      <c r="CE35" s="137"/>
      <c r="CF35" s="137"/>
      <c r="CG35" s="137"/>
      <c r="CH35" s="137"/>
      <c r="CI35" s="137"/>
      <c r="CJ35" s="137"/>
    </row>
    <row r="36" spans="1:88" ht="15" customHeight="1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137"/>
      <c r="AC36" s="137"/>
      <c r="AD36" s="137"/>
      <c r="AE36" s="137"/>
      <c r="AF36" s="137"/>
      <c r="AG36" s="137"/>
      <c r="AH36" s="137"/>
      <c r="AI36" s="137"/>
      <c r="AJ36" s="137"/>
      <c r="AK36" s="137"/>
      <c r="AL36" s="137"/>
      <c r="AM36" s="137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  <c r="BH36" s="137"/>
      <c r="BI36" s="137"/>
      <c r="BJ36" s="137"/>
      <c r="BK36" s="137"/>
      <c r="BL36" s="137"/>
      <c r="BM36" s="137"/>
      <c r="BN36" s="137"/>
      <c r="BO36" s="137"/>
      <c r="BP36" s="137"/>
      <c r="BQ36" s="137"/>
      <c r="BR36" s="137"/>
      <c r="BS36" s="137"/>
      <c r="BT36" s="137"/>
      <c r="BU36" s="137"/>
      <c r="BV36" s="137"/>
      <c r="BW36" s="137"/>
      <c r="BX36" s="137"/>
      <c r="BY36" s="137"/>
      <c r="BZ36" s="137"/>
      <c r="CA36" s="137"/>
      <c r="CB36" s="137"/>
      <c r="CC36" s="137"/>
      <c r="CD36" s="137"/>
      <c r="CE36" s="137"/>
      <c r="CF36" s="137"/>
      <c r="CG36" s="137"/>
      <c r="CH36" s="137"/>
      <c r="CI36" s="137"/>
      <c r="CJ36" s="137"/>
    </row>
    <row r="37" spans="1:88" ht="15" customHeight="1">
      <c r="A37" s="137"/>
      <c r="B37" s="137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137"/>
      <c r="AC37" s="137"/>
      <c r="AD37" s="137"/>
      <c r="AE37" s="137"/>
      <c r="AF37" s="137"/>
      <c r="AG37" s="137"/>
      <c r="AH37" s="137"/>
      <c r="AI37" s="137"/>
      <c r="AJ37" s="137"/>
      <c r="AK37" s="137"/>
      <c r="AL37" s="137"/>
      <c r="AM37" s="137"/>
      <c r="AN37" s="137"/>
      <c r="AO37" s="137"/>
      <c r="AP37" s="137"/>
      <c r="AQ37" s="137"/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7"/>
      <c r="BE37" s="137"/>
      <c r="BF37" s="137"/>
      <c r="BG37" s="137"/>
      <c r="BH37" s="137"/>
      <c r="BI37" s="137"/>
      <c r="BJ37" s="137"/>
      <c r="BK37" s="137"/>
      <c r="BL37" s="137"/>
      <c r="BM37" s="137"/>
      <c r="BN37" s="137"/>
      <c r="BO37" s="137"/>
      <c r="BP37" s="137"/>
      <c r="BQ37" s="137"/>
      <c r="BR37" s="137"/>
      <c r="BS37" s="137"/>
      <c r="BT37" s="137"/>
      <c r="BU37" s="137"/>
      <c r="BV37" s="137"/>
      <c r="BW37" s="137"/>
      <c r="BX37" s="137"/>
      <c r="BY37" s="137"/>
      <c r="BZ37" s="137"/>
      <c r="CA37" s="137"/>
      <c r="CB37" s="137"/>
      <c r="CC37" s="137"/>
      <c r="CD37" s="137"/>
      <c r="CE37" s="137"/>
      <c r="CF37" s="137"/>
      <c r="CG37" s="137"/>
      <c r="CH37" s="137"/>
      <c r="CI37" s="137"/>
      <c r="CJ37" s="137"/>
    </row>
    <row r="38" spans="1:88" ht="15" customHeight="1">
      <c r="A38" s="137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137"/>
      <c r="AF38" s="137"/>
      <c r="AG38" s="137"/>
      <c r="AH38" s="137"/>
      <c r="AI38" s="137"/>
      <c r="AJ38" s="137"/>
      <c r="AK38" s="137"/>
      <c r="AL38" s="137"/>
      <c r="AM38" s="137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7"/>
      <c r="BI38" s="137"/>
      <c r="BJ38" s="137"/>
      <c r="BK38" s="137"/>
      <c r="BL38" s="137"/>
      <c r="BM38" s="137"/>
      <c r="BN38" s="137"/>
      <c r="BO38" s="137"/>
      <c r="BP38" s="137"/>
      <c r="BQ38" s="137"/>
      <c r="BR38" s="137"/>
      <c r="BS38" s="137"/>
      <c r="BT38" s="137"/>
      <c r="BU38" s="137"/>
      <c r="BV38" s="137"/>
      <c r="BW38" s="137"/>
      <c r="BX38" s="137"/>
      <c r="BY38" s="137"/>
      <c r="BZ38" s="137"/>
      <c r="CA38" s="137"/>
      <c r="CB38" s="137"/>
      <c r="CC38" s="137"/>
      <c r="CD38" s="137"/>
      <c r="CE38" s="137"/>
      <c r="CF38" s="137"/>
      <c r="CG38" s="137"/>
      <c r="CH38" s="137"/>
      <c r="CI38" s="137"/>
      <c r="CJ38" s="137"/>
    </row>
    <row r="39" spans="1:88" ht="15" customHeight="1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  <c r="AM39" s="137"/>
      <c r="AN39" s="137"/>
      <c r="AO39" s="137"/>
      <c r="AP39" s="137"/>
      <c r="AQ39" s="137"/>
      <c r="AR39" s="137"/>
      <c r="AS39" s="137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7"/>
      <c r="BE39" s="137"/>
      <c r="BF39" s="137"/>
      <c r="BG39" s="137"/>
      <c r="BH39" s="137"/>
      <c r="BI39" s="137"/>
      <c r="BJ39" s="137"/>
      <c r="BK39" s="137"/>
      <c r="BL39" s="137"/>
      <c r="BM39" s="137"/>
      <c r="BN39" s="137"/>
      <c r="BO39" s="137"/>
      <c r="BP39" s="137"/>
      <c r="BQ39" s="137"/>
      <c r="BR39" s="137"/>
      <c r="BS39" s="137"/>
      <c r="BT39" s="137"/>
      <c r="BU39" s="137"/>
      <c r="BV39" s="137"/>
      <c r="BW39" s="137"/>
      <c r="BX39" s="137"/>
      <c r="BY39" s="137"/>
      <c r="BZ39" s="137"/>
      <c r="CA39" s="137"/>
      <c r="CB39" s="137"/>
      <c r="CC39" s="137"/>
      <c r="CD39" s="137"/>
      <c r="CE39" s="137"/>
      <c r="CF39" s="137"/>
      <c r="CG39" s="137"/>
      <c r="CH39" s="137"/>
      <c r="CI39" s="137"/>
      <c r="CJ39" s="137"/>
    </row>
    <row r="40" spans="1:88" ht="15" customHeight="1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7"/>
      <c r="AM40" s="137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37"/>
      <c r="BH40" s="137"/>
      <c r="BI40" s="137"/>
      <c r="BJ40" s="137"/>
      <c r="BK40" s="137"/>
      <c r="BL40" s="137"/>
      <c r="BM40" s="137"/>
      <c r="BN40" s="137"/>
      <c r="BO40" s="137"/>
      <c r="BP40" s="137"/>
      <c r="BQ40" s="137"/>
      <c r="BR40" s="137"/>
      <c r="BS40" s="137"/>
      <c r="BT40" s="137"/>
      <c r="BU40" s="137"/>
      <c r="BV40" s="137"/>
      <c r="BW40" s="137"/>
      <c r="BX40" s="137"/>
      <c r="BY40" s="137"/>
      <c r="BZ40" s="137"/>
      <c r="CA40" s="137"/>
      <c r="CB40" s="137"/>
      <c r="CC40" s="137"/>
      <c r="CD40" s="137"/>
      <c r="CE40" s="137"/>
      <c r="CF40" s="137"/>
      <c r="CG40" s="137"/>
      <c r="CH40" s="137"/>
      <c r="CI40" s="137"/>
      <c r="CJ40" s="137"/>
    </row>
    <row r="41" spans="1:88" ht="15" customHeight="1">
      <c r="A41" s="137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  <c r="AG41" s="137"/>
      <c r="AH41" s="137"/>
      <c r="AI41" s="137"/>
      <c r="AJ41" s="137"/>
      <c r="AK41" s="137"/>
      <c r="AL41" s="137"/>
      <c r="AM41" s="137"/>
      <c r="AN41" s="137"/>
      <c r="AO41" s="137"/>
      <c r="AP41" s="137"/>
      <c r="AQ41" s="137"/>
      <c r="AR41" s="137"/>
      <c r="AS41" s="137"/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7"/>
      <c r="BE41" s="137"/>
      <c r="BF41" s="137"/>
      <c r="BG41" s="137"/>
      <c r="BH41" s="137"/>
      <c r="BI41" s="137"/>
      <c r="BJ41" s="137"/>
      <c r="BK41" s="137"/>
      <c r="BL41" s="137"/>
      <c r="BM41" s="137"/>
      <c r="BN41" s="137"/>
      <c r="BO41" s="137"/>
      <c r="BP41" s="137"/>
      <c r="BQ41" s="137"/>
      <c r="BR41" s="137"/>
      <c r="BS41" s="137"/>
      <c r="BT41" s="137"/>
      <c r="BU41" s="137"/>
      <c r="BV41" s="137"/>
      <c r="BW41" s="137"/>
      <c r="BX41" s="137"/>
      <c r="BY41" s="137"/>
      <c r="BZ41" s="137"/>
      <c r="CA41" s="137"/>
      <c r="CB41" s="137"/>
      <c r="CC41" s="137"/>
      <c r="CD41" s="137"/>
      <c r="CE41" s="137"/>
      <c r="CF41" s="137"/>
      <c r="CG41" s="137"/>
      <c r="CH41" s="137"/>
      <c r="CI41" s="137"/>
      <c r="CJ41" s="137"/>
    </row>
    <row r="42" spans="1:88" ht="15" customHeight="1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  <c r="AG42" s="137"/>
      <c r="AH42" s="137"/>
      <c r="AI42" s="137"/>
      <c r="AJ42" s="137"/>
      <c r="AK42" s="137"/>
      <c r="AL42" s="137"/>
      <c r="AM42" s="137"/>
      <c r="AN42" s="137"/>
      <c r="AO42" s="137"/>
      <c r="AP42" s="137"/>
      <c r="AQ42" s="137"/>
      <c r="AR42" s="137"/>
      <c r="AS42" s="137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7"/>
      <c r="BE42" s="137"/>
      <c r="BF42" s="137"/>
      <c r="BG42" s="137"/>
      <c r="BH42" s="137"/>
      <c r="BI42" s="137"/>
      <c r="BJ42" s="137"/>
      <c r="BK42" s="137"/>
      <c r="BL42" s="137"/>
      <c r="BM42" s="137"/>
      <c r="BN42" s="137"/>
      <c r="BO42" s="137"/>
      <c r="BP42" s="137"/>
      <c r="BQ42" s="137"/>
      <c r="BR42" s="137"/>
      <c r="BS42" s="137"/>
      <c r="BT42" s="137"/>
      <c r="BU42" s="137"/>
      <c r="BV42" s="137"/>
      <c r="BW42" s="137"/>
      <c r="BX42" s="137"/>
      <c r="BY42" s="137"/>
      <c r="BZ42" s="137"/>
      <c r="CA42" s="137"/>
      <c r="CB42" s="137"/>
      <c r="CC42" s="137"/>
      <c r="CD42" s="137"/>
      <c r="CE42" s="137"/>
      <c r="CF42" s="137"/>
      <c r="CG42" s="137"/>
      <c r="CH42" s="137"/>
      <c r="CI42" s="137"/>
      <c r="CJ42" s="137"/>
    </row>
    <row r="43" spans="1:88" s="3" customFormat="1" ht="15" customHeight="1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  <c r="AG43" s="137"/>
      <c r="AH43" s="137"/>
      <c r="AI43" s="137"/>
      <c r="AJ43" s="137"/>
      <c r="AK43" s="137"/>
      <c r="AL43" s="137"/>
      <c r="AM43" s="137"/>
      <c r="AN43" s="137"/>
      <c r="AO43" s="137"/>
      <c r="AP43" s="137"/>
      <c r="AQ43" s="137"/>
      <c r="AR43" s="137"/>
      <c r="AS43" s="137"/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7"/>
      <c r="BE43" s="137"/>
      <c r="BF43" s="137"/>
      <c r="BG43" s="137"/>
      <c r="BH43" s="137"/>
      <c r="BI43" s="137"/>
      <c r="BJ43" s="137"/>
      <c r="BK43" s="137"/>
      <c r="BL43" s="137"/>
      <c r="BM43" s="137"/>
      <c r="BN43" s="137"/>
      <c r="BO43" s="137"/>
      <c r="BP43" s="137"/>
      <c r="BQ43" s="137"/>
      <c r="BR43" s="137"/>
      <c r="BS43" s="137"/>
      <c r="BT43" s="137"/>
      <c r="BU43" s="137"/>
      <c r="BV43" s="137"/>
      <c r="BW43" s="137"/>
      <c r="BX43" s="137"/>
      <c r="BY43" s="137"/>
      <c r="BZ43" s="137"/>
      <c r="CA43" s="137"/>
      <c r="CB43" s="137"/>
      <c r="CC43" s="137"/>
      <c r="CD43" s="137"/>
      <c r="CE43" s="137"/>
      <c r="CF43" s="137"/>
      <c r="CG43" s="137"/>
      <c r="CH43" s="137"/>
      <c r="CI43" s="137"/>
      <c r="CJ43" s="137"/>
    </row>
    <row r="44" spans="1:88" ht="15" customHeight="1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  <c r="AG44" s="137"/>
      <c r="AH44" s="137"/>
      <c r="AI44" s="137"/>
      <c r="AJ44" s="137"/>
      <c r="AK44" s="137"/>
      <c r="AL44" s="137"/>
      <c r="AM44" s="137"/>
      <c r="AN44" s="137"/>
      <c r="AO44" s="137"/>
      <c r="AP44" s="137"/>
      <c r="AQ44" s="137"/>
      <c r="AR44" s="137"/>
      <c r="AS44" s="137"/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7"/>
      <c r="BE44" s="137"/>
      <c r="BF44" s="137"/>
      <c r="BG44" s="137"/>
      <c r="BH44" s="137"/>
      <c r="BI44" s="137"/>
      <c r="BJ44" s="137"/>
      <c r="BK44" s="137"/>
      <c r="BL44" s="137"/>
      <c r="BM44" s="137"/>
      <c r="BN44" s="137"/>
      <c r="BO44" s="137"/>
      <c r="BP44" s="137"/>
      <c r="BQ44" s="137"/>
      <c r="BR44" s="137"/>
      <c r="BS44" s="137"/>
      <c r="BT44" s="137"/>
      <c r="BU44" s="137"/>
      <c r="BV44" s="137"/>
      <c r="BW44" s="137"/>
      <c r="BX44" s="137"/>
      <c r="BY44" s="137"/>
      <c r="BZ44" s="137"/>
      <c r="CA44" s="137"/>
      <c r="CB44" s="137"/>
      <c r="CC44" s="137"/>
      <c r="CD44" s="137"/>
      <c r="CE44" s="137"/>
      <c r="CF44" s="137"/>
      <c r="CG44" s="137"/>
      <c r="CH44" s="137"/>
      <c r="CI44" s="137"/>
      <c r="CJ44" s="137"/>
    </row>
    <row r="45" spans="1:88" ht="15" customHeight="1">
      <c r="A45" s="137"/>
      <c r="B45" s="137"/>
      <c r="C45" s="137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7"/>
      <c r="S45" s="137"/>
      <c r="T45" s="137"/>
      <c r="U45" s="137"/>
      <c r="V45" s="137"/>
      <c r="W45" s="137"/>
      <c r="X45" s="137"/>
      <c r="Y45" s="137"/>
      <c r="Z45" s="137"/>
      <c r="AA45" s="137"/>
      <c r="AB45" s="137"/>
      <c r="AC45" s="137"/>
      <c r="AD45" s="137"/>
      <c r="AE45" s="137"/>
      <c r="AF45" s="137"/>
      <c r="AG45" s="137"/>
      <c r="AH45" s="137"/>
      <c r="AI45" s="137"/>
      <c r="AJ45" s="137"/>
      <c r="AK45" s="137"/>
      <c r="AL45" s="137"/>
      <c r="AM45" s="137"/>
      <c r="AN45" s="137"/>
      <c r="AO45" s="137"/>
      <c r="AP45" s="137"/>
      <c r="AQ45" s="137"/>
      <c r="AR45" s="137"/>
      <c r="AS45" s="137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7"/>
      <c r="BE45" s="137"/>
      <c r="BF45" s="137"/>
      <c r="BG45" s="137"/>
      <c r="BH45" s="137"/>
      <c r="BI45" s="137"/>
      <c r="BJ45" s="137"/>
      <c r="BK45" s="137"/>
      <c r="BL45" s="137"/>
      <c r="BM45" s="137"/>
      <c r="BN45" s="137"/>
      <c r="BO45" s="137"/>
      <c r="BP45" s="137"/>
      <c r="BQ45" s="137"/>
      <c r="BR45" s="137"/>
      <c r="BS45" s="137"/>
      <c r="BT45" s="137"/>
      <c r="BU45" s="137"/>
      <c r="BV45" s="137"/>
      <c r="BW45" s="137"/>
      <c r="BX45" s="137"/>
      <c r="BY45" s="137"/>
      <c r="BZ45" s="137"/>
      <c r="CA45" s="137"/>
      <c r="CB45" s="137"/>
      <c r="CC45" s="137"/>
      <c r="CD45" s="137"/>
      <c r="CE45" s="137"/>
      <c r="CF45" s="137"/>
      <c r="CG45" s="137"/>
      <c r="CH45" s="137"/>
      <c r="CI45" s="137"/>
      <c r="CJ45" s="137"/>
    </row>
    <row r="46" spans="1:88" ht="15" customHeight="1">
      <c r="A46" s="137"/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37"/>
      <c r="AE46" s="137"/>
      <c r="AF46" s="137"/>
      <c r="AG46" s="137"/>
      <c r="AH46" s="137"/>
      <c r="AI46" s="137"/>
      <c r="AJ46" s="137"/>
      <c r="AK46" s="137"/>
      <c r="AL46" s="137"/>
      <c r="AM46" s="137"/>
      <c r="AN46" s="137"/>
      <c r="AO46" s="137"/>
      <c r="AP46" s="137"/>
      <c r="AQ46" s="137"/>
      <c r="AR46" s="137"/>
      <c r="AS46" s="137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7"/>
      <c r="BE46" s="137"/>
      <c r="BF46" s="137"/>
      <c r="BG46" s="137"/>
      <c r="BH46" s="137"/>
      <c r="BI46" s="137"/>
      <c r="BJ46" s="137"/>
      <c r="BK46" s="137"/>
      <c r="BL46" s="137"/>
      <c r="BM46" s="137"/>
      <c r="BN46" s="137"/>
      <c r="BO46" s="137"/>
      <c r="BP46" s="137"/>
      <c r="BQ46" s="137"/>
      <c r="BR46" s="137"/>
      <c r="BS46" s="137"/>
      <c r="BT46" s="137"/>
      <c r="BU46" s="137"/>
      <c r="BV46" s="137"/>
      <c r="BW46" s="137"/>
      <c r="BX46" s="137"/>
      <c r="BY46" s="137"/>
      <c r="BZ46" s="137"/>
      <c r="CA46" s="137"/>
      <c r="CB46" s="137"/>
      <c r="CC46" s="137"/>
      <c r="CD46" s="137"/>
      <c r="CE46" s="137"/>
      <c r="CF46" s="137"/>
      <c r="CG46" s="137"/>
      <c r="CH46" s="137"/>
      <c r="CI46" s="137"/>
      <c r="CJ46" s="137"/>
    </row>
    <row r="47" spans="1:88" ht="15" customHeight="1">
      <c r="A47" s="137"/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  <c r="U47" s="137"/>
      <c r="V47" s="137"/>
      <c r="W47" s="137"/>
      <c r="X47" s="137"/>
      <c r="Y47" s="137"/>
      <c r="Z47" s="137"/>
      <c r="AA47" s="137"/>
      <c r="AB47" s="137"/>
      <c r="AC47" s="137"/>
      <c r="AD47" s="137"/>
      <c r="AE47" s="137"/>
      <c r="AF47" s="137"/>
      <c r="AG47" s="137"/>
      <c r="AH47" s="137"/>
      <c r="AI47" s="137"/>
      <c r="AJ47" s="137"/>
      <c r="AK47" s="137"/>
      <c r="AL47" s="137"/>
      <c r="AM47" s="137"/>
      <c r="AN47" s="137"/>
      <c r="AO47" s="137"/>
      <c r="AP47" s="137"/>
      <c r="AQ47" s="137"/>
      <c r="AR47" s="137"/>
      <c r="AS47" s="137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7"/>
      <c r="BE47" s="137"/>
      <c r="BF47" s="137"/>
      <c r="BG47" s="137"/>
      <c r="BH47" s="137"/>
      <c r="BI47" s="137"/>
      <c r="BJ47" s="137"/>
      <c r="BK47" s="137"/>
      <c r="BL47" s="137"/>
      <c r="BM47" s="137"/>
      <c r="BN47" s="137"/>
      <c r="BO47" s="137"/>
      <c r="BP47" s="137"/>
      <c r="BQ47" s="137"/>
      <c r="BR47" s="137"/>
      <c r="BS47" s="137"/>
      <c r="BT47" s="137"/>
      <c r="BU47" s="137"/>
      <c r="BV47" s="137"/>
      <c r="BW47" s="137"/>
      <c r="BX47" s="137"/>
      <c r="BY47" s="137"/>
      <c r="BZ47" s="137"/>
      <c r="CA47" s="137"/>
      <c r="CB47" s="137"/>
      <c r="CC47" s="137"/>
      <c r="CD47" s="137"/>
      <c r="CE47" s="137"/>
      <c r="CF47" s="137"/>
      <c r="CG47" s="137"/>
      <c r="CH47" s="137"/>
      <c r="CI47" s="137"/>
      <c r="CJ47" s="137"/>
    </row>
    <row r="48" spans="1:88" ht="15" customHeight="1">
      <c r="A48" s="137"/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7"/>
      <c r="BE48" s="137"/>
      <c r="BF48" s="137"/>
      <c r="BG48" s="137"/>
      <c r="BH48" s="137"/>
      <c r="BI48" s="137"/>
      <c r="BJ48" s="137"/>
      <c r="BK48" s="137"/>
      <c r="BL48" s="137"/>
      <c r="BM48" s="137"/>
      <c r="BN48" s="137"/>
      <c r="BO48" s="137"/>
      <c r="BP48" s="137"/>
      <c r="BQ48" s="137"/>
      <c r="BR48" s="137"/>
      <c r="BS48" s="137"/>
      <c r="BT48" s="137"/>
      <c r="BU48" s="137"/>
      <c r="BV48" s="137"/>
      <c r="BW48" s="137"/>
      <c r="BX48" s="137"/>
      <c r="BY48" s="137"/>
      <c r="BZ48" s="137"/>
      <c r="CA48" s="137"/>
      <c r="CB48" s="137"/>
      <c r="CC48" s="137"/>
      <c r="CD48" s="137"/>
      <c r="CE48" s="137"/>
      <c r="CF48" s="137"/>
      <c r="CG48" s="137"/>
      <c r="CH48" s="137"/>
      <c r="CI48" s="137"/>
      <c r="CJ48" s="137"/>
    </row>
    <row r="49" spans="1:88" ht="15" customHeight="1">
      <c r="A49" s="137"/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  <c r="AM49" s="137"/>
      <c r="AN49" s="137"/>
      <c r="AO49" s="137"/>
      <c r="AP49" s="137"/>
      <c r="AQ49" s="137"/>
      <c r="AR49" s="137"/>
      <c r="AS49" s="137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7"/>
      <c r="BE49" s="137"/>
      <c r="BF49" s="137"/>
      <c r="BG49" s="137"/>
      <c r="BH49" s="137"/>
      <c r="BI49" s="137"/>
      <c r="BJ49" s="137"/>
      <c r="BK49" s="137"/>
      <c r="BL49" s="137"/>
      <c r="BM49" s="137"/>
      <c r="BN49" s="137"/>
      <c r="BO49" s="137"/>
      <c r="BP49" s="137"/>
      <c r="BQ49" s="137"/>
      <c r="BR49" s="137"/>
      <c r="BS49" s="137"/>
      <c r="BT49" s="137"/>
      <c r="BU49" s="137"/>
      <c r="BV49" s="137"/>
      <c r="BW49" s="137"/>
      <c r="BX49" s="137"/>
      <c r="BY49" s="137"/>
      <c r="BZ49" s="137"/>
      <c r="CA49" s="137"/>
      <c r="CB49" s="137"/>
      <c r="CC49" s="137"/>
      <c r="CD49" s="137"/>
      <c r="CE49" s="137"/>
      <c r="CF49" s="137"/>
      <c r="CG49" s="137"/>
      <c r="CH49" s="137"/>
      <c r="CI49" s="137"/>
      <c r="CJ49" s="137"/>
    </row>
    <row r="50" spans="1:88" ht="15" customHeight="1">
      <c r="A50" s="137"/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7"/>
      <c r="AM50" s="137"/>
      <c r="AN50" s="137"/>
      <c r="AO50" s="137"/>
      <c r="AP50" s="137"/>
      <c r="AQ50" s="137"/>
      <c r="AR50" s="137"/>
      <c r="AS50" s="137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7"/>
      <c r="BE50" s="137"/>
      <c r="BF50" s="137"/>
      <c r="BG50" s="137"/>
      <c r="BH50" s="137"/>
      <c r="BI50" s="137"/>
      <c r="BJ50" s="137"/>
      <c r="BK50" s="137"/>
      <c r="BL50" s="137"/>
      <c r="BM50" s="137"/>
      <c r="BN50" s="137"/>
      <c r="BO50" s="137"/>
      <c r="BP50" s="137"/>
      <c r="BQ50" s="137"/>
      <c r="BR50" s="137"/>
      <c r="BS50" s="137"/>
      <c r="BT50" s="137"/>
      <c r="BU50" s="137"/>
      <c r="BV50" s="137"/>
      <c r="BW50" s="137"/>
      <c r="BX50" s="137"/>
      <c r="BY50" s="137"/>
      <c r="BZ50" s="137"/>
      <c r="CA50" s="137"/>
      <c r="CB50" s="137"/>
      <c r="CC50" s="137"/>
      <c r="CD50" s="137"/>
      <c r="CE50" s="137"/>
      <c r="CF50" s="137"/>
      <c r="CG50" s="137"/>
      <c r="CH50" s="137"/>
      <c r="CI50" s="137"/>
      <c r="CJ50" s="137"/>
    </row>
    <row r="51" spans="1:88" ht="15" customHeight="1">
      <c r="A51" s="137"/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  <c r="AM51" s="137"/>
      <c r="AN51" s="137"/>
      <c r="AO51" s="137"/>
      <c r="AP51" s="137"/>
      <c r="AQ51" s="137"/>
      <c r="AR51" s="137"/>
      <c r="AS51" s="137"/>
      <c r="AT51" s="137"/>
      <c r="AU51" s="137"/>
      <c r="AV51" s="137"/>
      <c r="AW51" s="137"/>
      <c r="AX51" s="137"/>
      <c r="AY51" s="137"/>
      <c r="AZ51" s="137"/>
      <c r="BA51" s="137"/>
      <c r="BB51" s="137"/>
      <c r="BC51" s="137"/>
      <c r="BD51" s="137"/>
      <c r="BE51" s="137"/>
      <c r="BF51" s="137"/>
      <c r="BG51" s="137"/>
      <c r="BH51" s="137"/>
      <c r="BI51" s="137"/>
      <c r="BJ51" s="137"/>
      <c r="BK51" s="137"/>
      <c r="BL51" s="137"/>
      <c r="BM51" s="137"/>
      <c r="BN51" s="137"/>
      <c r="BO51" s="137"/>
      <c r="BP51" s="137"/>
      <c r="BQ51" s="137"/>
      <c r="BR51" s="137"/>
      <c r="BS51" s="137"/>
      <c r="BT51" s="137"/>
      <c r="BU51" s="137"/>
      <c r="BV51" s="137"/>
      <c r="BW51" s="137"/>
      <c r="BX51" s="137"/>
      <c r="BY51" s="137"/>
      <c r="BZ51" s="137"/>
      <c r="CA51" s="137"/>
      <c r="CB51" s="137"/>
      <c r="CC51" s="137"/>
      <c r="CD51" s="137"/>
      <c r="CE51" s="137"/>
      <c r="CF51" s="137"/>
      <c r="CG51" s="137"/>
      <c r="CH51" s="137"/>
      <c r="CI51" s="137"/>
      <c r="CJ51" s="137"/>
    </row>
    <row r="52" spans="1:88" ht="15" customHeight="1">
      <c r="A52" s="137"/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  <c r="AM52" s="137"/>
      <c r="AN52" s="137"/>
      <c r="AO52" s="137"/>
      <c r="AP52" s="137"/>
      <c r="AQ52" s="137"/>
      <c r="AR52" s="137"/>
      <c r="AS52" s="137"/>
      <c r="AT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37"/>
      <c r="BE52" s="137"/>
      <c r="BF52" s="137"/>
      <c r="BG52" s="137"/>
      <c r="BH52" s="137"/>
      <c r="BI52" s="137"/>
      <c r="BJ52" s="137"/>
      <c r="BK52" s="137"/>
      <c r="BL52" s="137"/>
      <c r="BM52" s="137"/>
      <c r="BN52" s="137"/>
      <c r="BO52" s="137"/>
      <c r="BP52" s="137"/>
      <c r="BQ52" s="137"/>
      <c r="BR52" s="137"/>
      <c r="BS52" s="137"/>
      <c r="BT52" s="137"/>
      <c r="BU52" s="137"/>
      <c r="BV52" s="137"/>
      <c r="BW52" s="137"/>
      <c r="BX52" s="137"/>
      <c r="BY52" s="137"/>
      <c r="BZ52" s="137"/>
      <c r="CA52" s="137"/>
      <c r="CB52" s="137"/>
      <c r="CC52" s="137"/>
      <c r="CD52" s="137"/>
      <c r="CE52" s="137"/>
      <c r="CF52" s="137"/>
      <c r="CG52" s="137"/>
      <c r="CH52" s="137"/>
      <c r="CI52" s="137"/>
      <c r="CJ52" s="137"/>
    </row>
    <row r="53" spans="1:88" s="3" customFormat="1" ht="15" customHeight="1">
      <c r="A53" s="137"/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7"/>
      <c r="BE53" s="137"/>
      <c r="BF53" s="137"/>
      <c r="BG53" s="137"/>
      <c r="BH53" s="137"/>
      <c r="BI53" s="137"/>
      <c r="BJ53" s="137"/>
      <c r="BK53" s="137"/>
      <c r="BL53" s="137"/>
      <c r="BM53" s="137"/>
      <c r="BN53" s="137"/>
      <c r="BO53" s="137"/>
      <c r="BP53" s="137"/>
      <c r="BQ53" s="137"/>
      <c r="BR53" s="137"/>
      <c r="BS53" s="137"/>
      <c r="BT53" s="137"/>
      <c r="BU53" s="137"/>
      <c r="BV53" s="137"/>
      <c r="BW53" s="137"/>
      <c r="BX53" s="137"/>
      <c r="BY53" s="137"/>
      <c r="BZ53" s="137"/>
      <c r="CA53" s="137"/>
      <c r="CB53" s="137"/>
      <c r="CC53" s="137"/>
      <c r="CD53" s="137"/>
      <c r="CE53" s="137"/>
      <c r="CF53" s="137"/>
      <c r="CG53" s="137"/>
      <c r="CH53" s="137"/>
      <c r="CI53" s="137"/>
      <c r="CJ53" s="137"/>
    </row>
    <row r="54" spans="1:88" s="3" customFormat="1" ht="13" customHeight="1">
      <c r="A54" s="137"/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  <c r="R54" s="137"/>
      <c r="S54" s="137"/>
      <c r="T54" s="137"/>
      <c r="U54" s="137"/>
      <c r="V54" s="137"/>
      <c r="W54" s="137"/>
      <c r="X54" s="137"/>
      <c r="Y54" s="137"/>
      <c r="Z54" s="137"/>
      <c r="AA54" s="137"/>
      <c r="AB54" s="137"/>
      <c r="AC54" s="137"/>
      <c r="AD54" s="137"/>
      <c r="AE54" s="137"/>
      <c r="AF54" s="137"/>
      <c r="AG54" s="137"/>
      <c r="AH54" s="137"/>
      <c r="AI54" s="137"/>
      <c r="AJ54" s="137"/>
      <c r="AK54" s="137"/>
      <c r="AL54" s="137"/>
      <c r="AM54" s="137"/>
      <c r="AN54" s="137"/>
      <c r="AO54" s="137"/>
      <c r="AP54" s="137"/>
      <c r="AQ54" s="137"/>
      <c r="AR54" s="137"/>
      <c r="AS54" s="137"/>
      <c r="AT54" s="137"/>
      <c r="AU54" s="137"/>
      <c r="AV54" s="137"/>
      <c r="AW54" s="137"/>
      <c r="AX54" s="137"/>
      <c r="AY54" s="137"/>
      <c r="AZ54" s="137"/>
      <c r="BA54" s="137"/>
      <c r="BB54" s="137"/>
      <c r="BC54" s="137"/>
      <c r="BD54" s="137"/>
      <c r="BE54" s="137"/>
      <c r="BF54" s="137"/>
      <c r="BG54" s="137"/>
      <c r="BH54" s="137"/>
      <c r="BI54" s="137"/>
      <c r="BJ54" s="137"/>
      <c r="BK54" s="137"/>
      <c r="BL54" s="137"/>
      <c r="BM54" s="137"/>
      <c r="BN54" s="137"/>
      <c r="BO54" s="137"/>
      <c r="BP54" s="137"/>
      <c r="BQ54" s="137"/>
      <c r="BR54" s="137"/>
      <c r="BS54" s="137"/>
      <c r="BT54" s="137"/>
      <c r="BU54" s="137"/>
      <c r="BV54" s="137"/>
      <c r="BW54" s="137"/>
      <c r="BX54" s="137"/>
      <c r="BY54" s="137"/>
      <c r="BZ54" s="137"/>
      <c r="CA54" s="137"/>
      <c r="CB54" s="137"/>
      <c r="CC54" s="137"/>
      <c r="CD54" s="137"/>
      <c r="CE54" s="137"/>
      <c r="CF54" s="137"/>
      <c r="CG54" s="137"/>
      <c r="CH54" s="137"/>
      <c r="CI54" s="137"/>
      <c r="CJ54" s="137"/>
    </row>
    <row r="55" spans="1:88" s="3" customFormat="1" ht="13" customHeight="1">
      <c r="A55" s="137"/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37"/>
      <c r="AE55" s="137"/>
      <c r="AF55" s="137"/>
      <c r="AG55" s="137"/>
      <c r="AH55" s="137"/>
      <c r="AI55" s="137"/>
      <c r="AJ55" s="137"/>
      <c r="AK55" s="137"/>
      <c r="AL55" s="137"/>
      <c r="AM55" s="137"/>
      <c r="AN55" s="137"/>
      <c r="AO55" s="137"/>
      <c r="AP55" s="137"/>
      <c r="AQ55" s="137"/>
      <c r="AR55" s="137"/>
      <c r="AS55" s="137"/>
      <c r="AT55" s="137"/>
      <c r="AU55" s="137"/>
      <c r="AV55" s="137"/>
      <c r="AW55" s="137"/>
      <c r="AX55" s="137"/>
      <c r="AY55" s="137"/>
      <c r="AZ55" s="137"/>
      <c r="BA55" s="137"/>
      <c r="BB55" s="137"/>
      <c r="BC55" s="137"/>
      <c r="BD55" s="137"/>
      <c r="BE55" s="137"/>
      <c r="BF55" s="137"/>
      <c r="BG55" s="137"/>
      <c r="BH55" s="137"/>
      <c r="BI55" s="137"/>
      <c r="BJ55" s="137"/>
      <c r="BK55" s="137"/>
      <c r="BL55" s="137"/>
      <c r="BM55" s="137"/>
      <c r="BN55" s="137"/>
      <c r="BO55" s="137"/>
      <c r="BP55" s="137"/>
      <c r="BQ55" s="137"/>
      <c r="BR55" s="137"/>
      <c r="BS55" s="137"/>
      <c r="BT55" s="137"/>
      <c r="BU55" s="137"/>
      <c r="BV55" s="137"/>
      <c r="BW55" s="137"/>
      <c r="BX55" s="137"/>
      <c r="BY55" s="137"/>
      <c r="BZ55" s="137"/>
      <c r="CA55" s="137"/>
      <c r="CB55" s="137"/>
      <c r="CC55" s="137"/>
      <c r="CD55" s="137"/>
      <c r="CE55" s="137"/>
      <c r="CF55" s="137"/>
      <c r="CG55" s="137"/>
      <c r="CH55" s="137"/>
      <c r="CI55" s="137"/>
      <c r="CJ55" s="137"/>
    </row>
    <row r="56" spans="1:88" s="3" customFormat="1" ht="13" customHeight="1">
      <c r="A56" s="137"/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  <c r="BE56" s="137"/>
      <c r="BF56" s="137"/>
      <c r="BG56" s="137"/>
      <c r="BH56" s="137"/>
      <c r="BI56" s="137"/>
      <c r="BJ56" s="137"/>
      <c r="BK56" s="137"/>
      <c r="BL56" s="137"/>
      <c r="BM56" s="137"/>
      <c r="BN56" s="137"/>
      <c r="BO56" s="137"/>
      <c r="BP56" s="137"/>
      <c r="BQ56" s="137"/>
      <c r="BR56" s="137"/>
      <c r="BS56" s="137"/>
      <c r="BT56" s="137"/>
      <c r="BU56" s="137"/>
      <c r="BV56" s="137"/>
      <c r="BW56" s="137"/>
      <c r="BX56" s="137"/>
      <c r="BY56" s="137"/>
      <c r="BZ56" s="137"/>
      <c r="CA56" s="137"/>
      <c r="CB56" s="137"/>
      <c r="CC56" s="137"/>
      <c r="CD56" s="137"/>
      <c r="CE56" s="137"/>
      <c r="CF56" s="137"/>
      <c r="CG56" s="137"/>
      <c r="CH56" s="137"/>
      <c r="CI56" s="137"/>
      <c r="CJ56" s="137"/>
    </row>
    <row r="57" spans="1:88" s="3" customFormat="1" ht="13" customHeight="1">
      <c r="A57" s="137"/>
      <c r="B57" s="137"/>
      <c r="C57" s="137"/>
      <c r="D57" s="137"/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  <c r="BF57" s="137"/>
      <c r="BG57" s="137"/>
      <c r="BH57" s="137"/>
      <c r="BI57" s="137"/>
      <c r="BJ57" s="137"/>
      <c r="BK57" s="137"/>
      <c r="BL57" s="137"/>
      <c r="BM57" s="137"/>
      <c r="BN57" s="137"/>
      <c r="BO57" s="137"/>
      <c r="BP57" s="137"/>
      <c r="BQ57" s="137"/>
      <c r="BR57" s="137"/>
      <c r="BS57" s="137"/>
      <c r="BT57" s="137"/>
      <c r="BU57" s="137"/>
      <c r="BV57" s="137"/>
      <c r="BW57" s="137"/>
      <c r="BX57" s="137"/>
      <c r="BY57" s="137"/>
      <c r="BZ57" s="137"/>
      <c r="CA57" s="137"/>
      <c r="CB57" s="137"/>
      <c r="CC57" s="137"/>
      <c r="CD57" s="137"/>
      <c r="CE57" s="137"/>
      <c r="CF57" s="137"/>
      <c r="CG57" s="137"/>
      <c r="CH57" s="137"/>
      <c r="CI57" s="137"/>
      <c r="CJ57" s="137"/>
    </row>
    <row r="58" spans="1:88" s="3" customFormat="1" ht="13" customHeight="1">
      <c r="A58" s="137"/>
      <c r="B58" s="137"/>
      <c r="C58" s="137"/>
      <c r="D58" s="137"/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37"/>
      <c r="AE58" s="137"/>
      <c r="AF58" s="137"/>
      <c r="AG58" s="137"/>
      <c r="AH58" s="137"/>
      <c r="AI58" s="137"/>
      <c r="AJ58" s="137"/>
      <c r="AK58" s="137"/>
      <c r="AL58" s="137"/>
      <c r="AM58" s="137"/>
      <c r="AN58" s="137"/>
      <c r="AO58" s="137"/>
      <c r="AP58" s="137"/>
      <c r="AQ58" s="137"/>
      <c r="AR58" s="137"/>
      <c r="AS58" s="137"/>
      <c r="AT58" s="137"/>
      <c r="AU58" s="137"/>
      <c r="AV58" s="137"/>
      <c r="AW58" s="137"/>
      <c r="AX58" s="137"/>
      <c r="AY58" s="137"/>
      <c r="AZ58" s="137"/>
      <c r="BA58" s="137"/>
      <c r="BB58" s="137"/>
      <c r="BC58" s="137"/>
      <c r="BD58" s="137"/>
      <c r="BE58" s="137"/>
      <c r="BF58" s="137"/>
      <c r="BG58" s="137"/>
      <c r="BH58" s="137"/>
      <c r="BI58" s="137"/>
      <c r="BJ58" s="137"/>
      <c r="BK58" s="137"/>
      <c r="BL58" s="137"/>
      <c r="BM58" s="137"/>
      <c r="BN58" s="137"/>
      <c r="BO58" s="137"/>
      <c r="BP58" s="137"/>
      <c r="BQ58" s="137"/>
      <c r="BR58" s="137"/>
      <c r="BS58" s="137"/>
      <c r="BT58" s="137"/>
      <c r="BU58" s="137"/>
      <c r="BV58" s="137"/>
      <c r="BW58" s="137"/>
      <c r="BX58" s="137"/>
      <c r="BY58" s="137"/>
      <c r="BZ58" s="137"/>
      <c r="CA58" s="137"/>
      <c r="CB58" s="137"/>
      <c r="CC58" s="137"/>
      <c r="CD58" s="137"/>
      <c r="CE58" s="137"/>
      <c r="CF58" s="137"/>
      <c r="CG58" s="137"/>
      <c r="CH58" s="137"/>
      <c r="CI58" s="137"/>
      <c r="CJ58" s="137"/>
    </row>
    <row r="59" spans="1:88" s="3" customFormat="1" ht="13" customHeight="1">
      <c r="A59" s="137"/>
      <c r="B59" s="137"/>
      <c r="C59" s="137"/>
      <c r="D59" s="137"/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137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37"/>
      <c r="BE59" s="137"/>
      <c r="BF59" s="137"/>
      <c r="BG59" s="137"/>
      <c r="BH59" s="137"/>
      <c r="BI59" s="137"/>
      <c r="BJ59" s="137"/>
      <c r="BK59" s="137"/>
      <c r="BL59" s="137"/>
      <c r="BM59" s="137"/>
      <c r="BN59" s="137"/>
      <c r="BO59" s="137"/>
      <c r="BP59" s="137"/>
      <c r="BQ59" s="137"/>
      <c r="BR59" s="137"/>
      <c r="BS59" s="137"/>
      <c r="BT59" s="137"/>
      <c r="BU59" s="137"/>
      <c r="BV59" s="137"/>
      <c r="BW59" s="137"/>
      <c r="BX59" s="137"/>
      <c r="BY59" s="137"/>
      <c r="BZ59" s="137"/>
      <c r="CA59" s="137"/>
      <c r="CB59" s="137"/>
      <c r="CC59" s="137"/>
      <c r="CD59" s="137"/>
      <c r="CE59" s="137"/>
      <c r="CF59" s="137"/>
      <c r="CG59" s="137"/>
      <c r="CH59" s="137"/>
      <c r="CI59" s="137"/>
      <c r="CJ59" s="137"/>
    </row>
    <row r="60" spans="1:88" s="3" customFormat="1" ht="13" customHeight="1">
      <c r="A60" s="137"/>
      <c r="B60" s="137"/>
      <c r="C60" s="137"/>
      <c r="D60" s="137"/>
      <c r="E60" s="137"/>
      <c r="F60" s="137"/>
      <c r="G60" s="137"/>
      <c r="H60" s="137"/>
      <c r="I60" s="137"/>
      <c r="J60" s="137"/>
      <c r="K60" s="137"/>
      <c r="L60" s="137"/>
      <c r="M60" s="137"/>
      <c r="N60" s="137"/>
      <c r="O60" s="137"/>
      <c r="P60" s="137"/>
      <c r="Q60" s="137"/>
      <c r="R60" s="137"/>
      <c r="S60" s="137"/>
      <c r="T60" s="137"/>
      <c r="U60" s="137"/>
      <c r="V60" s="137"/>
      <c r="W60" s="137"/>
      <c r="X60" s="137"/>
      <c r="Y60" s="137"/>
      <c r="Z60" s="137"/>
      <c r="AA60" s="137"/>
      <c r="AB60" s="137"/>
      <c r="AC60" s="137"/>
      <c r="AD60" s="137"/>
      <c r="AE60" s="137"/>
      <c r="AF60" s="137"/>
      <c r="AG60" s="137"/>
      <c r="AH60" s="137"/>
      <c r="AI60" s="137"/>
      <c r="AJ60" s="137"/>
      <c r="AK60" s="137"/>
      <c r="AL60" s="137"/>
      <c r="AM60" s="137"/>
      <c r="AN60" s="137"/>
      <c r="AO60" s="137"/>
      <c r="AP60" s="137"/>
      <c r="AQ60" s="137"/>
      <c r="AR60" s="137"/>
      <c r="AS60" s="137"/>
      <c r="AT60" s="137"/>
      <c r="AU60" s="137"/>
      <c r="AV60" s="137"/>
      <c r="AW60" s="137"/>
      <c r="AX60" s="137"/>
      <c r="AY60" s="137"/>
      <c r="AZ60" s="137"/>
      <c r="BA60" s="137"/>
      <c r="BB60" s="137"/>
      <c r="BC60" s="137"/>
      <c r="BD60" s="137"/>
      <c r="BE60" s="137"/>
      <c r="BF60" s="137"/>
      <c r="BG60" s="137"/>
      <c r="BH60" s="137"/>
      <c r="BI60" s="137"/>
      <c r="BJ60" s="137"/>
      <c r="BK60" s="137"/>
      <c r="BL60" s="137"/>
      <c r="BM60" s="137"/>
      <c r="BN60" s="137"/>
      <c r="BO60" s="137"/>
      <c r="BP60" s="137"/>
      <c r="BQ60" s="137"/>
      <c r="BR60" s="137"/>
      <c r="BS60" s="137"/>
      <c r="BT60" s="137"/>
      <c r="BU60" s="137"/>
      <c r="BV60" s="137"/>
      <c r="BW60" s="137"/>
      <c r="BX60" s="137"/>
      <c r="BY60" s="137"/>
      <c r="BZ60" s="137"/>
      <c r="CA60" s="137"/>
      <c r="CB60" s="137"/>
      <c r="CC60" s="137"/>
      <c r="CD60" s="137"/>
      <c r="CE60" s="137"/>
      <c r="CF60" s="137"/>
      <c r="CG60" s="137"/>
      <c r="CH60" s="137"/>
      <c r="CI60" s="137"/>
      <c r="CJ60" s="137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3">
    <mergeCell ref="BO7:BR9"/>
    <mergeCell ref="BO4:BR4"/>
    <mergeCell ref="C26:K26"/>
    <mergeCell ref="C28:P28"/>
    <mergeCell ref="R28:X28"/>
    <mergeCell ref="Z28:AF28"/>
    <mergeCell ref="AH28:AN28"/>
    <mergeCell ref="BB12:BR12"/>
    <mergeCell ref="C4:J4"/>
    <mergeCell ref="L4:R4"/>
    <mergeCell ref="T4:Z4"/>
    <mergeCell ref="AB4:AH4"/>
    <mergeCell ref="AJ4:AP4"/>
    <mergeCell ref="AR4:AX4"/>
    <mergeCell ref="C8:I8"/>
    <mergeCell ref="K8:Q8"/>
    <mergeCell ref="S8:Y8"/>
    <mergeCell ref="AA8:AG8"/>
    <mergeCell ref="AI8:AO8"/>
    <mergeCell ref="AQ8:AW8"/>
    <mergeCell ref="C12:AX12"/>
    <mergeCell ref="AJ18:AP18"/>
    <mergeCell ref="C14:I14"/>
    <mergeCell ref="K14:Q14"/>
    <mergeCell ref="S14:Y14"/>
    <mergeCell ref="G16:M16"/>
    <mergeCell ref="O16:U16"/>
    <mergeCell ref="AP28:AV28"/>
    <mergeCell ref="B1:AY1"/>
    <mergeCell ref="K20:Q20"/>
    <mergeCell ref="S20:Y20"/>
    <mergeCell ref="AB20:AH20"/>
    <mergeCell ref="AJ20:AP20"/>
    <mergeCell ref="C24:AX24"/>
    <mergeCell ref="C18:I18"/>
    <mergeCell ref="S18:Y18"/>
    <mergeCell ref="K18:Q18"/>
    <mergeCell ref="AD14:AJ14"/>
    <mergeCell ref="AP14:AV14"/>
    <mergeCell ref="AB18:AH18"/>
    <mergeCell ref="AF16:AL16"/>
    <mergeCell ref="AN16:AT16"/>
    <mergeCell ref="AR18:AX18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C43" sqref="C43"/>
    </sheetView>
    <sheetView tabSelected="1" workbookViewId="1">
      <selection activeCell="E4" sqref="A2:Q7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214</v>
      </c>
      <c r="B1" t="s">
        <v>7</v>
      </c>
      <c r="C1" t="s">
        <v>14</v>
      </c>
      <c r="D1" t="s">
        <v>166</v>
      </c>
      <c r="E1" t="s">
        <v>15</v>
      </c>
      <c r="F1" t="s">
        <v>211</v>
      </c>
      <c r="G1" t="s">
        <v>143</v>
      </c>
      <c r="H1" t="s">
        <v>16</v>
      </c>
      <c r="I1" t="s">
        <v>17</v>
      </c>
      <c r="J1" t="s">
        <v>195</v>
      </c>
      <c r="K1" t="s">
        <v>196</v>
      </c>
      <c r="L1" t="s">
        <v>197</v>
      </c>
      <c r="M1" t="s">
        <v>55</v>
      </c>
      <c r="N1" t="s">
        <v>198</v>
      </c>
      <c r="O1" t="s">
        <v>199</v>
      </c>
      <c r="P1" t="s">
        <v>209</v>
      </c>
      <c r="Q1" t="s">
        <v>212</v>
      </c>
    </row>
    <row r="2" spans="1:17" s="3" customFormat="1" ht="12" customHeight="1">
      <c r="A2" s="82"/>
      <c r="B2"/>
      <c r="C2"/>
      <c r="D2"/>
      <c r="E2"/>
      <c r="F2"/>
      <c r="G2"/>
      <c r="H2"/>
      <c r="I2" s="179"/>
      <c r="J2"/>
      <c r="K2"/>
      <c r="L2" s="178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6">
    <dataValidation type="list" allowBlank="1" showErrorMessage="1" sqref="B2" xr:uid="{99ED57F7-07BE-574F-8954-D70313A6B7A4}">
      <formula1>LISTE_MT_JOURNAL</formula1>
    </dataValidation>
    <dataValidation type="list" allowBlank="1" showErrorMessage="1" sqref="C2" xr:uid="{A68A4B2A-F307-7F47-B3C2-F39947CC1B51}">
      <formula1>LISTE_JOUEURS_JOURNAL</formula1>
    </dataValidation>
    <dataValidation type="list" allowBlank="1" showErrorMessage="1" sqref="E2" xr:uid="{D98F28F0-89F9-6C40-A6EA-33FF1F05ECA0}">
      <formula1>LISTE_ACTIONS_JOURNAL</formula1>
    </dataValidation>
    <dataValidation type="list" allowBlank="1" showErrorMessage="1" sqref="G2" xr:uid="{41BFB8D4-5D85-C246-AE70-EA18EA1AC04B}">
      <formula1>LISTE_EQUIPES_JOURNAL</formula1>
    </dataValidation>
    <dataValidation type="list" allowBlank="1" showErrorMessage="1" sqref="F2" xr:uid="{3CF461DA-0EB6-BD48-8285-94153C58FD6C}">
      <formula1>LISTE_MOTIFS_PENALITE</formula1>
    </dataValidation>
    <dataValidation type="list" allowBlank="1" showInputMessage="1" showErrorMessage="1" sqref="D2" xr:uid="{EACE573C-BE71-034E-97F4-7AC7A7772AA6}">
      <formula1>LISTE_GROUPES_FAUTIFS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8"/>
  <sheetViews>
    <sheetView tabSelected="1" topLeftCell="A95" workbookViewId="0">
      <selection activeCell="D109" sqref="D109"/>
    </sheetView>
    <sheetView workbookViewId="1"/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43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A4 : RC Muret / MXV Première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5"/>
    </row>
    <row r="4" spans="2:37" s="3" customFormat="1" ht="20" customHeight="1">
      <c r="B4" s="246"/>
      <c r="C4" s="247"/>
      <c r="D4" s="247"/>
      <c r="E4" s="247"/>
      <c r="F4" s="247"/>
      <c r="G4" s="247"/>
      <c r="H4" s="247"/>
      <c r="I4" s="247"/>
      <c r="J4" s="247"/>
      <c r="K4" s="247"/>
      <c r="L4" s="247"/>
      <c r="M4" s="247"/>
      <c r="N4" s="247"/>
      <c r="O4" s="247"/>
      <c r="P4" s="247"/>
      <c r="Q4" s="247"/>
      <c r="R4" s="247"/>
      <c r="S4" s="247"/>
      <c r="T4" s="248"/>
    </row>
    <row r="5" spans="2:37" s="3" customFormat="1"/>
    <row r="6" spans="2:37" ht="14" customHeight="1">
      <c r="B6" s="253" t="s">
        <v>14</v>
      </c>
      <c r="C6" s="255" t="str">
        <f>ACT_PL_NORMAL</f>
        <v>Plaquage normal</v>
      </c>
      <c r="D6" s="250"/>
      <c r="E6" s="255" t="str">
        <f>ACT_PL_OFF</f>
        <v>Plaquage offensif</v>
      </c>
      <c r="F6" s="250"/>
      <c r="G6" s="255" t="str">
        <f>ACT_PL_RATE</f>
        <v>Plaquage raté</v>
      </c>
      <c r="H6" s="250"/>
      <c r="I6" s="255" t="str">
        <f>ACT_PL_A2</f>
        <v>Plaquage à 2</v>
      </c>
      <c r="J6" s="249"/>
      <c r="K6" s="249" t="str">
        <f>ACT_PL_HAUT</f>
        <v>Plaquage haut</v>
      </c>
      <c r="L6" s="250"/>
      <c r="M6" s="249" t="s">
        <v>10</v>
      </c>
      <c r="N6" s="250"/>
      <c r="O6" s="249" t="str">
        <f>ACT_FRANCHISSEMENT</f>
        <v>Franchissement</v>
      </c>
      <c r="P6" s="250"/>
      <c r="Q6" s="249" t="str">
        <f>ACT_AVANCEE</f>
        <v>Avancée au contact</v>
      </c>
      <c r="R6" s="250"/>
      <c r="S6" s="249" t="str">
        <f>ACT_ATT_NULLE</f>
        <v>Recul ou sans progression</v>
      </c>
      <c r="T6" s="250"/>
      <c r="U6" s="282" t="s">
        <v>231</v>
      </c>
      <c r="V6" s="283"/>
      <c r="W6" s="283"/>
      <c r="X6" s="283"/>
      <c r="Y6" s="283"/>
      <c r="Z6" s="284"/>
      <c r="AF6"/>
      <c r="AG6"/>
    </row>
    <row r="7" spans="2:37" ht="13" customHeight="1">
      <c r="B7" s="254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3" t="str">
        <f>IF(COUNTIFS(JournalActions[Joueur],$B8,JournalActions[Action],$C$6,JournalActions[Mi-temps],C$7)=0,"",COUNTIFS(JournalActions[Joueur],$B8,JournalActions[Action],$C$6,JournalActions[Mi-temps],C$7))</f>
        <v/>
      </c>
      <c r="D8" s="34" t="str">
        <f>IF(COUNTIFS(JournalActions[Joueur],$B8,JournalActions[Action],$C$6,JournalActions[Mi-temps],D$7)=0,"",COUNTIFS(JournalActions[Joueur],$B8,JournalActions[Action],$C$6,JournalActions[Mi-temps],D$7))</f>
        <v/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IF(COUNTIFS(JournalActions[Joueur],$B8,JournalActions[Action],ACT_GRATTAGE_NS,JournalActions[Mi-temps],M$7)=0,"",COUNTIFS(JournalActions[Joueur],$B8,JournalActions[Action],ACT_GRATTAGE_NS,JournalActions[Mi-temps],M$7))</f>
        <v/>
      </c>
      <c r="N8" s="34" t="str">
        <f>IF(COUNTIFS(JournalActions[Joueur],$B8,JournalActions[Action],ACT_GRATTAGE_NS,JournalActions[Mi-temps],N$7)=0,"",COUNTIFS(JournalActions[Joueur],$B8,JournalActions[Action],ACT_GRATTAGE_NS,JournalActions[Mi-temps],N$7))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ABADIE Quentin</v>
      </c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IF(COUNTIFS(JournalActions[Joueur],$B9,JournalActions[Action],ACT_GRATTAGE_NS,JournalActions[Mi-temps],M$7)=0,"",COUNTIFS(JournalActions[Joueur],$B9,JournalActions[Action],ACT_GRATTAGE_NS,JournalActions[Mi-temps],M$7))</f>
        <v/>
      </c>
      <c r="N9" s="29" t="str">
        <f>IF(COUNTIFS(JournalActions[Joueur],$B9,JournalActions[Action],ACT_GRATTAGE_NS,JournalActions[Mi-temps],N$7)=0,"",COUNTIFS(JournalActions[Joueur],$B9,JournalActions[Action],ACT_GRATTAGE_NS,JournalActions[Mi-temps],N$7))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ABADIE Thomas</v>
      </c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IF(COUNTIFS(JournalActions[Joueur],$B10,JournalActions[Action],ACT_GRATTAGE_NS,JournalActions[Mi-temps],M$7)=0,"",COUNTIFS(JournalActions[Joueur],$B10,JournalActions[Action],ACT_GRATTAGE_NS,JournalActions[Mi-temps],M$7))</f>
        <v/>
      </c>
      <c r="N10" s="29" t="str">
        <f>IF(COUNTIFS(JournalActions[Joueur],$B10,JournalActions[Action],ACT_GRATTAGE_NS,JournalActions[Mi-temps],N$7)=0,"",COUNTIFS(JournalActions[Joueur],$B10,JournalActions[Action],ACT_GRATTAGE_NS,JournalActions[Mi-temps],N$7))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BARATGIN Julian</v>
      </c>
      <c r="C11" s="28" t="str">
        <f>IF(COUNTIFS(JournalActions[Joueur],$B11,JournalActions[Action],$C$6,JournalActions[Mi-temps],C$7)=0,"",COUNTIFS(JournalActions[Joueur],$B11,JournalActions[Action],$C$6,JournalActions[Mi-temps],C$7))</f>
        <v/>
      </c>
      <c r="D11" s="29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IF(COUNTIFS(JournalActions[Joueur],$B11,JournalActions[Action],ACT_GRATTAGE_NS,JournalActions[Mi-temps],M$7)=0,"",COUNTIFS(JournalActions[Joueur],$B11,JournalActions[Action],ACT_GRATTAGE_NS,JournalActions[Mi-temps],M$7))</f>
        <v/>
      </c>
      <c r="N11" s="29" t="str">
        <f>IF(COUNTIFS(JournalActions[Joueur],$B11,JournalActions[Action],ACT_GRATTAGE_NS,JournalActions[Mi-temps],N$7)=0,"",COUNTIFS(JournalActions[Joueur],$B11,JournalActions[Action],ACT_GRATTAGE_NS,JournalActions[Mi-temps],N$7))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 t="str">
        <f>IF(COUNTIFS(JournalActions[Joueur],$B11,JournalActions[Action],$S$6,JournalActions[Mi-temps],S$7)=0,"",COUNTIFS(JournalActions[Joueur],$B11,JournalActions[Action],$S$6,JournalActions[Mi-temps],S$7))</f>
        <v/>
      </c>
      <c r="T11" s="29" t="str">
        <f>IF(COUNTIFS(JournalActions[Joueur],$B11,JournalActions[Action],$S$6,JournalActions[Mi-temps],T$7)=0,"",COUNTIFS(JournalActions[Joueur],$B11,JournalActions[Action],$S$6,JournalActions[Mi-temps],T$7))</f>
        <v/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BAUP Bastien</v>
      </c>
      <c r="C12" s="28" t="str">
        <f>IF(COUNTIFS(JournalActions[Joueur],$B12,JournalActions[Action],$C$6,JournalActions[Mi-temps],C$7)=0,"",COUNTIFS(JournalActions[Joueur],$B12,JournalActions[Action],$C$6,JournalActions[Mi-temps],C$7))</f>
        <v/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IF(COUNTIFS(JournalActions[Joueur],$B12,JournalActions[Action],ACT_GRATTAGE_NS,JournalActions[Mi-temps],M$7)=0,"",COUNTIFS(JournalActions[Joueur],$B12,JournalActions[Action],ACT_GRATTAGE_NS,JournalActions[Mi-temps],M$7))</f>
        <v/>
      </c>
      <c r="N12" s="29" t="str">
        <f>IF(COUNTIFS(JournalActions[Joueur],$B12,JournalActions[Action],ACT_GRATTAGE_NS,JournalActions[Mi-temps],N$7)=0,"",COUNTIFS(JournalActions[Joueur],$B12,JournalActions[Action],ACT_GRATTAGE_NS,JournalActions[Mi-temps],N$7))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 t="str">
        <f>IF(COUNTIFS(JournalActions[Joueur],$B12,JournalActions[Action],$S$6,JournalActions[Mi-temps],T$7)=0,"",COUNTIFS(JournalActions[Joueur],$B12,JournalActions[Action],$S$6,JournalActions[Mi-temps],T$7))</f>
        <v/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BIFFI Pierre</v>
      </c>
      <c r="C13" s="28" t="str">
        <f>IF(COUNTIFS(JournalActions[Joueur],$B13,JournalActions[Action],$C$6,JournalActions[Mi-temps],C$7)=0,"",COUNTIFS(JournalActions[Joueur],$B13,JournalActions[Action],$C$6,JournalActions[Mi-temps],C$7))</f>
        <v/>
      </c>
      <c r="D13" s="29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IF(COUNTIFS(JournalActions[Joueur],$B13,JournalActions[Action],ACT_GRATTAGE_NS,JournalActions[Mi-temps],M$7)=0,"",COUNTIFS(JournalActions[Joueur],$B13,JournalActions[Action],ACT_GRATTAGE_NS,JournalActions[Mi-temps],M$7))</f>
        <v/>
      </c>
      <c r="N13" s="29" t="str">
        <f>IF(COUNTIFS(JournalActions[Joueur],$B13,JournalActions[Action],ACT_GRATTAGE_NS,JournalActions[Mi-temps],N$7)=0,"",COUNTIFS(JournalActions[Joueur],$B13,JournalActions[Action],ACT_GRATTAGE_NS,JournalActions[Mi-temps],N$7))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 t="str">
        <f>IF(COUNTIFS(JournalActions[Joueur],$B13,JournalActions[Action],$Q$6,JournalActions[Mi-temps],Q$7)=0,"",COUNTIFS(JournalActions[Joueur],$B13,JournalActions[Action],$Q$6,JournalActions[Mi-temps],Q$7))</f>
        <v/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BOURREC Anthony</v>
      </c>
      <c r="C14" s="28" t="str">
        <f>IF(COUNTIFS(JournalActions[Joueur],$B14,JournalActions[Action],$C$6,JournalActions[Mi-temps],C$7)=0,"",COUNTIFS(JournalActions[Joueur],$B14,JournalActions[Action],$C$6,JournalActions[Mi-temps],C$7))</f>
        <v/>
      </c>
      <c r="D14" s="29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IF(COUNTIFS(JournalActions[Joueur],$B14,JournalActions[Action],ACT_GRATTAGE_NS,JournalActions[Mi-temps],M$7)=0,"",COUNTIFS(JournalActions[Joueur],$B14,JournalActions[Action],ACT_GRATTAGE_NS,JournalActions[Mi-temps],M$7))</f>
        <v/>
      </c>
      <c r="N14" s="29" t="str">
        <f>IF(COUNTIFS(JournalActions[Joueur],$B14,JournalActions[Action],ACT_GRATTAGE_NS,JournalActions[Mi-temps],N$7)=0,"",COUNTIFS(JournalActions[Joueur],$B14,JournalActions[Action],ACT_GRATTAGE_NS,JournalActions[Mi-temps],N$7))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 t="str">
        <f>IF(COUNTIFS(JournalActions[Joueur],$B14,JournalActions[Action],$Q$6,JournalActions[Mi-temps],R$7)=0,"",COUNTIFS(JournalActions[Joueur],$B14,JournalActions[Action],$Q$6,JournalActions[Mi-temps],R$7))</f>
        <v/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CESCA Sacha</v>
      </c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IF(COUNTIFS(JournalActions[Joueur],$B15,JournalActions[Action],ACT_GRATTAGE_NS,JournalActions[Mi-temps],M$7)=0,"",COUNTIFS(JournalActions[Joueur],$B15,JournalActions[Action],ACT_GRATTAGE_NS,JournalActions[Mi-temps],M$7))</f>
        <v/>
      </c>
      <c r="N15" s="29" t="str">
        <f>IF(COUNTIFS(JournalActions[Joueur],$B15,JournalActions[Action],ACT_GRATTAGE_NS,JournalActions[Mi-temps],N$7)=0,"",COUNTIFS(JournalActions[Joueur],$B15,JournalActions[Action],ACT_GRATTAGE_NS,JournalActions[Mi-temps],N$7))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COURREGES Romain</v>
      </c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IF(COUNTIFS(JournalActions[Joueur],$B16,JournalActions[Action],ACT_GRATTAGE_NS,JournalActions[Mi-temps],M$7)=0,"",COUNTIFS(JournalActions[Joueur],$B16,JournalActions[Action],ACT_GRATTAGE_NS,JournalActions[Mi-temps],M$7))</f>
        <v/>
      </c>
      <c r="N16" s="29" t="str">
        <f>IF(COUNTIFS(JournalActions[Joueur],$B16,JournalActions[Action],ACT_GRATTAGE_NS,JournalActions[Mi-temps],N$7)=0,"",COUNTIFS(JournalActions[Joueur],$B16,JournalActions[Action],ACT_GRATTAGE_NS,JournalActions[Mi-temps],N$7))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DALLA ROSA Jonah</v>
      </c>
      <c r="C17" s="28" t="str">
        <f>IF(COUNTIFS(JournalActions[Joueur],$B17,JournalActions[Action],$C$6,JournalActions[Mi-temps],C$7)=0,"",COUNTIFS(JournalActions[Joueur],$B17,JournalActions[Action],$C$6,JournalActions[Mi-temps],C$7))</f>
        <v/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IF(COUNTIFS(JournalActions[Joueur],$B17,JournalActions[Action],ACT_GRATTAGE_NS,JournalActions[Mi-temps],M$7)=0,"",COUNTIFS(JournalActions[Joueur],$B17,JournalActions[Action],ACT_GRATTAGE_NS,JournalActions[Mi-temps],M$7))</f>
        <v/>
      </c>
      <c r="N17" s="29" t="str">
        <f>IF(COUNTIFS(JournalActions[Joueur],$B17,JournalActions[Action],ACT_GRATTAGE_NS,JournalActions[Mi-temps],N$7)=0,"",COUNTIFS(JournalActions[Joueur],$B17,JournalActions[Action],ACT_GRATTAGE_NS,JournalActions[Mi-temps],N$7))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 t="str">
        <f>IF(COUNTIFS(JournalActions[Joueur],$B17,JournalActions[Action],$S$6,JournalActions[Mi-temps],S$7)=0,"",COUNTIFS(JournalActions[Joueur],$B17,JournalActions[Action],$S$6,JournalActions[Mi-temps],S$7))</f>
        <v/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DUTREY Thomas</v>
      </c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IF(COUNTIFS(JournalActions[Joueur],$B18,JournalActions[Action],ACT_GRATTAGE_NS,JournalActions[Mi-temps],M$7)=0,"",COUNTIFS(JournalActions[Joueur],$B18,JournalActions[Action],ACT_GRATTAGE_NS,JournalActions[Mi-temps],M$7))</f>
        <v/>
      </c>
      <c r="N18" s="29" t="str">
        <f>IF(COUNTIFS(JournalActions[Joueur],$B18,JournalActions[Action],ACT_GRATTAGE_NS,JournalActions[Mi-temps],N$7)=0,"",COUNTIFS(JournalActions[Joueur],$B18,JournalActions[Action],ACT_GRATTAGE_NS,JournalActions[Mi-temps],N$7))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GALLINARO Pierrick</v>
      </c>
      <c r="C19" s="28" t="str">
        <f>IF(COUNTIFS(JournalActions[Joueur],$B19,JournalActions[Action],$C$6,JournalActions[Mi-temps],C$7)=0,"",COUNTIFS(JournalActions[Joueur],$B19,JournalActions[Action],$C$6,JournalActions[Mi-temps],C$7))</f>
        <v/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IF(COUNTIFS(JournalActions[Joueur],$B19,JournalActions[Action],ACT_GRATTAGE_NS,JournalActions[Mi-temps],M$7)=0,"",COUNTIFS(JournalActions[Joueur],$B19,JournalActions[Action],ACT_GRATTAGE_NS,JournalActions[Mi-temps],M$7))</f>
        <v/>
      </c>
      <c r="N19" s="29" t="str">
        <f>IF(COUNTIFS(JournalActions[Joueur],$B19,JournalActions[Action],ACT_GRATTAGE_NS,JournalActions[Mi-temps],N$7)=0,"",COUNTIFS(JournalActions[Joueur],$B19,JournalActions[Action],ACT_GRATTAGE_NS,JournalActions[Mi-temps],N$7))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 t="str">
        <f>IF(COUNTIFS(JournalActions[Joueur],$B19,JournalActions[Action],$S$6,JournalActions[Mi-temps],S$7)=0,"",COUNTIFS(JournalActions[Joueur],$B19,JournalActions[Action],$S$6,JournalActions[Mi-temps],S$7))</f>
        <v/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JOUNAUX Joris</v>
      </c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IF(COUNTIFS(JournalActions[Joueur],$B20,JournalActions[Action],ACT_GRATTAGE_NS,JournalActions[Mi-temps],M$7)=0,"",COUNTIFS(JournalActions[Joueur],$B20,JournalActions[Action],ACT_GRATTAGE_NS,JournalActions[Mi-temps],M$7))</f>
        <v/>
      </c>
      <c r="N20" s="29" t="str">
        <f>IF(COUNTIFS(JournalActions[Joueur],$B20,JournalActions[Action],ACT_GRATTAGE_NS,JournalActions[Mi-temps],N$7)=0,"",COUNTIFS(JournalActions[Joueur],$B20,JournalActions[Action],ACT_GRATTAGE_NS,JournalActions[Mi-temps],N$7))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KAPFER Bastien</v>
      </c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IF(COUNTIFS(JournalActions[Joueur],$B21,JournalActions[Action],ACT_GRATTAGE_NS,JournalActions[Mi-temps],M$7)=0,"",COUNTIFS(JournalActions[Joueur],$B21,JournalActions[Action],ACT_GRATTAGE_NS,JournalActions[Mi-temps],M$7))</f>
        <v/>
      </c>
      <c r="N21" s="29" t="str">
        <f>IF(COUNTIFS(JournalActions[Joueur],$B21,JournalActions[Action],ACT_GRATTAGE_NS,JournalActions[Mi-temps],N$7)=0,"",COUNTIFS(JournalActions[Joueur],$B21,JournalActions[Action],ACT_GRATTAGE_NS,JournalActions[Mi-temps],N$7))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LAUDET Jean Baptiste</v>
      </c>
      <c r="C22" s="28" t="str">
        <f>IF(COUNTIFS(JournalActions[Joueur],$B22,JournalActions[Action],$C$6,JournalActions[Mi-temps],C$7)=0,"",COUNTIFS(JournalActions[Joueur],$B22,JournalActions[Action],$C$6,JournalActions[Mi-temps],C$7))</f>
        <v/>
      </c>
      <c r="D22" s="29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IF(COUNTIFS(JournalActions[Joueur],$B22,JournalActions[Action],ACT_GRATTAGE_NS,JournalActions[Mi-temps],M$7)=0,"",COUNTIFS(JournalActions[Joueur],$B22,JournalActions[Action],ACT_GRATTAGE_NS,JournalActions[Mi-temps],M$7))</f>
        <v/>
      </c>
      <c r="N22" s="29" t="str">
        <f>IF(COUNTIFS(JournalActions[Joueur],$B22,JournalActions[Action],ACT_GRATTAGE_NS,JournalActions[Mi-temps],N$7)=0,"",COUNTIFS(JournalActions[Joueur],$B22,JournalActions[Action],ACT_GRATTAGE_NS,JournalActions[Mi-temps],N$7))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 t="str">
        <f>IF(COUNTIFS(JournalActions[Joueur],$B22,JournalActions[Action],$S$6,JournalActions[Mi-temps],S$7)=0,"",COUNTIFS(JournalActions[Joueur],$B22,JournalActions[Action],$S$6,JournalActions[Mi-temps],S$7))</f>
        <v/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LOUREIRO LABAZUY Antonio</v>
      </c>
      <c r="C23" s="28" t="str">
        <f>IF(COUNTIFS(JournalActions[Joueur],$B23,JournalActions[Action],$C$6,JournalActions[Mi-temps],C$7)=0,"",COUNTIFS(JournalActions[Joueur],$B23,JournalActions[Action],$C$6,JournalActions[Mi-temps],C$7))</f>
        <v/>
      </c>
      <c r="D23" s="29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IF(COUNTIFS(JournalActions[Joueur],$B23,JournalActions[Action],ACT_GRATTAGE_NS,JournalActions[Mi-temps],M$7)=0,"",COUNTIFS(JournalActions[Joueur],$B23,JournalActions[Action],ACT_GRATTAGE_NS,JournalActions[Mi-temps],M$7))</f>
        <v/>
      </c>
      <c r="N23" s="29" t="str">
        <f>IF(COUNTIFS(JournalActions[Joueur],$B23,JournalActions[Action],ACT_GRATTAGE_NS,JournalActions[Mi-temps],N$7)=0,"",COUNTIFS(JournalActions[Joueur],$B23,JournalActions[Action],ACT_GRATTAGE_NS,JournalActions[Mi-temps],N$7))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 t="str">
        <f>IF(COUNTIFS(JournalActions[Joueur],$B23,JournalActions[Action],$Q$6,JournalActions[Mi-temps],Q$7)=0,"",COUNTIFS(JournalActions[Joueur],$B23,JournalActions[Action],$Q$6,JournalActions[Mi-temps],Q$7))</f>
        <v/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MOUDENS Alexis</v>
      </c>
      <c r="C24" s="28" t="str">
        <f>IF(COUNTIFS(JournalActions[Joueur],$B24,JournalActions[Action],$C$6,JournalActions[Mi-temps],C$7)=0,"",COUNTIFS(JournalActions[Joueur],$B24,JournalActions[Action],$C$6,JournalActions[Mi-temps],C$7))</f>
        <v/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IF(COUNTIFS(JournalActions[Joueur],$B24,JournalActions[Action],ACT_GRATTAGE_NS,JournalActions[Mi-temps],M$7)=0,"",COUNTIFS(JournalActions[Joueur],$B24,JournalActions[Action],ACT_GRATTAGE_NS,JournalActions[Mi-temps],M$7))</f>
        <v/>
      </c>
      <c r="N24" s="29" t="str">
        <f>IF(COUNTIFS(JournalActions[Joueur],$B24,JournalActions[Action],ACT_GRATTAGE_NS,JournalActions[Mi-temps],N$7)=0,"",COUNTIFS(JournalActions[Joueur],$B24,JournalActions[Action],ACT_GRATTAGE_NS,JournalActions[Mi-temps],N$7))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MULLIER Victor</v>
      </c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IF(COUNTIFS(JournalActions[Joueur],$B25,JournalActions[Action],ACT_GRATTAGE_NS,JournalActions[Mi-temps],M$7)=0,"",COUNTIFS(JournalActions[Joueur],$B25,JournalActions[Action],ACT_GRATTAGE_NS,JournalActions[Mi-temps],M$7))</f>
        <v/>
      </c>
      <c r="N25" s="29" t="str">
        <f>IF(COUNTIFS(JournalActions[Joueur],$B25,JournalActions[Action],ACT_GRATTAGE_NS,JournalActions[Mi-temps],N$7)=0,"",COUNTIFS(JournalActions[Joueur],$B25,JournalActions[Action],ACT_GRATTAGE_NS,JournalActions[Mi-temps],N$7))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RICHIARDONNE Gregory</v>
      </c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IF(COUNTIFS(JournalActions[Joueur],$B26,JournalActions[Action],ACT_GRATTAGE_NS,JournalActions[Mi-temps],M$7)=0,"",COUNTIFS(JournalActions[Joueur],$B26,JournalActions[Action],ACT_GRATTAGE_NS,JournalActions[Mi-temps],M$7))</f>
        <v/>
      </c>
      <c r="N26" s="29" t="str">
        <f>IF(COUNTIFS(JournalActions[Joueur],$B26,JournalActions[Action],ACT_GRATTAGE_NS,JournalActions[Mi-temps],N$7)=0,"",COUNTIFS(JournalActions[Joueur],$B26,JournalActions[Action],ACT_GRATTAGE_NS,JournalActions[Mi-temps],N$7))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SALLES Fabien</v>
      </c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IF(COUNTIFS(JournalActions[Joueur],$B27,JournalActions[Action],ACT_GRATTAGE_NS,JournalActions[Mi-temps],M$7)=0,"",COUNTIFS(JournalActions[Joueur],$B27,JournalActions[Action],ACT_GRATTAGE_NS,JournalActions[Mi-temps],M$7))</f>
        <v/>
      </c>
      <c r="N27" s="29" t="str">
        <f>IF(COUNTIFS(JournalActions[Joueur],$B27,JournalActions[Action],ACT_GRATTAGE_NS,JournalActions[Mi-temps],N$7)=0,"",COUNTIFS(JournalActions[Joueur],$B27,JournalActions[Action],ACT_GRATTAGE_NS,JournalActions[Mi-temps],N$7))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 t="str">
        <v>SOUVILLE Quentin</v>
      </c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IF(COUNTIFS(JournalActions[Joueur],$B28,JournalActions[Action],ACT_GRATTAGE_NS,JournalActions[Mi-temps],M$7)=0,"",COUNTIFS(JournalActions[Joueur],$B28,JournalActions[Action],ACT_GRATTAGE_NS,JournalActions[Mi-temps],M$7))</f>
        <v/>
      </c>
      <c r="N28" s="29" t="str">
        <f>IF(COUNTIFS(JournalActions[Joueur],$B28,JournalActions[Action],ACT_GRATTAGE_NS,JournalActions[Mi-temps],N$7)=0,"",COUNTIFS(JournalActions[Joueur],$B28,JournalActions[Action],ACT_GRATTAGE_NS,JournalActions[Mi-temps],N$7))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 t="str">
        <v>STEFANI Titouan</v>
      </c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IF(COUNTIFS(JournalActions[Joueur],$B29,JournalActions[Action],ACT_GRATTAGE_NS,JournalActions[Mi-temps],M$7)=0,"",COUNTIFS(JournalActions[Joueur],$B29,JournalActions[Action],ACT_GRATTAGE_NS,JournalActions[Mi-temps],M$7))</f>
        <v/>
      </c>
      <c r="N29" s="29" t="str">
        <f>IF(COUNTIFS(JournalActions[Joueur],$B29,JournalActions[Action],ACT_GRATTAGE_NS,JournalActions[Mi-temps],N$7)=0,"",COUNTIFS(JournalActions[Joueur],$B29,JournalActions[Action],ACT_GRATTAGE_NS,JournalActions[Mi-temps],N$7))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153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IF(COUNTIFS(JournalActions[Joueur],$B30,JournalActions[Action],ACT_GRATTAGE_NS,JournalActions[Mi-temps],M$7)=0,"",COUNTIFS(JournalActions[Joueur],$B30,JournalActions[Action],ACT_GRATTAGE_NS,JournalActions[Mi-temps],M$7))</f>
        <v/>
      </c>
      <c r="N30" s="29" t="str">
        <f>IF(COUNTIFS(JournalActions[Joueur],$B30,JournalActions[Action],ACT_GRATTAGE_NS,JournalActions[Mi-temps],N$7)=0,"",COUNTIFS(JournalActions[Joueur],$B30,JournalActions[Action],ACT_GRATTAGE_NS,JournalActions[Mi-temps],N$7))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6" t="s">
        <v>169</v>
      </c>
      <c r="C31" s="28" t="str">
        <f>IF(COUNTIFS(JournalActions[Joueur],$B31,JournalActions[Action],$C$6,JournalActions[Mi-temps],C$7)=0,"",COUNTIFS(JournalActions[Joueur],$B31,JournalActions[Action],$C$6,JournalActions[Mi-temps],C$7))</f>
        <v/>
      </c>
      <c r="D31" s="29" t="str">
        <f>IF(COUNTIFS(JournalActions[Joueur],$B31,JournalActions[Action],$C$6,JournalActions[Mi-temps],D$7)=0,"",COUNTIFS(JournalActions[Joueur],$B31,JournalActions[Action],$C$6,JournalActions[Mi-temps],D$7))</f>
        <v/>
      </c>
      <c r="E31" t="str">
        <f>IF(COUNTIFS(JournalActions[Joueur],$B31,JournalActions[Action],$E$6,JournalActions[Mi-temps],E$7)=0,"",COUNTIFS(JournalActions[Joueur],$B31,JournalActions[Action],$E$6,JournalActions[Mi-temps],E$7))</f>
        <v/>
      </c>
      <c r="F31" t="str">
        <f>IF(COUNTIFS(JournalActions[Joueur],$B31,JournalActions[Action],$E$6,JournalActions[Mi-temps],F$7)=0,"",COUNTIFS(JournalActions[Joueur],$B31,JournalActions[Action],$E$6,JournalActions[Mi-temps],F$7))</f>
        <v/>
      </c>
      <c r="G31" s="28" t="str">
        <f>IF(COUNTIFS(JournalActions[Joueur],$B31,JournalActions[Action],$G$6,JournalActions[Mi-temps],G$7)=0,"",COUNTIFS(JournalActions[Joueur],$B31,JournalActions[Action],$G$6,JournalActions[Mi-temps],G$7))</f>
        <v/>
      </c>
      <c r="H31" s="29" t="str">
        <f>IF(COUNTIFS(JournalActions[Joueur],$B31,JournalActions[Action],$G$6,JournalActions[Mi-temps],H$7)=0,"",COUNTIFS(JournalActions[Joueur],$B31,JournalActions[Action],$G$6,JournalActions[Mi-temps],H$7))</f>
        <v/>
      </c>
      <c r="I31" t="str">
        <f>IF(COUNTIFS(JournalActions[Joueur],$B31,JournalActions[Action],$I$6,JournalActions[Mi-temps],I$7)=0,"",COUNTIFS(JournalActions[Joueur],$B31,JournalActions[Action],$I$6,JournalActions[Mi-temps],I$7))</f>
        <v/>
      </c>
      <c r="J31" t="str">
        <f>IF(COUNTIFS(JournalActions[Joueur],$B31,JournalActions[Action],$I$6,JournalActions[Mi-temps],J$7)=0,"",COUNTIFS(JournalActions[Joueur],$B31,JournalActions[Action],$I$6,JournalActions[Mi-temps],J$7))</f>
        <v/>
      </c>
      <c r="K31" s="28" t="str">
        <f>IF(COUNTIFS(JournalActions[Joueur],$B31,JournalActions[Action],$K$6,JournalActions[Mi-temps],K$7)=0,"",COUNTIFS(JournalActions[Joueur],$B31,JournalActions[Action],$K$6,JournalActions[Mi-temps],K$7))</f>
        <v/>
      </c>
      <c r="L31" t="str">
        <f>IF(COUNTIFS(JournalActions[Joueur],$B31,JournalActions[Action],$K$6,JournalActions[Mi-temps],L$7)=0,"",COUNTIFS(JournalActions[Joueur],$B31,JournalActions[Action],$K$6,JournalActions[Mi-temps],L$7))</f>
        <v/>
      </c>
      <c r="M31" s="28" t="str">
        <f>IF(COUNTIFS(JournalActions[Joueur],$B31,JournalActions[Action],ACT_GRATTAGE_NS,JournalActions[Mi-temps],M$7)=0,"",COUNTIFS(JournalActions[Joueur],$B31,JournalActions[Action],ACT_GRATTAGE_NS,JournalActions[Mi-temps],M$7))</f>
        <v/>
      </c>
      <c r="N31" s="29" t="str">
        <f>IF(COUNTIFS(JournalActions[Joueur],$B31,JournalActions[Action],ACT_GRATTAGE_NS,JournalActions[Mi-temps],N$7)=0,"",COUNTIFS(JournalActions[Joueur],$B31,JournalActions[Action],ACT_GRATTAGE_NS,JournalActions[Mi-temps],N$7))</f>
        <v/>
      </c>
      <c r="O31" s="28" t="str">
        <f>IF(COUNTIFS(JournalActions[Joueur],$B31,JournalActions[Action],$O$6,JournalActions[Mi-temps],O$7)=0,"",COUNTIFS(JournalActions[Joueur],$B31,JournalActions[Action],$O$6,JournalActions[Mi-temps],O$7))</f>
        <v/>
      </c>
      <c r="P31" s="29" t="str">
        <f>IF(COUNTIFS(JournalActions[Joueur],$B31,JournalActions[Action],$O$6,JournalActions[Mi-temps],P$7)=0,"",COUNTIFS(JournalActions[Joueur],$B31,JournalActions[Action],$O$6,JournalActions[Mi-temps],P$7))</f>
        <v/>
      </c>
      <c r="Q31" s="28" t="str">
        <f>IF(COUNTIFS(JournalActions[Joueur],$B31,JournalActions[Action],$Q$6,JournalActions[Mi-temps],Q$7)=0,"",COUNTIFS(JournalActions[Joueur],$B31,JournalActions[Action],$Q$6,JournalActions[Mi-temps],Q$7))</f>
        <v/>
      </c>
      <c r="R31" s="29" t="str">
        <f>IF(COUNTIFS(JournalActions[Joueur],$B31,JournalActions[Action],$Q$6,JournalActions[Mi-temps],R$7)=0,"",COUNTIFS(JournalActions[Joueur],$B31,JournalActions[Action],$Q$6,JournalActions[Mi-temps],R$7))</f>
        <v/>
      </c>
      <c r="S31" s="28" t="str">
        <f>IF(COUNTIFS(JournalActions[Joueur],$B31,JournalActions[Action],$S$6,JournalActions[Mi-temps],S$7)=0,"",COUNTIFS(JournalActions[Joueur],$B31,JournalActions[Action],$S$6,JournalActions[Mi-temps],S$7))</f>
        <v/>
      </c>
      <c r="T31" s="29" t="str">
        <f>IF(COUNTIFS(JournalActions[Joueur],$B31,JournalActions[Action],$S$6,JournalActions[Mi-temps],T$7)=0,"",COUNTIFS(JournalActions[Joueur],$B31,JournalActions[Action],$S$6,JournalActions[Mi-temps],T$7))</f>
        <v/>
      </c>
      <c r="U31" s="68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8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8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8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8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8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>
      <c r="B32" s="26" t="s">
        <v>42</v>
      </c>
      <c r="C32" s="28" t="str">
        <f>IF(COUNTIFS(JournalActions[Joueur],$B32,JournalActions[Action],$C$6,JournalActions[Mi-temps],C$7)=0,"",COUNTIFS(JournalActions[Joueur],$B32,JournalActions[Action],$C$6,JournalActions[Mi-temps],C$7))</f>
        <v/>
      </c>
      <c r="D32" s="29" t="str">
        <f>IF(COUNTIFS(JournalActions[Joueur],$B32,JournalActions[Action],$C$6,JournalActions[Mi-temps],D$7)=0,"",COUNTIFS(JournalActions[Joueur],$B32,JournalActions[Action],$C$6,JournalActions[Mi-temps],D$7))</f>
        <v/>
      </c>
      <c r="E32" t="str">
        <f>IF(COUNTIFS(JournalActions[Joueur],$B32,JournalActions[Action],$E$6,JournalActions[Mi-temps],E$7)=0,"",COUNTIFS(JournalActions[Joueur],$B32,JournalActions[Action],$E$6,JournalActions[Mi-temps],E$7))</f>
        <v/>
      </c>
      <c r="F32" t="str">
        <f>IF(COUNTIFS(JournalActions[Joueur],$B32,JournalActions[Action],$E$6,JournalActions[Mi-temps],F$7)=0,"",COUNTIFS(JournalActions[Joueur],$B32,JournalActions[Action],$E$6,JournalActions[Mi-temps],F$7))</f>
        <v/>
      </c>
      <c r="G32" s="28" t="str">
        <f>IF(COUNTIFS(JournalActions[Joueur],$B32,JournalActions[Action],$G$6,JournalActions[Mi-temps],G$7)=0,"",COUNTIFS(JournalActions[Joueur],$B32,JournalActions[Action],$G$6,JournalActions[Mi-temps],G$7))</f>
        <v/>
      </c>
      <c r="H32" s="29" t="str">
        <f>IF(COUNTIFS(JournalActions[Joueur],$B32,JournalActions[Action],$G$6,JournalActions[Mi-temps],H$7)=0,"",COUNTIFS(JournalActions[Joueur],$B32,JournalActions[Action],$G$6,JournalActions[Mi-temps],H$7))</f>
        <v/>
      </c>
      <c r="I32" t="str">
        <f>IF(COUNTIFS(JournalActions[Joueur],$B32,JournalActions[Action],$I$6,JournalActions[Mi-temps],I$7)=0,"",COUNTIFS(JournalActions[Joueur],$B32,JournalActions[Action],$I$6,JournalActions[Mi-temps],I$7))</f>
        <v/>
      </c>
      <c r="J32" t="str">
        <f>IF(COUNTIFS(JournalActions[Joueur],$B32,JournalActions[Action],$I$6,JournalActions[Mi-temps],J$7)=0,"",COUNTIFS(JournalActions[Joueur],$B32,JournalActions[Action],$I$6,JournalActions[Mi-temps],J$7))</f>
        <v/>
      </c>
      <c r="K32" s="28" t="str">
        <f>IF(COUNTIFS(JournalActions[Joueur],$B32,JournalActions[Action],$K$6,JournalActions[Mi-temps],K$7)=0,"",COUNTIFS(JournalActions[Joueur],$B32,JournalActions[Action],$K$6,JournalActions[Mi-temps],K$7))</f>
        <v/>
      </c>
      <c r="L32" t="str">
        <f>IF(COUNTIFS(JournalActions[Joueur],$B32,JournalActions[Action],$K$6,JournalActions[Mi-temps],L$7)=0,"",COUNTIFS(JournalActions[Joueur],$B32,JournalActions[Action],$K$6,JournalActions[Mi-temps],L$7))</f>
        <v/>
      </c>
      <c r="M32" s="28" t="str">
        <f>IF(COUNTIFS(JournalActions[Joueur],$B32,JournalActions[Action],ACT_GRATTAGE_NS,JournalActions[Mi-temps],M$7)=0,"",COUNTIFS(JournalActions[Joueur],$B32,JournalActions[Action],ACT_GRATTAGE_NS,JournalActions[Mi-temps],M$7))</f>
        <v/>
      </c>
      <c r="N32" s="29" t="str">
        <f>IF(COUNTIFS(JournalActions[Joueur],$B32,JournalActions[Action],ACT_GRATTAGE_NS,JournalActions[Mi-temps],N$7)=0,"",COUNTIFS(JournalActions[Joueur],$B32,JournalActions[Action],ACT_GRATTAGE_NS,JournalActions[Mi-temps],N$7))</f>
        <v/>
      </c>
      <c r="O32" s="28" t="str">
        <f>IF(COUNTIFS(JournalActions[Joueur],$B32,JournalActions[Action],$O$6,JournalActions[Mi-temps],O$7)=0,"",COUNTIFS(JournalActions[Joueur],$B32,JournalActions[Action],$O$6,JournalActions[Mi-temps],O$7))</f>
        <v/>
      </c>
      <c r="P32" s="29" t="str">
        <f>IF(COUNTIFS(JournalActions[Joueur],$B32,JournalActions[Action],$O$6,JournalActions[Mi-temps],P$7)=0,"",COUNTIFS(JournalActions[Joueur],$B32,JournalActions[Action],$O$6,JournalActions[Mi-temps],P$7))</f>
        <v/>
      </c>
      <c r="Q32" s="28" t="str">
        <f>IF(COUNTIFS(JournalActions[Joueur],$B32,JournalActions[Action],$Q$6,JournalActions[Mi-temps],Q$7)=0,"",COUNTIFS(JournalActions[Joueur],$B32,JournalActions[Action],$Q$6,JournalActions[Mi-temps],Q$7))</f>
        <v/>
      </c>
      <c r="R32" s="29" t="str">
        <f>IF(COUNTIFS(JournalActions[Joueur],$B32,JournalActions[Action],$Q$6,JournalActions[Mi-temps],R$7)=0,"",COUNTIFS(JournalActions[Joueur],$B32,JournalActions[Action],$Q$6,JournalActions[Mi-temps],R$7))</f>
        <v/>
      </c>
      <c r="S32" s="28" t="str">
        <f>IF(COUNTIFS(JournalActions[Joueur],$B32,JournalActions[Action],$S$6,JournalActions[Mi-temps],S$7)=0,"",COUNTIFS(JournalActions[Joueur],$B32,JournalActions[Action],$S$6,JournalActions[Mi-temps],S$7))</f>
        <v/>
      </c>
      <c r="T32" s="29" t="str">
        <f>IF(COUNTIFS(JournalActions[Joueur],$B32,JournalActions[Action],$S$6,JournalActions[Mi-temps],T$7)=0,"",COUNTIFS(JournalActions[Joueur],$B32,JournalActions[Action],$S$6,JournalActions[Mi-temps],T$7))</f>
        <v/>
      </c>
      <c r="U32" s="68" t="str">
        <f>IF(COUNTIFS(JournalActions[Joueur],$B32,JournalActions[Action],ACT_PEN_CONTRE_NOUS,JournalActions[Motif penalite],U$7)=0,"",COUNTIFS(JournalActions[Joueur],$B32,JournalActions[Action],ACT_PEN_CONTRE_NOUS,JournalActions[Motif penalite],U$7))</f>
        <v/>
      </c>
      <c r="V32" s="68" t="str">
        <f>IF(COUNTIFS(JournalActions[[Joueur]:[Joueur]],$B32,JournalActions[[Action]:[Action]],ACT_PEN_CONTRE_NOUS,JournalActions[[Motif penalite]:[Motif penalite]],ACT_PEN_HORS_JEU)=0,"",COUNTIFS(JournalActions[[Joueur]:[Joueur]],$B32,JournalActions[[Action]:[Action]],ACT_PEN_CONTRE_NOUS,JournalActions[[Motif penalite]:[Motif penalite]],ACT_PEN_HORS_JEU))</f>
        <v/>
      </c>
      <c r="W32" s="68" t="str">
        <f>IF(COUNTIFS(JournalActions[[Joueur]:[Joueur]],$B32,JournalActions[[Action]:[Action]],ACT_PEN_CONTRE_NOUS,JournalActions[[Motif penalite]:[Motif penalite]],ACT_PEN_PL_A_2)=0,"",COUNTIFS(JournalActions[[Joueur]:[Joueur]],$B32,JournalActions[[Action]:[Action]],ACT_PEN_CONTRE_NOUS,JournalActions[[Motif penalite]:[Motif penalite]],ACT_PEN_PL_A_2))</f>
        <v/>
      </c>
      <c r="X32" s="68" t="str">
        <f>IF(COUNTIFS(JournalActions[[Joueur]:[Joueur]],$B32,JournalActions[[Action]:[Action]],ACT_PEN_CONTRE_NOUS,JournalActions[[Motif penalite]:[Motif penalite]],ACT_PEN_PL_HAUT)=0,"",COUNTIFS(JournalActions[[Joueur]:[Joueur]],$B32,JournalActions[[Action]:[Action]],ACT_PEN_CONTRE_NOUS,JournalActions[[Motif penalite]:[Motif penalite]],ACT_PEN_PL_HAUT))</f>
        <v/>
      </c>
      <c r="Y32" s="68" t="str">
        <f>IF(COUNTIFS(JournalActions[[Joueur]:[Joueur]],$B32,JournalActions[[Action]:[Action]],ACT_PEN_CONTRE_NOUS,JournalActions[[Motif penalite]:[Motif penalite]],ACT_PEN_RUCK)=0,"",COUNTIFS(JournalActions[[Joueur]:[Joueur]],$B32,JournalActions[[Action]:[Action]],ACT_PEN_CONTRE_NOUS,JournalActions[[Motif penalite]:[Motif penalite]],ACT_PEN_RUCK))</f>
        <v/>
      </c>
      <c r="Z32" s="68" t="str">
        <f>IF(COUNTIFS(JournalActions[[Joueur]:[Joueur]],$B32,JournalActions[[Action]:[Action]],ACT_PEN_CONTRE_NOUS,JournalActions[[Motif penalite]:[Motif penalite]],"?")=0,"",COUNTIFS(JournalActions[[Joueur]:[Joueur]],$B32,JournalActions[[Action]:[Action]],ACT_PEN_CONTRE_NOUS,JournalActions[[Motif penalite]:[Motif penalite]],"?"))</f>
        <v/>
      </c>
    </row>
    <row r="33" spans="2:33">
      <c r="B33" s="27" t="s">
        <v>32</v>
      </c>
      <c r="C33" s="32" t="str">
        <f>IF(COUNTIFS(JournalActions[Joueur],$B33,JournalActions[Action],$C$6,JournalActions[Mi-temps],C$7)=0,"",COUNTIFS(JournalActions[Joueur],$B33,JournalActions[Action],$C$6,JournalActions[Mi-temps],C$7))</f>
        <v/>
      </c>
      <c r="D33" s="31" t="str">
        <f>IF(COUNTIFS(JournalActions[Joueur],$B33,JournalActions[Action],$C$6,JournalActions[Mi-temps],D$7)=0,"",COUNTIFS(JournalActions[Joueur],$B33,JournalActions[Action],$C$6,JournalActions[Mi-temps],D$7))</f>
        <v/>
      </c>
      <c r="E33" s="30" t="str">
        <f>IF(COUNTIFS(JournalActions[Joueur],$B33,JournalActions[Action],$E$6,JournalActions[Mi-temps],E$7)=0,"",COUNTIFS(JournalActions[Joueur],$B33,JournalActions[Action],$E$6,JournalActions[Mi-temps],E$7))</f>
        <v/>
      </c>
      <c r="F33" s="30" t="str">
        <f>IF(COUNTIFS(JournalActions[Joueur],$B33,JournalActions[Action],$E$6,JournalActions[Mi-temps],F$7)=0,"",COUNTIFS(JournalActions[Joueur],$B33,JournalActions[Action],$E$6,JournalActions[Mi-temps],F$7))</f>
        <v/>
      </c>
      <c r="G33" s="32" t="str">
        <f>IF(COUNTIFS(JournalActions[Joueur],$B33,JournalActions[Action],$G$6,JournalActions[Mi-temps],G$7)=0,"",COUNTIFS(JournalActions[Joueur],$B33,JournalActions[Action],$G$6,JournalActions[Mi-temps],G$7))</f>
        <v/>
      </c>
      <c r="H33" s="31" t="str">
        <f>IF(COUNTIFS(JournalActions[Joueur],$B33,JournalActions[Action],$G$6,JournalActions[Mi-temps],H$7)=0,"",COUNTIFS(JournalActions[Joueur],$B33,JournalActions[Action],$G$6,JournalActions[Mi-temps],H$7))</f>
        <v/>
      </c>
      <c r="I33" s="30" t="str">
        <f>IF(COUNTIFS(JournalActions[Joueur],$B33,JournalActions[Action],$I$6,JournalActions[Mi-temps],I$7)=0,"",COUNTIFS(JournalActions[Joueur],$B33,JournalActions[Action],$I$6,JournalActions[Mi-temps],I$7))</f>
        <v/>
      </c>
      <c r="J33" s="30" t="str">
        <f>IF(COUNTIFS(JournalActions[Joueur],$B33,JournalActions[Action],$I$6,JournalActions[Mi-temps],J$7)=0,"",COUNTIFS(JournalActions[Joueur],$B33,JournalActions[Action],$I$6,JournalActions[Mi-temps],J$7))</f>
        <v/>
      </c>
      <c r="K33" s="32" t="str">
        <f>IF(COUNTIFS(JournalActions[Joueur],$B33,JournalActions[Action],$K$6,JournalActions[Mi-temps],K$7)=0,"",COUNTIFS(JournalActions[Joueur],$B33,JournalActions[Action],$K$6,JournalActions[Mi-temps],K$7))</f>
        <v/>
      </c>
      <c r="L33" s="30" t="str">
        <f>IF(COUNTIFS(JournalActions[Joueur],$B33,JournalActions[Action],$K$6,JournalActions[Mi-temps],L$7)=0,"",COUNTIFS(JournalActions[Joueur],$B33,JournalActions[Action],$K$6,JournalActions[Mi-temps],L$7))</f>
        <v/>
      </c>
      <c r="M33" s="32" t="str">
        <f>IF(COUNTIFS(JournalActions[Joueur],$B33,JournalActions[Action],ACT_GRATTAGE_NS,JournalActions[Mi-temps],M$7)=0,"",COUNTIFS(JournalActions[Joueur],$B33,JournalActions[Action],ACT_GRATTAGE_NS,JournalActions[Mi-temps],M$7))</f>
        <v/>
      </c>
      <c r="N33" s="31" t="str">
        <f>IF(COUNTIFS(JournalActions[Joueur],$B33,JournalActions[Action],ACT_GRATTAGE_NS,JournalActions[Mi-temps],N$7)=0,"",COUNTIFS(JournalActions[Joueur],$B33,JournalActions[Action],ACT_GRATTAGE_NS,JournalActions[Mi-temps],N$7))</f>
        <v/>
      </c>
      <c r="O33" s="32" t="str">
        <f>IF(COUNTIFS(JournalActions[Joueur],$B33,JournalActions[Action],$O$6,JournalActions[Mi-temps],O$7)=0,"",COUNTIFS(JournalActions[Joueur],$B33,JournalActions[Action],$O$6,JournalActions[Mi-temps],O$7))</f>
        <v/>
      </c>
      <c r="P33" s="31" t="str">
        <f>IF(COUNTIFS(JournalActions[Joueur],$B33,JournalActions[Action],$O$6,JournalActions[Mi-temps],P$7)=0,"",COUNTIFS(JournalActions[Joueur],$B33,JournalActions[Action],$O$6,JournalActions[Mi-temps],P$7))</f>
        <v/>
      </c>
      <c r="Q33" s="32" t="str">
        <f>IF(COUNTIFS(JournalActions[Joueur],$B33,JournalActions[Action],$Q$6,JournalActions[Mi-temps],Q$7)=0,"",COUNTIFS(JournalActions[Joueur],$B33,JournalActions[Action],$Q$6,JournalActions[Mi-temps],Q$7))</f>
        <v/>
      </c>
      <c r="R33" s="31" t="str">
        <f>IF(COUNTIFS(JournalActions[Joueur],$B33,JournalActions[Action],$Q$6,JournalActions[Mi-temps],R$7)=0,"",COUNTIFS(JournalActions[Joueur],$B33,JournalActions[Action],$Q$6,JournalActions[Mi-temps],R$7))</f>
        <v/>
      </c>
      <c r="S33" s="32" t="str">
        <f>IF(COUNTIFS(JournalActions[Joueur],$B33,JournalActions[Action],$S$6,JournalActions[Mi-temps],S$7)=0,"",COUNTIFS(JournalActions[Joueur],$B33,JournalActions[Action],$S$6,JournalActions[Mi-temps],S$7))</f>
        <v/>
      </c>
      <c r="T33" s="31" t="str">
        <f>IF(COUNTIFS(JournalActions[Joueur],$B33,JournalActions[Action],$S$6,JournalActions[Mi-temps],T$7)=0,"",COUNTIFS(JournalActions[Joueur],$B33,JournalActions[Action],$S$6,JournalActions[Mi-temps],T$7))</f>
        <v/>
      </c>
      <c r="U33" s="69" t="str">
        <f>IF(COUNTIFS(JournalActions[Joueur],$B33,JournalActions[Action],ACT_PEN_CONTRE_NOUS,JournalActions[Motif penalite],U$7)=0,"",COUNTIFS(JournalActions[Joueur],$B33,JournalActions[Action],ACT_PEN_CONTRE_NOUS,JournalActions[Motif penalite],U$7))</f>
        <v/>
      </c>
      <c r="V33" s="69" t="str">
        <f>IF(COUNTIFS(JournalActions[[Joueur]:[Joueur]],$B33,JournalActions[[Action]:[Action]],ACT_PEN_CONTRE_NOUS,JournalActions[[Motif penalite]:[Motif penalite]],ACT_PEN_HORS_JEU)=0,"",COUNTIFS(JournalActions[[Joueur]:[Joueur]],$B33,JournalActions[[Action]:[Action]],ACT_PEN_CONTRE_NOUS,JournalActions[[Motif penalite]:[Motif penalite]],ACT_PEN_HORS_JEU))</f>
        <v/>
      </c>
      <c r="W33" s="69" t="str">
        <f>IF(COUNTIFS(JournalActions[[Joueur]:[Joueur]],$B33,JournalActions[[Action]:[Action]],ACT_PEN_CONTRE_NOUS,JournalActions[[Motif penalite]:[Motif penalite]],ACT_PEN_PL_A_2)=0,"",COUNTIFS(JournalActions[[Joueur]:[Joueur]],$B33,JournalActions[[Action]:[Action]],ACT_PEN_CONTRE_NOUS,JournalActions[[Motif penalite]:[Motif penalite]],ACT_PEN_PL_A_2))</f>
        <v/>
      </c>
      <c r="X33" s="69" t="str">
        <f>IF(COUNTIFS(JournalActions[[Joueur]:[Joueur]],$B33,JournalActions[[Action]:[Action]],ACT_PEN_CONTRE_NOUS,JournalActions[[Motif penalite]:[Motif penalite]],ACT_PEN_PL_HAUT)=0,"",COUNTIFS(JournalActions[[Joueur]:[Joueur]],$B33,JournalActions[[Action]:[Action]],ACT_PEN_CONTRE_NOUS,JournalActions[[Motif penalite]:[Motif penalite]],ACT_PEN_PL_HAUT))</f>
        <v/>
      </c>
      <c r="Y33" s="69" t="str">
        <f>IF(COUNTIFS(JournalActions[[Joueur]:[Joueur]],$B33,JournalActions[[Action]:[Action]],ACT_PEN_CONTRE_NOUS,JournalActions[[Motif penalite]:[Motif penalite]],ACT_PEN_RUCK)=0,"",COUNTIFS(JournalActions[[Joueur]:[Joueur]],$B33,JournalActions[[Action]:[Action]],ACT_PEN_CONTRE_NOUS,JournalActions[[Motif penalite]:[Motif penalite]],ACT_PEN_RUCK))</f>
        <v/>
      </c>
      <c r="Z33" s="69" t="str">
        <f>IF(COUNTIFS(JournalActions[[Joueur]:[Joueur]],$B33,JournalActions[[Action]:[Action]],ACT_PEN_CONTRE_NOUS,JournalActions[[Motif penalite]:[Motif penalite]],"?")=0,"",COUNTIFS(JournalActions[[Joueur]:[Joueur]],$B33,JournalActions[[Action]:[Action]],ACT_PEN_CONTRE_NOUS,JournalActions[[Motif penalite]:[Motif penalite]],"?"))</f>
        <v/>
      </c>
    </row>
    <row r="34" spans="2:33" s="3" customFormat="1" ht="22" customHeight="1">
      <c r="B34" s="52" t="s">
        <v>176</v>
      </c>
      <c r="C34" s="53">
        <f>SUM(C8:C33)</f>
        <v>0</v>
      </c>
      <c r="D34" s="54">
        <f>SUM(D8:D33)</f>
        <v>0</v>
      </c>
      <c r="E34" s="53">
        <f t="shared" ref="D34:Z34" si="0">SUM(E8:E33)</f>
        <v>0</v>
      </c>
      <c r="F34" s="54">
        <f t="shared" si="0"/>
        <v>0</v>
      </c>
      <c r="G34" s="53">
        <f t="shared" si="0"/>
        <v>0</v>
      </c>
      <c r="H34" s="54">
        <f t="shared" si="0"/>
        <v>0</v>
      </c>
      <c r="I34" s="53">
        <f t="shared" si="0"/>
        <v>0</v>
      </c>
      <c r="J34" s="54">
        <f t="shared" si="0"/>
        <v>0</v>
      </c>
      <c r="K34" s="53">
        <f t="shared" si="0"/>
        <v>0</v>
      </c>
      <c r="L34" s="54">
        <f t="shared" si="0"/>
        <v>0</v>
      </c>
      <c r="M34" s="53">
        <f t="shared" si="0"/>
        <v>0</v>
      </c>
      <c r="N34" s="54">
        <f t="shared" si="0"/>
        <v>0</v>
      </c>
      <c r="O34" s="53">
        <f t="shared" ref="O34:P34" si="1">SUM(O8:O33)</f>
        <v>0</v>
      </c>
      <c r="P34" s="54">
        <f t="shared" si="1"/>
        <v>0</v>
      </c>
      <c r="Q34" s="53">
        <f t="shared" ref="Q34:T34" si="2">SUM(Q8:Q33)</f>
        <v>0</v>
      </c>
      <c r="R34" s="54">
        <f t="shared" si="2"/>
        <v>0</v>
      </c>
      <c r="S34" s="53">
        <f t="shared" si="2"/>
        <v>0</v>
      </c>
      <c r="T34" s="54">
        <f t="shared" si="2"/>
        <v>0</v>
      </c>
      <c r="U34" s="285">
        <f t="shared" si="0"/>
        <v>0</v>
      </c>
      <c r="V34" s="285">
        <f t="shared" si="0"/>
        <v>0</v>
      </c>
      <c r="W34" s="285">
        <f t="shared" si="0"/>
        <v>0</v>
      </c>
      <c r="X34" s="285">
        <f t="shared" si="0"/>
        <v>0</v>
      </c>
      <c r="Y34" s="285">
        <f t="shared" si="0"/>
        <v>0</v>
      </c>
      <c r="Z34" s="285">
        <f t="shared" si="0"/>
        <v>0</v>
      </c>
    </row>
    <row r="35" spans="2:33" s="41" customFormat="1" ht="25" customHeight="1">
      <c r="B35" s="55" t="s">
        <v>175</v>
      </c>
      <c r="C35" s="260">
        <f>C34+D34</f>
        <v>0</v>
      </c>
      <c r="D35" s="252"/>
      <c r="E35" s="251">
        <f t="shared" ref="E35" si="3">E34+F34</f>
        <v>0</v>
      </c>
      <c r="F35" s="251"/>
      <c r="G35" s="260">
        <f t="shared" ref="G35" si="4">G34+H34</f>
        <v>0</v>
      </c>
      <c r="H35" s="252"/>
      <c r="I35" s="260">
        <f>I34+J34</f>
        <v>0</v>
      </c>
      <c r="J35" s="252"/>
      <c r="K35" s="260">
        <f t="shared" ref="K35" si="5">K34+L34</f>
        <v>0</v>
      </c>
      <c r="L35" s="252"/>
      <c r="M35" s="251">
        <f t="shared" ref="M35" si="6">M34+N34</f>
        <v>0</v>
      </c>
      <c r="N35" s="252"/>
      <c r="O35" s="251">
        <f t="shared" ref="O35" si="7">O34+P34</f>
        <v>0</v>
      </c>
      <c r="P35" s="252"/>
      <c r="Q35" s="251">
        <f t="shared" ref="Q35" si="8">Q34+R34</f>
        <v>0</v>
      </c>
      <c r="R35" s="252"/>
      <c r="S35" s="251">
        <f t="shared" ref="S35" si="9">S34+T34</f>
        <v>0</v>
      </c>
      <c r="T35" s="252"/>
      <c r="U35" s="286"/>
      <c r="V35" s="286"/>
      <c r="W35" s="286"/>
      <c r="X35" s="286"/>
      <c r="Y35" s="286"/>
      <c r="Z35" s="286"/>
    </row>
    <row r="36" spans="2:33" s="3" customFormat="1"/>
    <row r="37" spans="2:33" s="3" customFormat="1"/>
    <row r="38" spans="2:33" ht="14">
      <c r="B38" s="56" t="s">
        <v>145</v>
      </c>
      <c r="C38" s="56" t="s">
        <v>210</v>
      </c>
      <c r="D38" s="106" t="s">
        <v>144</v>
      </c>
      <c r="E38" s="57" t="s">
        <v>473</v>
      </c>
      <c r="F38" s="3"/>
      <c r="G38" s="56" t="s">
        <v>620</v>
      </c>
      <c r="H38" s="149" t="s">
        <v>46</v>
      </c>
      <c r="I38" s="48" t="s">
        <v>44</v>
      </c>
      <c r="J38" s="3"/>
      <c r="K38" s="3"/>
      <c r="L38" s="255" t="s">
        <v>28</v>
      </c>
      <c r="M38" s="255" t="s">
        <v>147</v>
      </c>
      <c r="N38" s="249"/>
      <c r="O38" s="250"/>
      <c r="P38" s="250" t="s">
        <v>171</v>
      </c>
      <c r="Q38" s="3"/>
      <c r="R38" s="3"/>
      <c r="S38" s="3"/>
      <c r="T38" s="3"/>
      <c r="AE38"/>
      <c r="AF38"/>
      <c r="AG38"/>
    </row>
    <row r="39" spans="2:33" ht="14">
      <c r="B39" s="36" t="s">
        <v>142</v>
      </c>
      <c r="C39" s="36">
        <f>COUNTIFS(JournalActions[Action],ACT_TO_NS_G,JournalActions[Mi-temps],"MT1")</f>
        <v>0</v>
      </c>
      <c r="D39" s="104">
        <f>COUNTIFS(JournalActions[Action],ACT_TO_NS_P,JournalActions[Mi-temps],"MT1")</f>
        <v>0</v>
      </c>
      <c r="E39" s="37">
        <f>COUNTIFS(JournalActions[Action],ACT_TO_NS_PAS_DROIT,JournalActions[Mi-temps],"MT1")</f>
        <v>0</v>
      </c>
      <c r="F39" s="3"/>
      <c r="G39" s="36" t="s">
        <v>147</v>
      </c>
      <c r="H39" s="163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9" s="164">
        <f>5*COUNTIFS(JournalActions[Action],ACT_PTS_ESSAI,JournalActions[Possession],"Nous",JournalActions[Mi-temps],"MT2")
+2*COUNTIFS(JournalActions[Action],ACT_PTS_TRANSFO,JournalActions[Possession],"Nous",JournalActions[Mi-temps],"MT2")
+3*COUNTIFS(JournalActions[Action],ACT_PTS_PENALITE,JournalActions[Possession],"Nous",JournalActions[Mi-temps],"MT2")
+3*COUNTIFS(JournalActions[Action],ACT_PTS_DROP,JournalActions[Possession],"Nous",JournalActions[Mi-temps],"MT2")
+7*COUNTIFS(JournalActions[Action],ACT_PTS_ESSAI_PEN,JournalActions[Possession],"Nous",JournalActions[Mi-temps],"MT2")</f>
        <v>0</v>
      </c>
      <c r="J39" s="3"/>
      <c r="K39" s="3"/>
      <c r="L39" s="280"/>
      <c r="M39" s="70" t="s">
        <v>153</v>
      </c>
      <c r="N39" s="66" t="s">
        <v>170</v>
      </c>
      <c r="O39" s="71" t="s">
        <v>32</v>
      </c>
      <c r="P39" s="281"/>
      <c r="Q39" s="3"/>
      <c r="R39" s="3"/>
      <c r="S39" s="3"/>
      <c r="T39" s="3"/>
      <c r="AE39"/>
      <c r="AF39"/>
      <c r="AG39"/>
    </row>
    <row r="40" spans="2:33">
      <c r="B40" s="11" t="s">
        <v>172</v>
      </c>
      <c r="C40" s="11">
        <f>COUNTIFS(JournalActions[Action],ACT_TO_ADV_PERDUE,JournalActions[Mi-temps],"MT1")</f>
        <v>0</v>
      </c>
      <c r="D40" s="105">
        <f>COUNTIFS(JournalActions[Action],ACT_TO_ADV_VOLEE,JournalActions[Mi-temps],"MT1")</f>
        <v>0</v>
      </c>
      <c r="E40" s="12">
        <f>COUNTIFS(JournalActions[Action],ACT_TO_ADV_PAS_DROIT,JournalActions[Mi-temps],"MT1")</f>
        <v>0</v>
      </c>
      <c r="F40" s="3"/>
      <c r="G40" s="11" t="s">
        <v>148</v>
      </c>
      <c r="H40" s="1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40" s="12">
        <f>5*COUNTIFS(JournalActions[Action],ACT_PTS_ESSAI,JournalActions[Possession],"Adv",JournalActions[Mi-temps],"MT2")
+2*COUNTIFS(JournalActions[Action],ACT_PTS_TRANSFO,JournalActions[Possession],"Adv",JournalActions[Mi-temps],"MT2")
+3*COUNTIFS(JournalActions[Action],ACT_PTS_PENALITE,JournalActions[Possession],"Adv",JournalActions[Mi-temps],"MT2")
+3*COUNTIFS(JournalActions[Action],ACT_PTS_DROP,JournalActions[Possession],"Adv",JournalActions[Mi-temps],"MT2")
+7*COUNTIFS(JournalActions[Action],ACT_PTS_ESSAI_PEN,JournalActions[Possession],"Adv",JournalActions[Mi-temps],"MT2")</f>
        <v>0</v>
      </c>
      <c r="J40" s="3"/>
      <c r="K40" s="3"/>
      <c r="L40" s="33" t="s">
        <v>46</v>
      </c>
      <c r="M40" s="68">
        <f>COUNTIFS(JournalActions[Action],ACT_PEN_CONTRE_NOUS,JournalActions[Mi-temps],"MT1",JournalActions[Groupe fautif],"Avant*")</f>
        <v>0</v>
      </c>
      <c r="N40" s="29">
        <f>COUNTIFS(JournalActions[Action],ACT_PEN_CONTRE_NOUS,JournalActions[Mi-temps],"MT1",JournalActions[Groupe fautif],"Trois-quarts*")</f>
        <v>0</v>
      </c>
      <c r="O40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P40" s="34">
        <f>COUNTIFS(JournalActions[Action],ACT_PEN_CONTRE_ADV,JournalActions[Mi-temps],"MT1")</f>
        <v>0</v>
      </c>
      <c r="Q40" s="3"/>
      <c r="R40" s="3"/>
      <c r="S40" s="3"/>
      <c r="T40" s="3"/>
      <c r="AE40"/>
      <c r="AF40"/>
      <c r="AG40"/>
    </row>
    <row r="41" spans="2:33">
      <c r="B41" s="3"/>
      <c r="C41" s="3"/>
      <c r="D41" s="3"/>
      <c r="E41" s="3"/>
      <c r="F41" s="3"/>
      <c r="G41" s="3"/>
      <c r="H41" s="3"/>
      <c r="I41" s="3"/>
      <c r="J41" s="3"/>
      <c r="K41" s="3"/>
      <c r="L41" s="11" t="s">
        <v>44</v>
      </c>
      <c r="M41" s="62">
        <f>COUNTIFS(JournalActions[Action],ACT_PEN_CONTRE_NOUS,JournalActions[Mi-temps],"MT2",JournalActions[Groupe fautif],"Avant")</f>
        <v>0</v>
      </c>
      <c r="N41" s="12">
        <f>COUNTIFS(JournalActions[Action],ACT_PEN_CONTRE_NOUS,JournalActions[Mi-temps],"MT2",JournalActions[Groupe fautif],"Trois-quarts*")</f>
        <v>0</v>
      </c>
      <c r="O41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P41" s="12">
        <f>COUNTIFS(JournalActions[Action],ACT_PEN_CONTRE_ADV,JournalActions[Mi-temps],"MT2")</f>
        <v>0</v>
      </c>
      <c r="Q41" s="3"/>
      <c r="R41" s="3"/>
      <c r="S41" s="3"/>
      <c r="T41" s="3"/>
      <c r="AE41"/>
      <c r="AF41"/>
      <c r="AG41"/>
    </row>
    <row r="42" spans="2:33" ht="14">
      <c r="B42" s="56" t="s">
        <v>146</v>
      </c>
      <c r="C42" s="56" t="s">
        <v>210</v>
      </c>
      <c r="D42" s="106" t="s">
        <v>144</v>
      </c>
      <c r="E42" s="57" t="s">
        <v>473</v>
      </c>
      <c r="F42" s="3"/>
      <c r="G42" s="255" t="s">
        <v>149</v>
      </c>
      <c r="H42" s="250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</row>
    <row r="43" spans="2:33" ht="14">
      <c r="B43" s="36" t="s">
        <v>142</v>
      </c>
      <c r="C43" s="36">
        <f>COUNTIFS(JournalActions[Action],ACT_TO_NS_G,JournalActions[Mi-temps],"MT2")</f>
        <v>0</v>
      </c>
      <c r="D43" s="104">
        <f>COUNTIFS(JournalActions[Action],ACT_TO_NS_P,JournalActions[Mi-temps],"MT2")</f>
        <v>0</v>
      </c>
      <c r="E43" s="37">
        <f>COUNTIFS(JournalActions[Action],ACT_TO_NS_PAS_DROIT,JournalActions[Mi-temps],"MT2")</f>
        <v>0</v>
      </c>
      <c r="F43" s="3"/>
      <c r="G43" s="36" t="s">
        <v>147</v>
      </c>
      <c r="H43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3" s="3"/>
      <c r="J43" s="3"/>
      <c r="K43" s="3"/>
      <c r="L43" s="58" t="s">
        <v>0</v>
      </c>
      <c r="M43" s="59"/>
      <c r="N43" s="60" t="s">
        <v>147</v>
      </c>
      <c r="O43" s="48" t="s">
        <v>171</v>
      </c>
      <c r="P43" s="3"/>
      <c r="Q43" s="3"/>
      <c r="R43" s="3"/>
      <c r="S43" s="3"/>
      <c r="T43" s="3"/>
    </row>
    <row r="44" spans="2:33">
      <c r="B44" s="11" t="s">
        <v>172</v>
      </c>
      <c r="C44" s="11">
        <f>COUNTIFS(JournalActions[Action],ACT_TO_ADV_PERDUE,JournalActions[Mi-temps],"MT2")</f>
        <v>0</v>
      </c>
      <c r="D44" s="105">
        <f>COUNTIFS(JournalActions[Action],ACT_TO_ADV_VOLEE,JournalActions[Mi-temps],"MT2")</f>
        <v>0</v>
      </c>
      <c r="E44" s="12">
        <f>COUNTIFS(JournalActions[Action],ACT_TO_ADV_PAS_DROIT,JournalActions[Mi-temps],"MT2")</f>
        <v>0</v>
      </c>
      <c r="F44" s="3"/>
      <c r="G44" s="11" t="s">
        <v>148</v>
      </c>
      <c r="H44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4" s="3"/>
      <c r="J44" s="3"/>
      <c r="K44" s="3"/>
      <c r="L44" s="267" t="s">
        <v>1</v>
      </c>
      <c r="M44" s="268"/>
      <c r="N44" s="38">
        <f>COUNTIFS(JournalActions[Action],ACT_PEN_CONTRE_NOUS,JournalActions[Motif penalite],"Maul*")</f>
        <v>0</v>
      </c>
      <c r="O44" s="38">
        <f>COUNTIFS(JournalActions[Action],ACT_PEN_CONTRE_ADV,JournalActions[Motif penalite],"Maul*")</f>
        <v>0</v>
      </c>
      <c r="P44" s="3"/>
      <c r="Q44" s="3"/>
      <c r="R44" s="3"/>
      <c r="S44" s="3"/>
      <c r="T44" s="3"/>
    </row>
    <row r="45" spans="2:33">
      <c r="B45" s="3"/>
      <c r="C45" s="3"/>
      <c r="D45" s="3"/>
      <c r="E45" s="3"/>
      <c r="F45" s="3"/>
      <c r="G45" s="3"/>
      <c r="H45" s="3"/>
      <c r="I45" s="3"/>
      <c r="J45" s="3"/>
      <c r="K45" s="3"/>
      <c r="L45" s="265" t="s">
        <v>2</v>
      </c>
      <c r="M45" s="266"/>
      <c r="N45" s="13">
        <f>COUNTIFS(JournalActions[Action],ACT_PEN_CONTRE_NOUS,JournalActions[Motif penalite],"Ruck*")</f>
        <v>0</v>
      </c>
      <c r="O45" s="13">
        <f>COUNTIFS(JournalActions[Action],ACT_PEN_CONTRE_ADV,JournalActions[Motif penalite],"Ruck*")</f>
        <v>0</v>
      </c>
      <c r="P45" s="3"/>
      <c r="Q45" s="3"/>
      <c r="R45" s="3"/>
      <c r="S45" s="3"/>
      <c r="T45" s="3"/>
    </row>
    <row r="46" spans="2:33" ht="14">
      <c r="B46" s="56" t="s">
        <v>232</v>
      </c>
      <c r="C46" s="56" t="s">
        <v>210</v>
      </c>
      <c r="D46" s="57" t="s">
        <v>144</v>
      </c>
      <c r="E46" s="3"/>
      <c r="F46" s="3"/>
      <c r="G46" s="149" t="s">
        <v>574</v>
      </c>
      <c r="H46" s="153" t="s">
        <v>47</v>
      </c>
      <c r="I46" s="148" t="s">
        <v>575</v>
      </c>
      <c r="J46" s="155" t="s">
        <v>236</v>
      </c>
      <c r="K46" s="3"/>
      <c r="L46" s="267" t="s">
        <v>3</v>
      </c>
      <c r="M46" s="268"/>
      <c r="N46" s="38">
        <f>COUNTIFS(JournalActions[Action],ACT_PEN_CONTRE_NOUS,JournalActions[Motif penalite],"Hors-jeu")</f>
        <v>0</v>
      </c>
      <c r="O46" s="38">
        <f>COUNTIFS(JournalActions[Action],ACT_PEN_CONTRE_ADV,JournalActions[Motif penalite],"Hors-jeu")</f>
        <v>0</v>
      </c>
      <c r="P46" s="3"/>
      <c r="Q46" s="3"/>
      <c r="R46" s="3"/>
      <c r="S46" s="3"/>
      <c r="T46" s="3"/>
    </row>
    <row r="47" spans="2:33">
      <c r="B47" s="36" t="s">
        <v>142</v>
      </c>
      <c r="C47" s="36">
        <f>COUNTIFS(JournalActions[Action],ACT_ME_NS_G,JournalActions[Mi-temps],"MT1")</f>
        <v>0</v>
      </c>
      <c r="D47" s="37">
        <f>COUNTIFS(JournalActions[Action],ACT_ME_NS_P,JournalActions[Mi-temps],"MT1")</f>
        <v>0</v>
      </c>
      <c r="E47" s="3"/>
      <c r="F47" s="3"/>
      <c r="G47" s="36" t="s">
        <v>46</v>
      </c>
      <c r="H47" s="150">
        <v>0</v>
      </c>
      <c r="I47" s="77">
        <v>0</v>
      </c>
      <c r="J47" s="77">
        <v>0</v>
      </c>
      <c r="K47" s="3"/>
      <c r="L47" s="265" t="s">
        <v>4</v>
      </c>
      <c r="M47" s="266"/>
      <c r="N47" s="13">
        <f>COUNTIFS(JournalActions[Action],ACT_PEN_CONTRE_NOUS,JournalActions[Motif penalite],"Plaquage - à 2")</f>
        <v>0</v>
      </c>
      <c r="O47" s="13">
        <f>COUNTIFS(JournalActions[Action],ACT_PEN_CONTRE_ADV,JournalActions[Motif penalite],"Plaquage - à 2")</f>
        <v>0</v>
      </c>
      <c r="P47" s="3"/>
      <c r="Q47" s="3"/>
      <c r="R47" s="3"/>
      <c r="S47" s="3"/>
      <c r="T47" s="3"/>
    </row>
    <row r="48" spans="2:33">
      <c r="B48" s="11" t="s">
        <v>172</v>
      </c>
      <c r="C48" s="11">
        <f>COUNTIFS(JournalActions[Action],ACT_ME_ADV_P,JournalActions[Mi-temps],"MT1")</f>
        <v>0</v>
      </c>
      <c r="D48" s="12">
        <f>COUNTIFS(JournalActions[Action],ACT_ME_ADV_G,JournalActions[Mi-temps],"MT1")</f>
        <v>0</v>
      </c>
      <c r="E48" s="3"/>
      <c r="F48" s="3"/>
      <c r="G48" s="11" t="s">
        <v>44</v>
      </c>
      <c r="H48" s="151">
        <v>0</v>
      </c>
      <c r="I48" s="78">
        <v>0</v>
      </c>
      <c r="J48" s="78">
        <v>0</v>
      </c>
      <c r="K48" s="3"/>
      <c r="L48" s="267" t="s">
        <v>5</v>
      </c>
      <c r="M48" s="268"/>
      <c r="N48" s="38">
        <f>COUNTIFS(JournalActions[Action],ACT_PEN_CONTRE_NOUS,JournalActions[Motif penalite],"Plaquage - haut")</f>
        <v>0</v>
      </c>
      <c r="O48" s="38">
        <f>COUNTIFS(JournalActions[Action],ACT_PEN_CONTRE_ADV,JournalActions[Motif penalite],"Plaquage - haut")</f>
        <v>0</v>
      </c>
      <c r="P48" s="3"/>
      <c r="Q48" s="3"/>
      <c r="R48" s="3"/>
      <c r="S48" s="3"/>
      <c r="T48" s="3"/>
    </row>
    <row r="49" spans="2:20">
      <c r="B49" s="3"/>
      <c r="C49" s="3"/>
      <c r="D49" s="3"/>
      <c r="E49" s="3"/>
      <c r="F49" s="3"/>
      <c r="G49" s="154" t="s">
        <v>236</v>
      </c>
      <c r="H49" s="152">
        <v>0</v>
      </c>
      <c r="I49" s="79">
        <v>0</v>
      </c>
      <c r="J49" s="79">
        <v>0</v>
      </c>
      <c r="K49" s="3"/>
      <c r="L49" s="265" t="s">
        <v>167</v>
      </c>
      <c r="M49" s="266"/>
      <c r="N49" s="13">
        <f>COUNTIF(JournalActions[Action],ACT_PEN_CONTRE_NOUS)-SUM(N44:N48)</f>
        <v>0</v>
      </c>
      <c r="O49" s="13">
        <f>COUNTIF(JournalActions[Action],ACT_PEN_CONTRE_ADV)-SUM(O44:O48)</f>
        <v>0</v>
      </c>
      <c r="P49" s="3"/>
      <c r="Q49" s="3"/>
      <c r="R49" s="3"/>
      <c r="S49" s="3"/>
      <c r="T49" s="3"/>
    </row>
    <row r="50" spans="2:20" ht="14">
      <c r="B50" s="56" t="s">
        <v>233</v>
      </c>
      <c r="C50" s="56" t="s">
        <v>210</v>
      </c>
      <c r="D50" s="57" t="s">
        <v>144</v>
      </c>
      <c r="E50" s="3"/>
      <c r="F50" s="3"/>
      <c r="G50" s="3"/>
      <c r="H50" s="3"/>
      <c r="I50" s="3"/>
      <c r="J50" s="3"/>
      <c r="K50" s="3"/>
      <c r="L50" s="40" t="s">
        <v>6</v>
      </c>
      <c r="M50" s="3"/>
      <c r="N50" s="3"/>
      <c r="O50" s="3"/>
      <c r="P50" s="3"/>
      <c r="Q50" s="3"/>
      <c r="R50" s="3"/>
      <c r="S50" s="3"/>
      <c r="T50" s="3"/>
    </row>
    <row r="51" spans="2:20">
      <c r="B51" s="36" t="s">
        <v>142</v>
      </c>
      <c r="C51" s="36">
        <f>COUNTIFS(JournalActions[Action],ACT_ME_NS_G,JournalActions[Mi-temps],"MT2")</f>
        <v>0</v>
      </c>
      <c r="D51" s="37">
        <f>COUNTIFS(JournalActions[Action],ACT_ME_NS_P,JournalActions[Mi-temps],"MT2")</f>
        <v>0</v>
      </c>
      <c r="E51" s="3"/>
      <c r="F51" s="3"/>
      <c r="G51" s="3"/>
      <c r="H51" s="3"/>
      <c r="I51" s="3"/>
      <c r="J51" s="3"/>
      <c r="K51" s="3"/>
      <c r="L51" s="3"/>
      <c r="M51" s="39"/>
      <c r="N51" s="3"/>
      <c r="O51" s="3"/>
      <c r="P51" s="3"/>
      <c r="Q51" s="3"/>
      <c r="R51" s="3"/>
      <c r="S51" s="3"/>
      <c r="T51" s="3"/>
    </row>
    <row r="52" spans="2:20">
      <c r="B52" s="11" t="s">
        <v>172</v>
      </c>
      <c r="C52" s="11">
        <f>COUNTIFS(JournalActions[Action],ACT_ME_ADV_P,JournalActions[Mi-temps],"MT2")</f>
        <v>0</v>
      </c>
      <c r="D52" s="12">
        <f>COUNTIFS(JournalActions[Action],ACT_ME_ADV_G,JournalActions[Mi-temps],"MT2")</f>
        <v>0</v>
      </c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</row>
    <row r="53" spans="2:20"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</row>
    <row r="54" spans="2:20" s="3" customFormat="1"/>
    <row r="55" spans="2:20" s="3" customFormat="1"/>
    <row r="56" spans="2:20" s="3" customFormat="1"/>
    <row r="57" spans="2:20" s="3" customFormat="1"/>
    <row r="58" spans="2:20" s="3" customFormat="1" ht="13" customHeight="1">
      <c r="B58" s="243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A4 : RC Muret / MXV Première - Touches et possession</v>
      </c>
      <c r="C58" s="244"/>
      <c r="D58" s="244"/>
      <c r="E58" s="244"/>
      <c r="F58" s="244"/>
      <c r="G58" s="244"/>
      <c r="H58" s="244"/>
      <c r="I58" s="244"/>
      <c r="J58" s="244"/>
      <c r="K58" s="245"/>
      <c r="L58" s="124"/>
      <c r="M58" s="124"/>
      <c r="N58" s="124"/>
      <c r="O58" s="124"/>
      <c r="P58" s="124"/>
      <c r="Q58" s="124"/>
      <c r="R58" s="124"/>
      <c r="S58" s="124"/>
      <c r="T58" s="124"/>
    </row>
    <row r="59" spans="2:20" s="3" customFormat="1" ht="13" customHeight="1">
      <c r="B59" s="246"/>
      <c r="C59" s="247"/>
      <c r="D59" s="247"/>
      <c r="E59" s="247"/>
      <c r="F59" s="247"/>
      <c r="G59" s="247"/>
      <c r="H59" s="247"/>
      <c r="I59" s="247"/>
      <c r="J59" s="247"/>
      <c r="K59" s="248"/>
      <c r="L59" s="124"/>
      <c r="M59" s="124"/>
      <c r="N59" s="124"/>
      <c r="O59" s="124"/>
      <c r="P59" s="124"/>
      <c r="Q59" s="124"/>
      <c r="R59" s="124"/>
      <c r="S59" s="124"/>
      <c r="T59" s="124"/>
    </row>
    <row r="60" spans="2:20" s="3" customFormat="1" ht="14" thickBot="1"/>
    <row r="61" spans="2:20" s="3" customFormat="1">
      <c r="B61" s="269" t="s">
        <v>234</v>
      </c>
      <c r="C61" s="270"/>
      <c r="D61" s="270"/>
      <c r="E61" s="270"/>
      <c r="F61" s="270"/>
      <c r="G61" s="270"/>
      <c r="H61" s="270"/>
      <c r="I61" s="270"/>
      <c r="J61" s="270"/>
      <c r="K61" s="271"/>
    </row>
    <row r="62" spans="2:20" s="3" customFormat="1">
      <c r="B62" s="272"/>
      <c r="C62" s="273"/>
      <c r="D62" s="273"/>
      <c r="E62" s="273"/>
      <c r="F62" s="273"/>
      <c r="G62" s="273"/>
      <c r="H62" s="273"/>
      <c r="I62" s="273"/>
      <c r="J62" s="273"/>
      <c r="K62" s="274"/>
    </row>
    <row r="63" spans="2:20" s="3" customFormat="1" ht="14" thickBot="1">
      <c r="B63" s="275"/>
      <c r="C63" s="276"/>
      <c r="D63" s="276"/>
      <c r="E63" s="276"/>
      <c r="F63" s="276"/>
      <c r="G63" s="276"/>
      <c r="H63" s="276"/>
      <c r="I63" s="276"/>
      <c r="J63" s="276"/>
      <c r="K63" s="277"/>
    </row>
    <row r="64" spans="2:20" s="3" customFormat="1"/>
    <row r="65" spans="2:11" s="3" customFormat="1" ht="14">
      <c r="B65" s="253" t="s">
        <v>14</v>
      </c>
      <c r="C65" s="255" t="str">
        <f>ACT_TO_NS_G</f>
        <v>Touche à nous conservée</v>
      </c>
      <c r="D65" s="250"/>
      <c r="E65" s="255" t="str">
        <f>ACT_TO_ADV_VOLEE</f>
        <v>Touche à eux volée</v>
      </c>
      <c r="F65" s="250"/>
      <c r="H65" s="278" t="str">
        <f>ACT_TO_NS_P</f>
        <v>Touche à nous perdue</v>
      </c>
      <c r="I65" s="279"/>
      <c r="J65" s="278" t="str">
        <f>ACT_TO_NS_PAS_DROIT</f>
        <v>Touche à nous pas droite</v>
      </c>
      <c r="K65" s="279"/>
    </row>
    <row r="66" spans="2:11" s="3" customFormat="1" ht="14">
      <c r="B66" s="254"/>
      <c r="C66" s="70" t="s">
        <v>46</v>
      </c>
      <c r="D66" s="71" t="s">
        <v>44</v>
      </c>
      <c r="E66" s="70" t="s">
        <v>46</v>
      </c>
      <c r="F66" s="71" t="s">
        <v>44</v>
      </c>
      <c r="H66" s="72" t="s">
        <v>46</v>
      </c>
      <c r="I66" s="73" t="s">
        <v>44</v>
      </c>
      <c r="J66" s="72" t="s">
        <v>46</v>
      </c>
      <c r="K66" s="73" t="s">
        <v>44</v>
      </c>
    </row>
    <row r="67" spans="2:11" s="3" customFormat="1">
      <c r="B67" s="28" t="str" cm="1">
        <f t="array" ref="B67:B88">IFERROR(_xlfn._xlws.SORT(_xlfn._xlws.FILTER(COMPO[Nom du joueur],(COMPO[Nom du joueur]&lt;&gt;"")*(COMPO[Nom du joueur]&lt;&gt;"Collectif")*(COMPO[Nom du joueur]&lt;&gt;"?"))),"")</f>
        <v>ABADIE Emeric</v>
      </c>
      <c r="C67" s="28" t="str">
        <f>IF(COUNTIFS(JournalActions[Joueur],$B67,JournalActions[Action],$C$65,JournalActions[Mi-temps],C$66)=0,"",COUNTIFS(JournalActions[Joueur],$B67,JournalActions[Action],$C$65,JournalActions[Mi-temps],C$66))</f>
        <v/>
      </c>
      <c r="D67" s="29" t="str">
        <f>IF(COUNTIFS(JournalActions[Joueur],$B67,JournalActions[Action],$C$65,JournalActions[Mi-temps],D$66)=0,"",COUNTIFS(JournalActions[Joueur],$B67,JournalActions[Action],$C$65,JournalActions[Mi-temps],D$66))</f>
        <v/>
      </c>
      <c r="E67" s="28" t="str">
        <f>IF(COUNTIFS(JournalActions[Joueur],$B67,JournalActions[Action],$E$65,JournalActions[Mi-temps],E$66)=0,"",COUNTIFS(JournalActions[Joueur],$B67,JournalActions[Action],$E$65,JournalActions[Mi-temps],E$66))</f>
        <v/>
      </c>
      <c r="F67" s="29" t="str">
        <f>IF(COUNTIFS(JournalActions[Joueur],$B67,JournalActions[Action],$E$65,JournalActions[Mi-temps],F$66)=0,"",COUNTIFS(JournalActions[Joueur],$B67,JournalActions[Action],$E$65,JournalActions[Mi-temps],F$66))</f>
        <v/>
      </c>
      <c r="H67" s="28" t="str">
        <f>IF(COUNTIFS(JournalActions[Joueur],$B67,JournalActions[Action],$H$65,JournalActions[Mi-temps],H$66)=0,"",COUNTIFS(JournalActions[Joueur],$B67,JournalActions[Action],$H$65,JournalActions[Mi-temps],H$66))</f>
        <v/>
      </c>
      <c r="I67" s="29" t="str">
        <f>IF(COUNTIFS(JournalActions[Joueur],$B67,JournalActions[Action],$H$65,JournalActions[Mi-temps],I$66)=0,"",COUNTIFS(JournalActions[Joueur],$B67,JournalActions[Action],$H$65,JournalActions[Mi-temps],I$66))</f>
        <v/>
      </c>
      <c r="J67" s="28" t="str">
        <f>IF(COUNTIFS(JournalActions[Joueur],$B67,JournalActions[Action],$J$65,JournalActions[Mi-temps],J$66)=0,"",COUNTIFS(JournalActions[Joueur],$B67,JournalActions[Action],$J$65,JournalActions[Mi-temps],J$66))</f>
        <v/>
      </c>
      <c r="K67" s="29" t="str">
        <f>IF(COUNTIFS(JournalActions[Joueur],$B67,JournalActions[Action],$J$65,JournalActions[Mi-temps],K$66)=0,"",COUNTIFS(JournalActions[Joueur],$B67,JournalActions[Action],$J$65,JournalActions[Mi-temps],K$66))</f>
        <v/>
      </c>
    </row>
    <row r="68" spans="2:11" s="3" customFormat="1">
      <c r="B68" s="28" t="str">
        <v>ABADIE Quentin</v>
      </c>
      <c r="C68" s="28" t="str">
        <f>IF(COUNTIFS(JournalActions[Joueur],$B68,JournalActions[Action],$C$65,JournalActions[Mi-temps],C$66)=0,"",COUNTIFS(JournalActions[Joueur],$B68,JournalActions[Action],$C$65,JournalActions[Mi-temps],C$66))</f>
        <v/>
      </c>
      <c r="D68" s="29" t="str">
        <f>IF(COUNTIFS(JournalActions[Joueur],$B68,JournalActions[Action],$C$65,JournalActions[Mi-temps],D$66)=0,"",COUNTIFS(JournalActions[Joueur],$B68,JournalActions[Action],$C$65,JournalActions[Mi-temps],D$66))</f>
        <v/>
      </c>
      <c r="E68" s="28" t="str">
        <f>IF(COUNTIFS(JournalActions[Joueur],$B68,JournalActions[Action],$E$65,JournalActions[Mi-temps],E$66)=0,"",COUNTIFS(JournalActions[Joueur],$B68,JournalActions[Action],$E$65,JournalActions[Mi-temps],E$66))</f>
        <v/>
      </c>
      <c r="F68" s="29" t="str">
        <f>IF(COUNTIFS(JournalActions[Joueur],$B68,JournalActions[Action],$E$65,JournalActions[Mi-temps],F$66)=0,"",COUNTIFS(JournalActions[Joueur],$B68,JournalActions[Action],$E$65,JournalActions[Mi-temps],F$66))</f>
        <v/>
      </c>
      <c r="H68" s="28" t="str">
        <f>IF(COUNTIFS(JournalActions[Joueur],$B68,JournalActions[Action],$H$65,JournalActions[Mi-temps],H$66)=0,"",COUNTIFS(JournalActions[Joueur],$B68,JournalActions[Action],$H$65,JournalActions[Mi-temps],H$66))</f>
        <v/>
      </c>
      <c r="I68" s="29" t="str">
        <f>IF(COUNTIFS(JournalActions[Joueur],$B68,JournalActions[Action],$H$65,JournalActions[Mi-temps],I$66)=0,"",COUNTIFS(JournalActions[Joueur],$B68,JournalActions[Action],$H$65,JournalActions[Mi-temps],I$66))</f>
        <v/>
      </c>
      <c r="J68" s="28" t="str">
        <f>IF(COUNTIFS(JournalActions[Joueur],$B68,JournalActions[Action],$J$65,JournalActions[Mi-temps],J$66)=0,"",COUNTIFS(JournalActions[Joueur],$B68,JournalActions[Action],$J$65,JournalActions[Mi-temps],J$66))</f>
        <v/>
      </c>
      <c r="K68" s="29" t="str">
        <f>IF(COUNTIFS(JournalActions[Joueur],$B68,JournalActions[Action],$J$65,JournalActions[Mi-temps],K$66)=0,"",COUNTIFS(JournalActions[Joueur],$B68,JournalActions[Action],$J$65,JournalActions[Mi-temps],K$66))</f>
        <v/>
      </c>
    </row>
    <row r="69" spans="2:11" s="3" customFormat="1">
      <c r="B69" s="28" t="str">
        <v>ABADIE Thomas</v>
      </c>
      <c r="C69" s="28" t="str">
        <f>IF(COUNTIFS(JournalActions[Joueur],$B69,JournalActions[Action],$C$65,JournalActions[Mi-temps],C$66)=0,"",COUNTIFS(JournalActions[Joueur],$B69,JournalActions[Action],$C$65,JournalActions[Mi-temps],C$66))</f>
        <v/>
      </c>
      <c r="D69" s="29" t="str">
        <f>IF(COUNTIFS(JournalActions[Joueur],$B69,JournalActions[Action],$C$65,JournalActions[Mi-temps],D$66)=0,"",COUNTIFS(JournalActions[Joueur],$B69,JournalActions[Action],$C$65,JournalActions[Mi-temps],D$66))</f>
        <v/>
      </c>
      <c r="E69" s="28" t="str">
        <f>IF(COUNTIFS(JournalActions[Joueur],$B69,JournalActions[Action],$E$65,JournalActions[Mi-temps],E$66)=0,"",COUNTIFS(JournalActions[Joueur],$B69,JournalActions[Action],$E$65,JournalActions[Mi-temps],E$66))</f>
        <v/>
      </c>
      <c r="F69" s="29" t="str">
        <f>IF(COUNTIFS(JournalActions[Joueur],$B69,JournalActions[Action],$E$65,JournalActions[Mi-temps],F$66)=0,"",COUNTIFS(JournalActions[Joueur],$B69,JournalActions[Action],$E$65,JournalActions[Mi-temps],F$66))</f>
        <v/>
      </c>
      <c r="H69" s="28" t="str">
        <f>IF(COUNTIFS(JournalActions[Joueur],$B69,JournalActions[Action],$H$65,JournalActions[Mi-temps],H$66)=0,"",COUNTIFS(JournalActions[Joueur],$B69,JournalActions[Action],$H$65,JournalActions[Mi-temps],H$66))</f>
        <v/>
      </c>
      <c r="I69" s="29" t="str">
        <f>IF(COUNTIFS(JournalActions[Joueur],$B69,JournalActions[Action],$H$65,JournalActions[Mi-temps],I$66)=0,"",COUNTIFS(JournalActions[Joueur],$B69,JournalActions[Action],$H$65,JournalActions[Mi-temps],I$66))</f>
        <v/>
      </c>
      <c r="J69" s="28" t="str">
        <f>IF(COUNTIFS(JournalActions[Joueur],$B69,JournalActions[Action],$J$65,JournalActions[Mi-temps],J$66)=0,"",COUNTIFS(JournalActions[Joueur],$B69,JournalActions[Action],$J$65,JournalActions[Mi-temps],J$66))</f>
        <v/>
      </c>
      <c r="K69" s="29" t="str">
        <f>IF(COUNTIFS(JournalActions[Joueur],$B69,JournalActions[Action],$J$65,JournalActions[Mi-temps],K$66)=0,"",COUNTIFS(JournalActions[Joueur],$B69,JournalActions[Action],$J$65,JournalActions[Mi-temps],K$66))</f>
        <v/>
      </c>
    </row>
    <row r="70" spans="2:11" s="3" customFormat="1">
      <c r="B70" s="28" t="str">
        <v>BARATGIN Julian</v>
      </c>
      <c r="C70" s="28" t="str">
        <f>IF(COUNTIFS(JournalActions[Joueur],$B70,JournalActions[Action],$C$65,JournalActions[Mi-temps],C$66)=0,"",COUNTIFS(JournalActions[Joueur],$B70,JournalActions[Action],$C$65,JournalActions[Mi-temps],C$66))</f>
        <v/>
      </c>
      <c r="D70" s="29" t="str">
        <f>IF(COUNTIFS(JournalActions[Joueur],$B70,JournalActions[Action],$C$65,JournalActions[Mi-temps],D$66)=0,"",COUNTIFS(JournalActions[Joueur],$B70,JournalActions[Action],$C$65,JournalActions[Mi-temps],D$66))</f>
        <v/>
      </c>
      <c r="E70" s="28" t="str">
        <f>IF(COUNTIFS(JournalActions[Joueur],$B70,JournalActions[Action],$E$65,JournalActions[Mi-temps],E$66)=0,"",COUNTIFS(JournalActions[Joueur],$B70,JournalActions[Action],$E$65,JournalActions[Mi-temps],E$66))</f>
        <v/>
      </c>
      <c r="F70" s="29" t="str">
        <f>IF(COUNTIFS(JournalActions[Joueur],$B70,JournalActions[Action],$E$65,JournalActions[Mi-temps],F$66)=0,"",COUNTIFS(JournalActions[Joueur],$B70,JournalActions[Action],$E$65,JournalActions[Mi-temps],F$66))</f>
        <v/>
      </c>
      <c r="H70" s="28" t="str">
        <f>IF(COUNTIFS(JournalActions[Joueur],$B70,JournalActions[Action],$H$65,JournalActions[Mi-temps],H$66)=0,"",COUNTIFS(JournalActions[Joueur],$B70,JournalActions[Action],$H$65,JournalActions[Mi-temps],H$66))</f>
        <v/>
      </c>
      <c r="I70" s="29" t="str">
        <f>IF(COUNTIFS(JournalActions[Joueur],$B70,JournalActions[Action],$H$65,JournalActions[Mi-temps],I$66)=0,"",COUNTIFS(JournalActions[Joueur],$B70,JournalActions[Action],$H$65,JournalActions[Mi-temps],I$66))</f>
        <v/>
      </c>
      <c r="J70" s="28" t="str">
        <f>IF(COUNTIFS(JournalActions[Joueur],$B70,JournalActions[Action],$J$65,JournalActions[Mi-temps],J$66)=0,"",COUNTIFS(JournalActions[Joueur],$B70,JournalActions[Action],$J$65,JournalActions[Mi-temps],J$66))</f>
        <v/>
      </c>
      <c r="K70" s="29" t="str">
        <f>IF(COUNTIFS(JournalActions[Joueur],$B70,JournalActions[Action],$J$65,JournalActions[Mi-temps],K$66)=0,"",COUNTIFS(JournalActions[Joueur],$B70,JournalActions[Action],$J$65,JournalActions[Mi-temps],K$66))</f>
        <v/>
      </c>
    </row>
    <row r="71" spans="2:11" s="3" customFormat="1">
      <c r="B71" s="28" t="str">
        <v>BAUP Bastien</v>
      </c>
      <c r="C71" s="28" t="str">
        <f>IF(COUNTIFS(JournalActions[Joueur],$B71,JournalActions[Action],$C$65,JournalActions[Mi-temps],C$66)=0,"",COUNTIFS(JournalActions[Joueur],$B71,JournalActions[Action],$C$65,JournalActions[Mi-temps],C$66))</f>
        <v/>
      </c>
      <c r="D71" s="29" t="str">
        <f>IF(COUNTIFS(JournalActions[Joueur],$B71,JournalActions[Action],$C$65,JournalActions[Mi-temps],D$66)=0,"",COUNTIFS(JournalActions[Joueur],$B71,JournalActions[Action],$C$65,JournalActions[Mi-temps],D$66))</f>
        <v/>
      </c>
      <c r="E71" s="28" t="str">
        <f>IF(COUNTIFS(JournalActions[Joueur],$B71,JournalActions[Action],$E$65,JournalActions[Mi-temps],E$66)=0,"",COUNTIFS(JournalActions[Joueur],$B71,JournalActions[Action],$E$65,JournalActions[Mi-temps],E$66))</f>
        <v/>
      </c>
      <c r="F71" s="29" t="str">
        <f>IF(COUNTIFS(JournalActions[Joueur],$B71,JournalActions[Action],$E$65,JournalActions[Mi-temps],F$66)=0,"",COUNTIFS(JournalActions[Joueur],$B71,JournalActions[Action],$E$65,JournalActions[Mi-temps],F$66))</f>
        <v/>
      </c>
      <c r="H71" s="28" t="str">
        <f>IF(COUNTIFS(JournalActions[Joueur],$B71,JournalActions[Action],$H$65,JournalActions[Mi-temps],H$66)=0,"",COUNTIFS(JournalActions[Joueur],$B71,JournalActions[Action],$H$65,JournalActions[Mi-temps],H$66))</f>
        <v/>
      </c>
      <c r="I71" s="29" t="str">
        <f>IF(COUNTIFS(JournalActions[Joueur],$B71,JournalActions[Action],$H$65,JournalActions[Mi-temps],I$66)=0,"",COUNTIFS(JournalActions[Joueur],$B71,JournalActions[Action],$H$65,JournalActions[Mi-temps],I$66))</f>
        <v/>
      </c>
      <c r="J71" s="28" t="str">
        <f>IF(COUNTIFS(JournalActions[Joueur],$B71,JournalActions[Action],$J$65,JournalActions[Mi-temps],J$66)=0,"",COUNTIFS(JournalActions[Joueur],$B71,JournalActions[Action],$J$65,JournalActions[Mi-temps],J$66))</f>
        <v/>
      </c>
      <c r="K71" s="29" t="str">
        <f>IF(COUNTIFS(JournalActions[Joueur],$B71,JournalActions[Action],$J$65,JournalActions[Mi-temps],K$66)=0,"",COUNTIFS(JournalActions[Joueur],$B71,JournalActions[Action],$J$65,JournalActions[Mi-temps],K$66))</f>
        <v/>
      </c>
    </row>
    <row r="72" spans="2:11" s="3" customFormat="1">
      <c r="B72" s="28" t="str">
        <v>BIFFI Pierre</v>
      </c>
      <c r="C72" s="28" t="str">
        <f>IF(COUNTIFS(JournalActions[Joueur],$B72,JournalActions[Action],$C$65,JournalActions[Mi-temps],C$66)=0,"",COUNTIFS(JournalActions[Joueur],$B72,JournalActions[Action],$C$65,JournalActions[Mi-temps],C$66))</f>
        <v/>
      </c>
      <c r="D72" s="29" t="str">
        <f>IF(COUNTIFS(JournalActions[Joueur],$B72,JournalActions[Action],$C$65,JournalActions[Mi-temps],D$66)=0,"",COUNTIFS(JournalActions[Joueur],$B72,JournalActions[Action],$C$65,JournalActions[Mi-temps],D$66))</f>
        <v/>
      </c>
      <c r="E72" s="28" t="str">
        <f>IF(COUNTIFS(JournalActions[Joueur],$B72,JournalActions[Action],$E$65,JournalActions[Mi-temps],E$66)=0,"",COUNTIFS(JournalActions[Joueur],$B72,JournalActions[Action],$E$65,JournalActions[Mi-temps],E$66))</f>
        <v/>
      </c>
      <c r="F72" s="29" t="str">
        <f>IF(COUNTIFS(JournalActions[Joueur],$B72,JournalActions[Action],$E$65,JournalActions[Mi-temps],F$66)=0,"",COUNTIFS(JournalActions[Joueur],$B72,JournalActions[Action],$E$65,JournalActions[Mi-temps],F$66))</f>
        <v/>
      </c>
      <c r="H72" s="28" t="str">
        <f>IF(COUNTIFS(JournalActions[Joueur],$B72,JournalActions[Action],$H$65,JournalActions[Mi-temps],H$66)=0,"",COUNTIFS(JournalActions[Joueur],$B72,JournalActions[Action],$H$65,JournalActions[Mi-temps],H$66))</f>
        <v/>
      </c>
      <c r="I72" s="29" t="str">
        <f>IF(COUNTIFS(JournalActions[Joueur],$B72,JournalActions[Action],$H$65,JournalActions[Mi-temps],I$66)=0,"",COUNTIFS(JournalActions[Joueur],$B72,JournalActions[Action],$H$65,JournalActions[Mi-temps],I$66))</f>
        <v/>
      </c>
      <c r="J72" s="28" t="str">
        <f>IF(COUNTIFS(JournalActions[Joueur],$B72,JournalActions[Action],$J$65,JournalActions[Mi-temps],J$66)=0,"",COUNTIFS(JournalActions[Joueur],$B72,JournalActions[Action],$J$65,JournalActions[Mi-temps],J$66))</f>
        <v/>
      </c>
      <c r="K72" s="29" t="str">
        <f>IF(COUNTIFS(JournalActions[Joueur],$B72,JournalActions[Action],$J$65,JournalActions[Mi-temps],K$66)=0,"",COUNTIFS(JournalActions[Joueur],$B72,JournalActions[Action],$J$65,JournalActions[Mi-temps],K$66))</f>
        <v/>
      </c>
    </row>
    <row r="73" spans="2:11" s="3" customFormat="1">
      <c r="B73" s="28" t="str">
        <v>BOURREC Anthony</v>
      </c>
      <c r="C73" s="28" t="str">
        <f>IF(COUNTIFS(JournalActions[Joueur],$B73,JournalActions[Action],$C$65,JournalActions[Mi-temps],C$66)=0,"",COUNTIFS(JournalActions[Joueur],$B73,JournalActions[Action],$C$65,JournalActions[Mi-temps],C$66))</f>
        <v/>
      </c>
      <c r="D73" s="29" t="str">
        <f>IF(COUNTIFS(JournalActions[Joueur],$B73,JournalActions[Action],$C$65,JournalActions[Mi-temps],D$66)=0,"",COUNTIFS(JournalActions[Joueur],$B73,JournalActions[Action],$C$65,JournalActions[Mi-temps],D$66))</f>
        <v/>
      </c>
      <c r="E73" s="28" t="str">
        <f>IF(COUNTIFS(JournalActions[Joueur],$B73,JournalActions[Action],$E$65,JournalActions[Mi-temps],E$66)=0,"",COUNTIFS(JournalActions[Joueur],$B73,JournalActions[Action],$E$65,JournalActions[Mi-temps],E$66))</f>
        <v/>
      </c>
      <c r="F73" s="29" t="str">
        <f>IF(COUNTIFS(JournalActions[Joueur],$B73,JournalActions[Action],$E$65,JournalActions[Mi-temps],F$66)=0,"",COUNTIFS(JournalActions[Joueur],$B73,JournalActions[Action],$E$65,JournalActions[Mi-temps],F$66))</f>
        <v/>
      </c>
      <c r="H73" s="28" t="str">
        <f>IF(COUNTIFS(JournalActions[Joueur],$B73,JournalActions[Action],$H$65,JournalActions[Mi-temps],H$66)=0,"",COUNTIFS(JournalActions[Joueur],$B73,JournalActions[Action],$H$65,JournalActions[Mi-temps],H$66))</f>
        <v/>
      </c>
      <c r="I73" s="29" t="str">
        <f>IF(COUNTIFS(JournalActions[Joueur],$B73,JournalActions[Action],$H$65,JournalActions[Mi-temps],I$66)=0,"",COUNTIFS(JournalActions[Joueur],$B73,JournalActions[Action],$H$65,JournalActions[Mi-temps],I$66))</f>
        <v/>
      </c>
      <c r="J73" s="28" t="str">
        <f>IF(COUNTIFS(JournalActions[Joueur],$B73,JournalActions[Action],$J$65,JournalActions[Mi-temps],J$66)=0,"",COUNTIFS(JournalActions[Joueur],$B73,JournalActions[Action],$J$65,JournalActions[Mi-temps],J$66))</f>
        <v/>
      </c>
      <c r="K73" s="29" t="str">
        <f>IF(COUNTIFS(JournalActions[Joueur],$B73,JournalActions[Action],$J$65,JournalActions[Mi-temps],K$66)=0,"",COUNTIFS(JournalActions[Joueur],$B73,JournalActions[Action],$J$65,JournalActions[Mi-temps],K$66))</f>
        <v/>
      </c>
    </row>
    <row r="74" spans="2:11" s="3" customFormat="1">
      <c r="B74" s="28" t="str">
        <v>CESCA Sacha</v>
      </c>
      <c r="C74" s="28" t="str">
        <f>IF(COUNTIFS(JournalActions[Joueur],$B74,JournalActions[Action],$C$65,JournalActions[Mi-temps],C$66)=0,"",COUNTIFS(JournalActions[Joueur],$B74,JournalActions[Action],$C$65,JournalActions[Mi-temps],C$66))</f>
        <v/>
      </c>
      <c r="D74" s="29" t="str">
        <f>IF(COUNTIFS(JournalActions[Joueur],$B74,JournalActions[Action],$C$65,JournalActions[Mi-temps],D$66)=0,"",COUNTIFS(JournalActions[Joueur],$B74,JournalActions[Action],$C$65,JournalActions[Mi-temps],D$66))</f>
        <v/>
      </c>
      <c r="E74" s="28" t="str">
        <f>IF(COUNTIFS(JournalActions[Joueur],$B74,JournalActions[Action],$E$65,JournalActions[Mi-temps],E$66)=0,"",COUNTIFS(JournalActions[Joueur],$B74,JournalActions[Action],$E$65,JournalActions[Mi-temps],E$66))</f>
        <v/>
      </c>
      <c r="F74" s="29" t="str">
        <f>IF(COUNTIFS(JournalActions[Joueur],$B74,JournalActions[Action],$E$65,JournalActions[Mi-temps],F$66)=0,"",COUNTIFS(JournalActions[Joueur],$B74,JournalActions[Action],$E$65,JournalActions[Mi-temps],F$66))</f>
        <v/>
      </c>
      <c r="H74" s="28" t="str">
        <f>IF(COUNTIFS(JournalActions[Joueur],$B74,JournalActions[Action],$H$65,JournalActions[Mi-temps],H$66)=0,"",COUNTIFS(JournalActions[Joueur],$B74,JournalActions[Action],$H$65,JournalActions[Mi-temps],H$66))</f>
        <v/>
      </c>
      <c r="I74" s="29" t="str">
        <f>IF(COUNTIFS(JournalActions[Joueur],$B74,JournalActions[Action],$H$65,JournalActions[Mi-temps],I$66)=0,"",COUNTIFS(JournalActions[Joueur],$B74,JournalActions[Action],$H$65,JournalActions[Mi-temps],I$66))</f>
        <v/>
      </c>
      <c r="J74" s="28" t="str">
        <f>IF(COUNTIFS(JournalActions[Joueur],$B74,JournalActions[Action],$J$65,JournalActions[Mi-temps],J$66)=0,"",COUNTIFS(JournalActions[Joueur],$B74,JournalActions[Action],$J$65,JournalActions[Mi-temps],J$66))</f>
        <v/>
      </c>
      <c r="K74" s="29" t="str">
        <f>IF(COUNTIFS(JournalActions[Joueur],$B74,JournalActions[Action],$J$65,JournalActions[Mi-temps],K$66)=0,"",COUNTIFS(JournalActions[Joueur],$B74,JournalActions[Action],$J$65,JournalActions[Mi-temps],K$66))</f>
        <v/>
      </c>
    </row>
    <row r="75" spans="2:11" s="3" customFormat="1">
      <c r="B75" s="28" t="str">
        <v>COURREGES Romain</v>
      </c>
      <c r="C75" s="28" t="str">
        <f>IF(COUNTIFS(JournalActions[Joueur],$B75,JournalActions[Action],$C$65,JournalActions[Mi-temps],C$66)=0,"",COUNTIFS(JournalActions[Joueur],$B75,JournalActions[Action],$C$65,JournalActions[Mi-temps],C$66))</f>
        <v/>
      </c>
      <c r="D75" s="29" t="str">
        <f>IF(COUNTIFS(JournalActions[Joueur],$B75,JournalActions[Action],$C$65,JournalActions[Mi-temps],D$66)=0,"",COUNTIFS(JournalActions[Joueur],$B75,JournalActions[Action],$C$65,JournalActions[Mi-temps],D$66))</f>
        <v/>
      </c>
      <c r="E75" s="28" t="str">
        <f>IF(COUNTIFS(JournalActions[Joueur],$B75,JournalActions[Action],$E$65,JournalActions[Mi-temps],E$66)=0,"",COUNTIFS(JournalActions[Joueur],$B75,JournalActions[Action],$E$65,JournalActions[Mi-temps],E$66))</f>
        <v/>
      </c>
      <c r="F75" s="29" t="str">
        <f>IF(COUNTIFS(JournalActions[Joueur],$B75,JournalActions[Action],$E$65,JournalActions[Mi-temps],F$66)=0,"",COUNTIFS(JournalActions[Joueur],$B75,JournalActions[Action],$E$65,JournalActions[Mi-temps],F$66))</f>
        <v/>
      </c>
      <c r="H75" s="28" t="str">
        <f>IF(COUNTIFS(JournalActions[Joueur],$B75,JournalActions[Action],$H$65,JournalActions[Mi-temps],H$66)=0,"",COUNTIFS(JournalActions[Joueur],$B75,JournalActions[Action],$H$65,JournalActions[Mi-temps],H$66))</f>
        <v/>
      </c>
      <c r="I75" s="29" t="str">
        <f>IF(COUNTIFS(JournalActions[Joueur],$B75,JournalActions[Action],$H$65,JournalActions[Mi-temps],I$66)=0,"",COUNTIFS(JournalActions[Joueur],$B75,JournalActions[Action],$H$65,JournalActions[Mi-temps],I$66))</f>
        <v/>
      </c>
      <c r="J75" s="28" t="str">
        <f>IF(COUNTIFS(JournalActions[Joueur],$B75,JournalActions[Action],$J$65,JournalActions[Mi-temps],J$66)=0,"",COUNTIFS(JournalActions[Joueur],$B75,JournalActions[Action],$J$65,JournalActions[Mi-temps],J$66))</f>
        <v/>
      </c>
      <c r="K75" s="29" t="str">
        <f>IF(COUNTIFS(JournalActions[Joueur],$B75,JournalActions[Action],$J$65,JournalActions[Mi-temps],K$66)=0,"",COUNTIFS(JournalActions[Joueur],$B75,JournalActions[Action],$J$65,JournalActions[Mi-temps],K$66))</f>
        <v/>
      </c>
    </row>
    <row r="76" spans="2:11" s="3" customFormat="1">
      <c r="B76" s="28" t="str">
        <v>DALLA ROSA Jonah</v>
      </c>
      <c r="C76" s="28" t="str">
        <f>IF(COUNTIFS(JournalActions[Joueur],$B76,JournalActions[Action],$C$65,JournalActions[Mi-temps],C$66)=0,"",COUNTIFS(JournalActions[Joueur],$B76,JournalActions[Action],$C$65,JournalActions[Mi-temps],C$66))</f>
        <v/>
      </c>
      <c r="D76" s="29" t="str">
        <f>IF(COUNTIFS(JournalActions[Joueur],$B76,JournalActions[Action],$C$65,JournalActions[Mi-temps],D$66)=0,"",COUNTIFS(JournalActions[Joueur],$B76,JournalActions[Action],$C$65,JournalActions[Mi-temps],D$66))</f>
        <v/>
      </c>
      <c r="E76" s="28" t="str">
        <f>IF(COUNTIFS(JournalActions[Joueur],$B76,JournalActions[Action],$E$65,JournalActions[Mi-temps],E$66)=0,"",COUNTIFS(JournalActions[Joueur],$B76,JournalActions[Action],$E$65,JournalActions[Mi-temps],E$66))</f>
        <v/>
      </c>
      <c r="F76" s="29" t="str">
        <f>IF(COUNTIFS(JournalActions[Joueur],$B76,JournalActions[Action],$E$65,JournalActions[Mi-temps],F$66)=0,"",COUNTIFS(JournalActions[Joueur],$B76,JournalActions[Action],$E$65,JournalActions[Mi-temps],F$66))</f>
        <v/>
      </c>
      <c r="H76" s="28" t="str">
        <f>IF(COUNTIFS(JournalActions[Joueur],$B76,JournalActions[Action],$H$65,JournalActions[Mi-temps],H$66)=0,"",COUNTIFS(JournalActions[Joueur],$B76,JournalActions[Action],$H$65,JournalActions[Mi-temps],H$66))</f>
        <v/>
      </c>
      <c r="I76" s="29" t="str">
        <f>IF(COUNTIFS(JournalActions[Joueur],$B76,JournalActions[Action],$H$65,JournalActions[Mi-temps],I$66)=0,"",COUNTIFS(JournalActions[Joueur],$B76,JournalActions[Action],$H$65,JournalActions[Mi-temps],I$66))</f>
        <v/>
      </c>
      <c r="J76" s="28" t="str">
        <f>IF(COUNTIFS(JournalActions[Joueur],$B76,JournalActions[Action],$J$65,JournalActions[Mi-temps],J$66)=0,"",COUNTIFS(JournalActions[Joueur],$B76,JournalActions[Action],$J$65,JournalActions[Mi-temps],J$66))</f>
        <v/>
      </c>
      <c r="K76" s="29" t="str">
        <f>IF(COUNTIFS(JournalActions[Joueur],$B76,JournalActions[Action],$J$65,JournalActions[Mi-temps],K$66)=0,"",COUNTIFS(JournalActions[Joueur],$B76,JournalActions[Action],$J$65,JournalActions[Mi-temps],K$66))</f>
        <v/>
      </c>
    </row>
    <row r="77" spans="2:11" s="3" customFormat="1">
      <c r="B77" s="28" t="str">
        <v>DUTREY Thomas</v>
      </c>
      <c r="C77" s="28" t="str">
        <f>IF(COUNTIFS(JournalActions[Joueur],$B77,JournalActions[Action],$C$65,JournalActions[Mi-temps],C$66)=0,"",COUNTIFS(JournalActions[Joueur],$B77,JournalActions[Action],$C$65,JournalActions[Mi-temps],C$66))</f>
        <v/>
      </c>
      <c r="D77" s="29" t="str">
        <f>IF(COUNTIFS(JournalActions[Joueur],$B77,JournalActions[Action],$C$65,JournalActions[Mi-temps],D$66)=0,"",COUNTIFS(JournalActions[Joueur],$B77,JournalActions[Action],$C$65,JournalActions[Mi-temps],D$66))</f>
        <v/>
      </c>
      <c r="E77" s="28" t="str">
        <f>IF(COUNTIFS(JournalActions[Joueur],$B77,JournalActions[Action],$E$65,JournalActions[Mi-temps],E$66)=0,"",COUNTIFS(JournalActions[Joueur],$B77,JournalActions[Action],$E$65,JournalActions[Mi-temps],E$66))</f>
        <v/>
      </c>
      <c r="F77" s="29" t="str">
        <f>IF(COUNTIFS(JournalActions[Joueur],$B77,JournalActions[Action],$E$65,JournalActions[Mi-temps],F$66)=0,"",COUNTIFS(JournalActions[Joueur],$B77,JournalActions[Action],$E$65,JournalActions[Mi-temps],F$66))</f>
        <v/>
      </c>
      <c r="H77" s="28" t="str">
        <f>IF(COUNTIFS(JournalActions[Joueur],$B77,JournalActions[Action],$H$65,JournalActions[Mi-temps],H$66)=0,"",COUNTIFS(JournalActions[Joueur],$B77,JournalActions[Action],$H$65,JournalActions[Mi-temps],H$66))</f>
        <v/>
      </c>
      <c r="I77" s="29" t="str">
        <f>IF(COUNTIFS(JournalActions[Joueur],$B77,JournalActions[Action],$H$65,JournalActions[Mi-temps],I$66)=0,"",COUNTIFS(JournalActions[Joueur],$B77,JournalActions[Action],$H$65,JournalActions[Mi-temps],I$66))</f>
        <v/>
      </c>
      <c r="J77" s="28" t="str">
        <f>IF(COUNTIFS(JournalActions[Joueur],$B77,JournalActions[Action],$J$65,JournalActions[Mi-temps],J$66)=0,"",COUNTIFS(JournalActions[Joueur],$B77,JournalActions[Action],$J$65,JournalActions[Mi-temps],J$66))</f>
        <v/>
      </c>
      <c r="K77" s="29" t="str">
        <f>IF(COUNTIFS(JournalActions[Joueur],$B77,JournalActions[Action],$J$65,JournalActions[Mi-temps],K$66)=0,"",COUNTIFS(JournalActions[Joueur],$B77,JournalActions[Action],$J$65,JournalActions[Mi-temps],K$66))</f>
        <v/>
      </c>
    </row>
    <row r="78" spans="2:11" s="3" customFormat="1">
      <c r="B78" s="28" t="str">
        <v>GALLINARO Pierrick</v>
      </c>
      <c r="C78" s="28" t="str">
        <f>IF(COUNTIFS(JournalActions[Joueur],$B78,JournalActions[Action],$C$65,JournalActions[Mi-temps],C$66)=0,"",COUNTIFS(JournalActions[Joueur],$B78,JournalActions[Action],$C$65,JournalActions[Mi-temps],C$66))</f>
        <v/>
      </c>
      <c r="D78" s="29" t="str">
        <f>IF(COUNTIFS(JournalActions[Joueur],$B78,JournalActions[Action],$C$65,JournalActions[Mi-temps],D$66)=0,"",COUNTIFS(JournalActions[Joueur],$B78,JournalActions[Action],$C$65,JournalActions[Mi-temps],D$66))</f>
        <v/>
      </c>
      <c r="E78" s="28" t="str">
        <f>IF(COUNTIFS(JournalActions[Joueur],$B78,JournalActions[Action],$E$65,JournalActions[Mi-temps],E$66)=0,"",COUNTIFS(JournalActions[Joueur],$B78,JournalActions[Action],$E$65,JournalActions[Mi-temps],E$66))</f>
        <v/>
      </c>
      <c r="F78" s="29" t="str">
        <f>IF(COUNTIFS(JournalActions[Joueur],$B78,JournalActions[Action],$E$65,JournalActions[Mi-temps],F$66)=0,"",COUNTIFS(JournalActions[Joueur],$B78,JournalActions[Action],$E$65,JournalActions[Mi-temps],F$66))</f>
        <v/>
      </c>
      <c r="H78" s="28" t="str">
        <f>IF(COUNTIFS(JournalActions[Joueur],$B78,JournalActions[Action],$H$65,JournalActions[Mi-temps],H$66)=0,"",COUNTIFS(JournalActions[Joueur],$B78,JournalActions[Action],$H$65,JournalActions[Mi-temps],H$66))</f>
        <v/>
      </c>
      <c r="I78" s="29" t="str">
        <f>IF(COUNTIFS(JournalActions[Joueur],$B78,JournalActions[Action],$H$65,JournalActions[Mi-temps],I$66)=0,"",COUNTIFS(JournalActions[Joueur],$B78,JournalActions[Action],$H$65,JournalActions[Mi-temps],I$66))</f>
        <v/>
      </c>
      <c r="J78" s="28" t="str">
        <f>IF(COUNTIFS(JournalActions[Joueur],$B78,JournalActions[Action],$J$65,JournalActions[Mi-temps],J$66)=0,"",COUNTIFS(JournalActions[Joueur],$B78,JournalActions[Action],$J$65,JournalActions[Mi-temps],J$66))</f>
        <v/>
      </c>
      <c r="K78" s="29" t="str">
        <f>IF(COUNTIFS(JournalActions[Joueur],$B78,JournalActions[Action],$J$65,JournalActions[Mi-temps],K$66)=0,"",COUNTIFS(JournalActions[Joueur],$B78,JournalActions[Action],$J$65,JournalActions[Mi-temps],K$66))</f>
        <v/>
      </c>
    </row>
    <row r="79" spans="2:11" s="3" customFormat="1">
      <c r="B79" s="28" t="str">
        <v>JOUNAUX Joris</v>
      </c>
      <c r="C79" s="28" t="str">
        <f>IF(COUNTIFS(JournalActions[Joueur],$B79,JournalActions[Action],$C$65,JournalActions[Mi-temps],C$66)=0,"",COUNTIFS(JournalActions[Joueur],$B79,JournalActions[Action],$C$65,JournalActions[Mi-temps],C$66))</f>
        <v/>
      </c>
      <c r="D79" s="29" t="str">
        <f>IF(COUNTIFS(JournalActions[Joueur],$B79,JournalActions[Action],$C$65,JournalActions[Mi-temps],D$66)=0,"",COUNTIFS(JournalActions[Joueur],$B79,JournalActions[Action],$C$65,JournalActions[Mi-temps],D$66))</f>
        <v/>
      </c>
      <c r="E79" s="28" t="str">
        <f>IF(COUNTIFS(JournalActions[Joueur],$B79,JournalActions[Action],$E$65,JournalActions[Mi-temps],E$66)=0,"",COUNTIFS(JournalActions[Joueur],$B79,JournalActions[Action],$E$65,JournalActions[Mi-temps],E$66))</f>
        <v/>
      </c>
      <c r="F79" s="29" t="str">
        <f>IF(COUNTIFS(JournalActions[Joueur],$B79,JournalActions[Action],$E$65,JournalActions[Mi-temps],F$66)=0,"",COUNTIFS(JournalActions[Joueur],$B79,JournalActions[Action],$E$65,JournalActions[Mi-temps],F$66))</f>
        <v/>
      </c>
      <c r="H79" s="28" t="str">
        <f>IF(COUNTIFS(JournalActions[Joueur],$B79,JournalActions[Action],$H$65,JournalActions[Mi-temps],H$66)=0,"",COUNTIFS(JournalActions[Joueur],$B79,JournalActions[Action],$H$65,JournalActions[Mi-temps],H$66))</f>
        <v/>
      </c>
      <c r="I79" s="29" t="str">
        <f>IF(COUNTIFS(JournalActions[Joueur],$B79,JournalActions[Action],$H$65,JournalActions[Mi-temps],I$66)=0,"",COUNTIFS(JournalActions[Joueur],$B79,JournalActions[Action],$H$65,JournalActions[Mi-temps],I$66))</f>
        <v/>
      </c>
      <c r="J79" s="28" t="str">
        <f>IF(COUNTIFS(JournalActions[Joueur],$B79,JournalActions[Action],$J$65,JournalActions[Mi-temps],J$66)=0,"",COUNTIFS(JournalActions[Joueur],$B79,JournalActions[Action],$J$65,JournalActions[Mi-temps],J$66))</f>
        <v/>
      </c>
      <c r="K79" s="29" t="str">
        <f>IF(COUNTIFS(JournalActions[Joueur],$B79,JournalActions[Action],$J$65,JournalActions[Mi-temps],K$66)=0,"",COUNTIFS(JournalActions[Joueur],$B79,JournalActions[Action],$J$65,JournalActions[Mi-temps],K$66))</f>
        <v/>
      </c>
    </row>
    <row r="80" spans="2:11" s="3" customFormat="1">
      <c r="B80" s="28" t="str">
        <v>KAPFER Bastien</v>
      </c>
      <c r="C80" s="28" t="str">
        <f>IF(COUNTIFS(JournalActions[Joueur],$B80,JournalActions[Action],$C$65,JournalActions[Mi-temps],C$66)=0,"",COUNTIFS(JournalActions[Joueur],$B80,JournalActions[Action],$C$65,JournalActions[Mi-temps],C$66))</f>
        <v/>
      </c>
      <c r="D80" s="29" t="str">
        <f>IF(COUNTIFS(JournalActions[Joueur],$B80,JournalActions[Action],$C$65,JournalActions[Mi-temps],D$66)=0,"",COUNTIFS(JournalActions[Joueur],$B80,JournalActions[Action],$C$65,JournalActions[Mi-temps],D$66))</f>
        <v/>
      </c>
      <c r="E80" s="28" t="str">
        <f>IF(COUNTIFS(JournalActions[Joueur],$B80,JournalActions[Action],$E$65,JournalActions[Mi-temps],E$66)=0,"",COUNTIFS(JournalActions[Joueur],$B80,JournalActions[Action],$E$65,JournalActions[Mi-temps],E$66))</f>
        <v/>
      </c>
      <c r="F80" s="29" t="str">
        <f>IF(COUNTIFS(JournalActions[Joueur],$B80,JournalActions[Action],$E$65,JournalActions[Mi-temps],F$66)=0,"",COUNTIFS(JournalActions[Joueur],$B80,JournalActions[Action],$E$65,JournalActions[Mi-temps],F$66))</f>
        <v/>
      </c>
      <c r="H80" s="28" t="str">
        <f>IF(COUNTIFS(JournalActions[Joueur],$B80,JournalActions[Action],$H$65,JournalActions[Mi-temps],H$66)=0,"",COUNTIFS(JournalActions[Joueur],$B80,JournalActions[Action],$H$65,JournalActions[Mi-temps],H$66))</f>
        <v/>
      </c>
      <c r="I80" s="29" t="str">
        <f>IF(COUNTIFS(JournalActions[Joueur],$B80,JournalActions[Action],$H$65,JournalActions[Mi-temps],I$66)=0,"",COUNTIFS(JournalActions[Joueur],$B80,JournalActions[Action],$H$65,JournalActions[Mi-temps],I$66))</f>
        <v/>
      </c>
      <c r="J80" s="28" t="str">
        <f>IF(COUNTIFS(JournalActions[Joueur],$B80,JournalActions[Action],$J$65,JournalActions[Mi-temps],J$66)=0,"",COUNTIFS(JournalActions[Joueur],$B80,JournalActions[Action],$J$65,JournalActions[Mi-temps],J$66))</f>
        <v/>
      </c>
      <c r="K80" s="29" t="str">
        <f>IF(COUNTIFS(JournalActions[Joueur],$B80,JournalActions[Action],$J$65,JournalActions[Mi-temps],K$66)=0,"",COUNTIFS(JournalActions[Joueur],$B80,JournalActions[Action],$J$65,JournalActions[Mi-temps],K$66))</f>
        <v/>
      </c>
    </row>
    <row r="81" spans="2:11" s="3" customFormat="1">
      <c r="B81" s="28" t="str">
        <v>LAUDET Jean Baptiste</v>
      </c>
      <c r="C81" s="28" t="str">
        <f>IF(COUNTIFS(JournalActions[Joueur],$B81,JournalActions[Action],$C$65,JournalActions[Mi-temps],C$66)=0,"",COUNTIFS(JournalActions[Joueur],$B81,JournalActions[Action],$C$65,JournalActions[Mi-temps],C$66))</f>
        <v/>
      </c>
      <c r="D81" s="29" t="str">
        <f>IF(COUNTIFS(JournalActions[Joueur],$B81,JournalActions[Action],$C$65,JournalActions[Mi-temps],D$66)=0,"",COUNTIFS(JournalActions[Joueur],$B81,JournalActions[Action],$C$65,JournalActions[Mi-temps],D$66))</f>
        <v/>
      </c>
      <c r="E81" s="28" t="str">
        <f>IF(COUNTIFS(JournalActions[Joueur],$B81,JournalActions[Action],$E$65,JournalActions[Mi-temps],E$66)=0,"",COUNTIFS(JournalActions[Joueur],$B81,JournalActions[Action],$E$65,JournalActions[Mi-temps],E$66))</f>
        <v/>
      </c>
      <c r="F81" s="29" t="str">
        <f>IF(COUNTIFS(JournalActions[Joueur],$B81,JournalActions[Action],$E$65,JournalActions[Mi-temps],F$66)=0,"",COUNTIFS(JournalActions[Joueur],$B81,JournalActions[Action],$E$65,JournalActions[Mi-temps],F$66))</f>
        <v/>
      </c>
      <c r="H81" s="28" t="str">
        <f>IF(COUNTIFS(JournalActions[Joueur],$B81,JournalActions[Action],$H$65,JournalActions[Mi-temps],H$66)=0,"",COUNTIFS(JournalActions[Joueur],$B81,JournalActions[Action],$H$65,JournalActions[Mi-temps],H$66))</f>
        <v/>
      </c>
      <c r="I81" s="29" t="str">
        <f>IF(COUNTIFS(JournalActions[Joueur],$B81,JournalActions[Action],$H$65,JournalActions[Mi-temps],I$66)=0,"",COUNTIFS(JournalActions[Joueur],$B81,JournalActions[Action],$H$65,JournalActions[Mi-temps],I$66))</f>
        <v/>
      </c>
      <c r="J81" s="28" t="str">
        <f>IF(COUNTIFS(JournalActions[Joueur],$B81,JournalActions[Action],$J$65,JournalActions[Mi-temps],J$66)=0,"",COUNTIFS(JournalActions[Joueur],$B81,JournalActions[Action],$J$65,JournalActions[Mi-temps],J$66))</f>
        <v/>
      </c>
      <c r="K81" s="29" t="str">
        <f>IF(COUNTIFS(JournalActions[Joueur],$B81,JournalActions[Action],$J$65,JournalActions[Mi-temps],K$66)=0,"",COUNTIFS(JournalActions[Joueur],$B81,JournalActions[Action],$J$65,JournalActions[Mi-temps],K$66))</f>
        <v/>
      </c>
    </row>
    <row r="82" spans="2:11" s="3" customFormat="1">
      <c r="B82" s="28" t="str">
        <v>LOUREIRO LABAZUY Antonio</v>
      </c>
      <c r="C82" s="28" t="str">
        <f>IF(COUNTIFS(JournalActions[Joueur],$B82,JournalActions[Action],$C$65,JournalActions[Mi-temps],C$66)=0,"",COUNTIFS(JournalActions[Joueur],$B82,JournalActions[Action],$C$65,JournalActions[Mi-temps],C$66))</f>
        <v/>
      </c>
      <c r="D82" s="29" t="str">
        <f>IF(COUNTIFS(JournalActions[Joueur],$B82,JournalActions[Action],$C$65,JournalActions[Mi-temps],D$66)=0,"",COUNTIFS(JournalActions[Joueur],$B82,JournalActions[Action],$C$65,JournalActions[Mi-temps],D$66))</f>
        <v/>
      </c>
      <c r="E82" s="28" t="str">
        <f>IF(COUNTIFS(JournalActions[Joueur],$B82,JournalActions[Action],$E$65,JournalActions[Mi-temps],E$66)=0,"",COUNTIFS(JournalActions[Joueur],$B82,JournalActions[Action],$E$65,JournalActions[Mi-temps],E$66))</f>
        <v/>
      </c>
      <c r="F82" s="29" t="str">
        <f>IF(COUNTIFS(JournalActions[Joueur],$B82,JournalActions[Action],$E$65,JournalActions[Mi-temps],F$66)=0,"",COUNTIFS(JournalActions[Joueur],$B82,JournalActions[Action],$E$65,JournalActions[Mi-temps],F$66))</f>
        <v/>
      </c>
      <c r="H82" s="28" t="str">
        <f>IF(COUNTIFS(JournalActions[Joueur],$B82,JournalActions[Action],$H$65,JournalActions[Mi-temps],H$66)=0,"",COUNTIFS(JournalActions[Joueur],$B82,JournalActions[Action],$H$65,JournalActions[Mi-temps],H$66))</f>
        <v/>
      </c>
      <c r="I82" s="29" t="str">
        <f>IF(COUNTIFS(JournalActions[Joueur],$B82,JournalActions[Action],$H$65,JournalActions[Mi-temps],I$66)=0,"",COUNTIFS(JournalActions[Joueur],$B82,JournalActions[Action],$H$65,JournalActions[Mi-temps],I$66))</f>
        <v/>
      </c>
      <c r="J82" s="28" t="str">
        <f>IF(COUNTIFS(JournalActions[Joueur],$B82,JournalActions[Action],$J$65,JournalActions[Mi-temps],J$66)=0,"",COUNTIFS(JournalActions[Joueur],$B82,JournalActions[Action],$J$65,JournalActions[Mi-temps],J$66))</f>
        <v/>
      </c>
      <c r="K82" s="29" t="str">
        <f>IF(COUNTIFS(JournalActions[Joueur],$B82,JournalActions[Action],$J$65,JournalActions[Mi-temps],K$66)=0,"",COUNTIFS(JournalActions[Joueur],$B82,JournalActions[Action],$J$65,JournalActions[Mi-temps],K$66))</f>
        <v/>
      </c>
    </row>
    <row r="83" spans="2:11" s="3" customFormat="1">
      <c r="B83" s="28" t="str">
        <v>MOUDENS Alexis</v>
      </c>
      <c r="C83" s="28" t="str">
        <f>IF(COUNTIFS(JournalActions[Joueur],$B83,JournalActions[Action],$C$65,JournalActions[Mi-temps],C$66)=0,"",COUNTIFS(JournalActions[Joueur],$B83,JournalActions[Action],$C$65,JournalActions[Mi-temps],C$66))</f>
        <v/>
      </c>
      <c r="D83" s="29" t="str">
        <f>IF(COUNTIFS(JournalActions[Joueur],$B83,JournalActions[Action],$C$65,JournalActions[Mi-temps],D$66)=0,"",COUNTIFS(JournalActions[Joueur],$B83,JournalActions[Action],$C$65,JournalActions[Mi-temps],D$66))</f>
        <v/>
      </c>
      <c r="E83" s="28" t="str">
        <f>IF(COUNTIFS(JournalActions[Joueur],$B83,JournalActions[Action],$E$65,JournalActions[Mi-temps],E$66)=0,"",COUNTIFS(JournalActions[Joueur],$B83,JournalActions[Action],$E$65,JournalActions[Mi-temps],E$66))</f>
        <v/>
      </c>
      <c r="F83" s="29" t="str">
        <f>IF(COUNTIFS(JournalActions[Joueur],$B83,JournalActions[Action],$E$65,JournalActions[Mi-temps],F$66)=0,"",COUNTIFS(JournalActions[Joueur],$B83,JournalActions[Action],$E$65,JournalActions[Mi-temps],F$66))</f>
        <v/>
      </c>
      <c r="H83" s="28" t="str">
        <f>IF(COUNTIFS(JournalActions[Joueur],$B83,JournalActions[Action],$H$65,JournalActions[Mi-temps],H$66)=0,"",COUNTIFS(JournalActions[Joueur],$B83,JournalActions[Action],$H$65,JournalActions[Mi-temps],H$66))</f>
        <v/>
      </c>
      <c r="I83" s="29" t="str">
        <f>IF(COUNTIFS(JournalActions[Joueur],$B83,JournalActions[Action],$H$65,JournalActions[Mi-temps],I$66)=0,"",COUNTIFS(JournalActions[Joueur],$B83,JournalActions[Action],$H$65,JournalActions[Mi-temps],I$66))</f>
        <v/>
      </c>
      <c r="J83" s="28" t="str">
        <f>IF(COUNTIFS(JournalActions[Joueur],$B83,JournalActions[Action],$J$65,JournalActions[Mi-temps],J$66)=0,"",COUNTIFS(JournalActions[Joueur],$B83,JournalActions[Action],$J$65,JournalActions[Mi-temps],J$66))</f>
        <v/>
      </c>
      <c r="K83" s="29" t="str">
        <f>IF(COUNTIFS(JournalActions[Joueur],$B83,JournalActions[Action],$J$65,JournalActions[Mi-temps],K$66)=0,"",COUNTIFS(JournalActions[Joueur],$B83,JournalActions[Action],$J$65,JournalActions[Mi-temps],K$66))</f>
        <v/>
      </c>
    </row>
    <row r="84" spans="2:11" s="3" customFormat="1">
      <c r="B84" s="28" t="str">
        <v>MULLIER Victor</v>
      </c>
      <c r="C84" s="28" t="str">
        <f>IF(COUNTIFS(JournalActions[Joueur],$B84,JournalActions[Action],$C$65,JournalActions[Mi-temps],C$66)=0,"",COUNTIFS(JournalActions[Joueur],$B84,JournalActions[Action],$C$65,JournalActions[Mi-temps],C$66))</f>
        <v/>
      </c>
      <c r="D84" s="29" t="str">
        <f>IF(COUNTIFS(JournalActions[Joueur],$B84,JournalActions[Action],$C$65,JournalActions[Mi-temps],D$66)=0,"",COUNTIFS(JournalActions[Joueur],$B84,JournalActions[Action],$C$65,JournalActions[Mi-temps],D$66))</f>
        <v/>
      </c>
      <c r="E84" s="28" t="str">
        <f>IF(COUNTIFS(JournalActions[Joueur],$B84,JournalActions[Action],$E$65,JournalActions[Mi-temps],E$66)=0,"",COUNTIFS(JournalActions[Joueur],$B84,JournalActions[Action],$E$65,JournalActions[Mi-temps],E$66))</f>
        <v/>
      </c>
      <c r="F84" s="29" t="str">
        <f>IF(COUNTIFS(JournalActions[Joueur],$B84,JournalActions[Action],$E$65,JournalActions[Mi-temps],F$66)=0,"",COUNTIFS(JournalActions[Joueur],$B84,JournalActions[Action],$E$65,JournalActions[Mi-temps],F$66))</f>
        <v/>
      </c>
      <c r="H84" s="28" t="str">
        <f>IF(COUNTIFS(JournalActions[Joueur],$B84,JournalActions[Action],$H$65,JournalActions[Mi-temps],H$66)=0,"",COUNTIFS(JournalActions[Joueur],$B84,JournalActions[Action],$H$65,JournalActions[Mi-temps],H$66))</f>
        <v/>
      </c>
      <c r="I84" s="29" t="str">
        <f>IF(COUNTIFS(JournalActions[Joueur],$B84,JournalActions[Action],$H$65,JournalActions[Mi-temps],I$66)=0,"",COUNTIFS(JournalActions[Joueur],$B84,JournalActions[Action],$H$65,JournalActions[Mi-temps],I$66))</f>
        <v/>
      </c>
      <c r="J84" s="28" t="str">
        <f>IF(COUNTIFS(JournalActions[Joueur],$B84,JournalActions[Action],$J$65,JournalActions[Mi-temps],J$66)=0,"",COUNTIFS(JournalActions[Joueur],$B84,JournalActions[Action],$J$65,JournalActions[Mi-temps],J$66))</f>
        <v/>
      </c>
      <c r="K84" s="29" t="str">
        <f>IF(COUNTIFS(JournalActions[Joueur],$B84,JournalActions[Action],$J$65,JournalActions[Mi-temps],K$66)=0,"",COUNTIFS(JournalActions[Joueur],$B84,JournalActions[Action],$J$65,JournalActions[Mi-temps],K$66))</f>
        <v/>
      </c>
    </row>
    <row r="85" spans="2:11" s="3" customFormat="1">
      <c r="B85" s="28" t="str">
        <v>RICHIARDONNE Gregory</v>
      </c>
      <c r="C85" s="28" t="str">
        <f>IF(COUNTIFS(JournalActions[Joueur],$B85,JournalActions[Action],$C$65,JournalActions[Mi-temps],C$66)=0,"",COUNTIFS(JournalActions[Joueur],$B85,JournalActions[Action],$C$65,JournalActions[Mi-temps],C$66))</f>
        <v/>
      </c>
      <c r="D85" s="29" t="str">
        <f>IF(COUNTIFS(JournalActions[Joueur],$B85,JournalActions[Action],$C$65,JournalActions[Mi-temps],D$66)=0,"",COUNTIFS(JournalActions[Joueur],$B85,JournalActions[Action],$C$65,JournalActions[Mi-temps],D$66))</f>
        <v/>
      </c>
      <c r="E85" s="28" t="str">
        <f>IF(COUNTIFS(JournalActions[Joueur],$B85,JournalActions[Action],$E$65,JournalActions[Mi-temps],E$66)=0,"",COUNTIFS(JournalActions[Joueur],$B85,JournalActions[Action],$E$65,JournalActions[Mi-temps],E$66))</f>
        <v/>
      </c>
      <c r="F85" s="29" t="str">
        <f>IF(COUNTIFS(JournalActions[Joueur],$B85,JournalActions[Action],$E$65,JournalActions[Mi-temps],F$66)=0,"",COUNTIFS(JournalActions[Joueur],$B85,JournalActions[Action],$E$65,JournalActions[Mi-temps],F$66))</f>
        <v/>
      </c>
      <c r="H85" s="28" t="str">
        <f>IF(COUNTIFS(JournalActions[Joueur],$B85,JournalActions[Action],$H$65,JournalActions[Mi-temps],H$66)=0,"",COUNTIFS(JournalActions[Joueur],$B85,JournalActions[Action],$H$65,JournalActions[Mi-temps],H$66))</f>
        <v/>
      </c>
      <c r="I85" s="29" t="str">
        <f>IF(COUNTIFS(JournalActions[Joueur],$B85,JournalActions[Action],$H$65,JournalActions[Mi-temps],I$66)=0,"",COUNTIFS(JournalActions[Joueur],$B85,JournalActions[Action],$H$65,JournalActions[Mi-temps],I$66))</f>
        <v/>
      </c>
      <c r="J85" s="28" t="str">
        <f>IF(COUNTIFS(JournalActions[Joueur],$B85,JournalActions[Action],$J$65,JournalActions[Mi-temps],J$66)=0,"",COUNTIFS(JournalActions[Joueur],$B85,JournalActions[Action],$J$65,JournalActions[Mi-temps],J$66))</f>
        <v/>
      </c>
      <c r="K85" s="29" t="str">
        <f>IF(COUNTIFS(JournalActions[Joueur],$B85,JournalActions[Action],$J$65,JournalActions[Mi-temps],K$66)=0,"",COUNTIFS(JournalActions[Joueur],$B85,JournalActions[Action],$J$65,JournalActions[Mi-temps],K$66))</f>
        <v/>
      </c>
    </row>
    <row r="86" spans="2:11" s="3" customFormat="1">
      <c r="B86" s="28" t="str">
        <v>SALLES Fabien</v>
      </c>
      <c r="C86" s="28" t="str">
        <f>IF(COUNTIFS(JournalActions[Joueur],$B86,JournalActions[Action],$C$65,JournalActions[Mi-temps],C$66)=0,"",COUNTIFS(JournalActions[Joueur],$B86,JournalActions[Action],$C$65,JournalActions[Mi-temps],C$66))</f>
        <v/>
      </c>
      <c r="D86" s="29" t="str">
        <f>IF(COUNTIFS(JournalActions[Joueur],$B86,JournalActions[Action],$C$65,JournalActions[Mi-temps],D$66)=0,"",COUNTIFS(JournalActions[Joueur],$B86,JournalActions[Action],$C$65,JournalActions[Mi-temps],D$66))</f>
        <v/>
      </c>
      <c r="E86" s="28" t="str">
        <f>IF(COUNTIFS(JournalActions[Joueur],$B86,JournalActions[Action],$E$65,JournalActions[Mi-temps],E$66)=0,"",COUNTIFS(JournalActions[Joueur],$B86,JournalActions[Action],$E$65,JournalActions[Mi-temps],E$66))</f>
        <v/>
      </c>
      <c r="F86" s="29" t="str">
        <f>IF(COUNTIFS(JournalActions[Joueur],$B86,JournalActions[Action],$E$65,JournalActions[Mi-temps],F$66)=0,"",COUNTIFS(JournalActions[Joueur],$B86,JournalActions[Action],$E$65,JournalActions[Mi-temps],F$66))</f>
        <v/>
      </c>
      <c r="H86" s="28" t="str">
        <f>IF(COUNTIFS(JournalActions[Joueur],$B86,JournalActions[Action],$H$65,JournalActions[Mi-temps],H$66)=0,"",COUNTIFS(JournalActions[Joueur],$B86,JournalActions[Action],$H$65,JournalActions[Mi-temps],H$66))</f>
        <v/>
      </c>
      <c r="I86" s="29" t="str">
        <f>IF(COUNTIFS(JournalActions[Joueur],$B86,JournalActions[Action],$H$65,JournalActions[Mi-temps],I$66)=0,"",COUNTIFS(JournalActions[Joueur],$B86,JournalActions[Action],$H$65,JournalActions[Mi-temps],I$66))</f>
        <v/>
      </c>
      <c r="J86" s="28" t="str">
        <f>IF(COUNTIFS(JournalActions[Joueur],$B86,JournalActions[Action],$J$65,JournalActions[Mi-temps],J$66)=0,"",COUNTIFS(JournalActions[Joueur],$B86,JournalActions[Action],$J$65,JournalActions[Mi-temps],J$66))</f>
        <v/>
      </c>
      <c r="K86" s="29" t="str">
        <f>IF(COUNTIFS(JournalActions[Joueur],$B86,JournalActions[Action],$J$65,JournalActions[Mi-temps],K$66)=0,"",COUNTIFS(JournalActions[Joueur],$B86,JournalActions[Action],$J$65,JournalActions[Mi-temps],K$66))</f>
        <v/>
      </c>
    </row>
    <row r="87" spans="2:11" s="3" customFormat="1">
      <c r="B87" s="28" t="str">
        <v>SOUVILLE Quentin</v>
      </c>
      <c r="C87" s="28" t="str">
        <f>IF(COUNTIFS(JournalActions[Joueur],$B87,JournalActions[Action],$C$65,JournalActions[Mi-temps],C$66)=0,"",COUNTIFS(JournalActions[Joueur],$B87,JournalActions[Action],$C$65,JournalActions[Mi-temps],C$66))</f>
        <v/>
      </c>
      <c r="D87" s="29" t="str">
        <f>IF(COUNTIFS(JournalActions[Joueur],$B87,JournalActions[Action],$C$65,JournalActions[Mi-temps],D$66)=0,"",COUNTIFS(JournalActions[Joueur],$B87,JournalActions[Action],$C$65,JournalActions[Mi-temps],D$66))</f>
        <v/>
      </c>
      <c r="E87" s="28" t="str">
        <f>IF(COUNTIFS(JournalActions[Joueur],$B87,JournalActions[Action],$E$65,JournalActions[Mi-temps],E$66)=0,"",COUNTIFS(JournalActions[Joueur],$B87,JournalActions[Action],$E$65,JournalActions[Mi-temps],E$66))</f>
        <v/>
      </c>
      <c r="F87" s="29" t="str">
        <f>IF(COUNTIFS(JournalActions[Joueur],$B87,JournalActions[Action],$E$65,JournalActions[Mi-temps],F$66)=0,"",COUNTIFS(JournalActions[Joueur],$B87,JournalActions[Action],$E$65,JournalActions[Mi-temps],F$66))</f>
        <v/>
      </c>
      <c r="H87" s="28" t="str">
        <f>IF(COUNTIFS(JournalActions[Joueur],$B87,JournalActions[Action],$H$65,JournalActions[Mi-temps],H$66)=0,"",COUNTIFS(JournalActions[Joueur],$B87,JournalActions[Action],$H$65,JournalActions[Mi-temps],H$66))</f>
        <v/>
      </c>
      <c r="I87" s="29" t="str">
        <f>IF(COUNTIFS(JournalActions[Joueur],$B87,JournalActions[Action],$H$65,JournalActions[Mi-temps],I$66)=0,"",COUNTIFS(JournalActions[Joueur],$B87,JournalActions[Action],$H$65,JournalActions[Mi-temps],I$66))</f>
        <v/>
      </c>
      <c r="J87" s="28" t="str">
        <f>IF(COUNTIFS(JournalActions[Joueur],$B87,JournalActions[Action],$J$65,JournalActions[Mi-temps],J$66)=0,"",COUNTIFS(JournalActions[Joueur],$B87,JournalActions[Action],$J$65,JournalActions[Mi-temps],J$66))</f>
        <v/>
      </c>
      <c r="K87" s="29" t="str">
        <f>IF(COUNTIFS(JournalActions[Joueur],$B87,JournalActions[Action],$J$65,JournalActions[Mi-temps],K$66)=0,"",COUNTIFS(JournalActions[Joueur],$B87,JournalActions[Action],$J$65,JournalActions[Mi-temps],K$66))</f>
        <v/>
      </c>
    </row>
    <row r="88" spans="2:11" s="3" customFormat="1">
      <c r="B88" s="28" t="str">
        <v>STEFANI Titouan</v>
      </c>
      <c r="C88" s="28" t="str">
        <f>IF(COUNTIFS(JournalActions[Joueur],$B88,JournalActions[Action],$C$65,JournalActions[Mi-temps],C$66)=0,"",COUNTIFS(JournalActions[Joueur],$B88,JournalActions[Action],$C$65,JournalActions[Mi-temps],C$66))</f>
        <v/>
      </c>
      <c r="D88" s="29" t="str">
        <f>IF(COUNTIFS(JournalActions[Joueur],$B88,JournalActions[Action],$C$65,JournalActions[Mi-temps],D$66)=0,"",COUNTIFS(JournalActions[Joueur],$B88,JournalActions[Action],$C$65,JournalActions[Mi-temps],D$66))</f>
        <v/>
      </c>
      <c r="E88" s="80" t="str">
        <f>IF(COUNTIFS(JournalActions[Joueur],$B88,JournalActions[Action],$E$65,JournalActions[Mi-temps],E$66)=0,"",COUNTIFS(JournalActions[Joueur],$B88,JournalActions[Action],$E$65,JournalActions[Mi-temps],E$66))</f>
        <v/>
      </c>
      <c r="F88" s="29" t="str">
        <f>IF(COUNTIFS(JournalActions[Joueur],$B88,JournalActions[Action],$E$65,JournalActions[Mi-temps],F$66)=0,"",COUNTIFS(JournalActions[Joueur],$B88,JournalActions[Action],$E$65,JournalActions[Mi-temps],F$66))</f>
        <v/>
      </c>
      <c r="H88" s="28" t="str">
        <f>IF(COUNTIFS(JournalActions[Joueur],$B88,JournalActions[Action],$H$65,JournalActions[Mi-temps],H$66)=0,"",COUNTIFS(JournalActions[Joueur],$B88,JournalActions[Action],$H$65,JournalActions[Mi-temps],H$66))</f>
        <v/>
      </c>
      <c r="I88" s="29" t="str">
        <f>IF(COUNTIFS(JournalActions[Joueur],$B88,JournalActions[Action],$H$65,JournalActions[Mi-temps],I$66)=0,"",COUNTIFS(JournalActions[Joueur],$B88,JournalActions[Action],$H$65,JournalActions[Mi-temps],I$66))</f>
        <v/>
      </c>
      <c r="J88" s="28" t="str">
        <f>IF(COUNTIFS(JournalActions[Joueur],$B88,JournalActions[Action],$J$65,JournalActions[Mi-temps],J$66)=0,"",COUNTIFS(JournalActions[Joueur],$B88,JournalActions[Action],$J$65,JournalActions[Mi-temps],J$66))</f>
        <v/>
      </c>
      <c r="K88" s="29" t="str">
        <f>IF(COUNTIFS(JournalActions[Joueur],$B88,JournalActions[Action],$J$65,JournalActions[Mi-temps],K$66)=0,"",COUNTIFS(JournalActions[Joueur],$B88,JournalActions[Action],$J$65,JournalActions[Mi-temps],K$66))</f>
        <v/>
      </c>
    </row>
    <row r="89" spans="2:11" s="3" customFormat="1">
      <c r="B89" s="26" t="s">
        <v>42</v>
      </c>
      <c r="C89" s="28" t="str">
        <f>IF(COUNTIFS(JournalActions[Joueur],$B89,JournalActions[Action],$C$65,JournalActions[Mi-temps],C$66)=0,"",COUNTIFS(JournalActions[Joueur],$B89,JournalActions[Action],$C$65,JournalActions[Mi-temps],C$66))</f>
        <v/>
      </c>
      <c r="D89" s="29" t="str">
        <f>IF(COUNTIFS(JournalActions[Joueur],$B89,JournalActions[Action],$C$65,JournalActions[Mi-temps],D$66)=0,"",COUNTIFS(JournalActions[Joueur],$B89,JournalActions[Action],$C$65,JournalActions[Mi-temps],D$66))</f>
        <v/>
      </c>
      <c r="E89" s="28" t="str">
        <f>IF(COUNTIFS(JournalActions[Joueur],$B89,JournalActions[Action],$E$65,JournalActions[Mi-temps],E$66)=0,"",COUNTIFS(JournalActions[Joueur],$B89,JournalActions[Action],$E$65,JournalActions[Mi-temps],E$66))</f>
        <v/>
      </c>
      <c r="F89" s="29" t="str">
        <f>IF(COUNTIFS(JournalActions[Joueur],$B89,JournalActions[Action],$E$65,JournalActions[Mi-temps],F$66)=0,"",COUNTIFS(JournalActions[Joueur],$B89,JournalActions[Action],$E$65,JournalActions[Mi-temps],F$66))</f>
        <v/>
      </c>
      <c r="H89" s="28" t="str">
        <f>IF(COUNTIFS(JournalActions[Joueur],$B89,JournalActions[Action],$H$65,JournalActions[Mi-temps],H$66)=0,"",COUNTIFS(JournalActions[Joueur],$B89,JournalActions[Action],$H$65,JournalActions[Mi-temps],H$66))</f>
        <v/>
      </c>
      <c r="I89" s="29" t="str">
        <f>IF(COUNTIFS(JournalActions[Joueur],$B89,JournalActions[Action],$H$65,JournalActions[Mi-temps],I$66)=0,"",COUNTIFS(JournalActions[Joueur],$B89,JournalActions[Action],$H$65,JournalActions[Mi-temps],I$66))</f>
        <v/>
      </c>
      <c r="J89" s="28" t="str">
        <f>IF(COUNTIFS(JournalActions[Joueur],$B89,JournalActions[Action],$J$65,JournalActions[Mi-temps],J$66)=0,"",COUNTIFS(JournalActions[Joueur],$B89,JournalActions[Action],$J$65,JournalActions[Mi-temps],J$66))</f>
        <v/>
      </c>
      <c r="K89" s="29" t="str">
        <f>IF(COUNTIFS(JournalActions[Joueur],$B89,JournalActions[Action],$J$65,JournalActions[Mi-temps],K$66)=0,"",COUNTIFS(JournalActions[Joueur],$B89,JournalActions[Action],$J$65,JournalActions[Mi-temps],K$66))</f>
        <v/>
      </c>
    </row>
    <row r="90" spans="2:11" s="3" customFormat="1">
      <c r="B90" s="27" t="s">
        <v>32</v>
      </c>
      <c r="C90" s="28" t="str">
        <f>IF(COUNTIFS(JournalActions[Joueur],$B90,JournalActions[Action],$C$65,JournalActions[Mi-temps],C$66)=0,"",COUNTIFS(JournalActions[Joueur],$B90,JournalActions[Action],$C$65,JournalActions[Mi-temps],C$66))</f>
        <v/>
      </c>
      <c r="D90" s="29" t="str">
        <f>IF(COUNTIFS(JournalActions[Joueur],$B90,JournalActions[Action],$C$65,JournalActions[Mi-temps],D$66)=0,"",COUNTIFS(JournalActions[Joueur],$B90,JournalActions[Action],$C$65,JournalActions[Mi-temps],D$66))</f>
        <v/>
      </c>
      <c r="E90" s="28" t="str">
        <f>IF(COUNTIFS(JournalActions[Joueur],$B90,JournalActions[Action],$E$65,JournalActions[Mi-temps],E$66)=0,"",COUNTIFS(JournalActions[Joueur],$B90,JournalActions[Action],$E$65,JournalActions[Mi-temps],E$66))</f>
        <v/>
      </c>
      <c r="F90" s="29" t="str">
        <f>IF(COUNTIFS(JournalActions[Joueur],$B90,JournalActions[Action],$E$65,JournalActions[Mi-temps],F$66)=0,"",COUNTIFS(JournalActions[Joueur],$B90,JournalActions[Action],$E$65,JournalActions[Mi-temps],F$66))</f>
        <v/>
      </c>
      <c r="H90" s="28" t="str">
        <f>IF(COUNTIFS(JournalActions[Joueur],$B90,JournalActions[Action],$H$65,JournalActions[Mi-temps],H$66)=0,"",COUNTIFS(JournalActions[Joueur],$B90,JournalActions[Action],$H$65,JournalActions[Mi-temps],H$66))</f>
        <v/>
      </c>
      <c r="I90" s="29" t="str">
        <f>IF(COUNTIFS(JournalActions[Joueur],$B90,JournalActions[Action],$H$65,JournalActions[Mi-temps],I$66)=0,"",COUNTIFS(JournalActions[Joueur],$B90,JournalActions[Action],$H$65,JournalActions[Mi-temps],I$66))</f>
        <v/>
      </c>
      <c r="J90" s="28" t="str">
        <f>IF(COUNTIFS(JournalActions[Joueur],$B90,JournalActions[Action],$J$65,JournalActions[Mi-temps],J$66)=0,"",COUNTIFS(JournalActions[Joueur],$B90,JournalActions[Action],$J$65,JournalActions[Mi-temps],J$66))</f>
        <v/>
      </c>
      <c r="K90" s="29" t="str">
        <f>IF(COUNTIFS(JournalActions[Joueur],$B90,JournalActions[Action],$J$65,JournalActions[Mi-temps],K$66)=0,"",COUNTIFS(JournalActions[Joueur],$B90,JournalActions[Action],$J$65,JournalActions[Mi-temps],K$66))</f>
        <v/>
      </c>
    </row>
    <row r="91" spans="2:11" s="3" customFormat="1" ht="14">
      <c r="B91" s="52" t="s">
        <v>176</v>
      </c>
      <c r="C91" s="53">
        <f>SUM(C67:C90)</f>
        <v>0</v>
      </c>
      <c r="D91" s="54">
        <f t="shared" ref="D91" si="10">SUM(D67:D90)</f>
        <v>0</v>
      </c>
      <c r="E91" s="53">
        <f>SUM(E67:E90)</f>
        <v>0</v>
      </c>
      <c r="F91" s="54">
        <f t="shared" ref="F91" si="11">SUM(F67:F90)</f>
        <v>0</v>
      </c>
      <c r="H91" s="74">
        <f>SUM(H67:H90)</f>
        <v>0</v>
      </c>
      <c r="I91" s="75">
        <f>SUM(I67:I90)</f>
        <v>0</v>
      </c>
      <c r="J91" s="74">
        <f>SUM(J67:J90)</f>
        <v>0</v>
      </c>
      <c r="K91" s="75">
        <f t="shared" ref="K91" si="12">SUM(K67:K90)</f>
        <v>0</v>
      </c>
    </row>
    <row r="92" spans="2:11" s="3" customFormat="1" ht="16">
      <c r="B92" s="55" t="s">
        <v>175</v>
      </c>
      <c r="C92" s="260">
        <f>C91+D91</f>
        <v>0</v>
      </c>
      <c r="D92" s="252"/>
      <c r="E92" s="260">
        <f>E91+F91</f>
        <v>0</v>
      </c>
      <c r="F92" s="252"/>
      <c r="H92" s="261">
        <f>H91+I91</f>
        <v>0</v>
      </c>
      <c r="I92" s="262"/>
      <c r="J92" s="261">
        <f>J91+K91</f>
        <v>0</v>
      </c>
      <c r="K92" s="262"/>
    </row>
    <row r="93" spans="2:11" s="3" customFormat="1"/>
    <row r="94" spans="2:11" s="3" customFormat="1"/>
    <row r="95" spans="2:11" s="3" customFormat="1" ht="14" thickBot="1"/>
    <row r="96" spans="2:11" s="3" customFormat="1" ht="17">
      <c r="B96" s="125" t="s">
        <v>389</v>
      </c>
      <c r="C96" s="126" t="s">
        <v>47</v>
      </c>
      <c r="D96" s="127" t="s">
        <v>113</v>
      </c>
      <c r="F96" s="263" t="s">
        <v>390</v>
      </c>
      <c r="G96" s="264"/>
      <c r="H96" s="126" t="s">
        <v>46</v>
      </c>
      <c r="I96" s="126" t="s">
        <v>44</v>
      </c>
      <c r="J96" s="133" t="s">
        <v>236</v>
      </c>
    </row>
    <row r="97" spans="2:10" s="3" customFormat="1" ht="16">
      <c r="B97" s="128" t="s">
        <v>237</v>
      </c>
      <c r="C97" s="81">
        <v>0</v>
      </c>
      <c r="D97" s="129">
        <v>0</v>
      </c>
      <c r="F97" s="258" t="s">
        <v>237</v>
      </c>
      <c r="G97" s="259"/>
      <c r="H97" s="81">
        <v>0</v>
      </c>
      <c r="I97" s="81">
        <v>0</v>
      </c>
      <c r="J97" s="134">
        <v>0</v>
      </c>
    </row>
    <row r="98" spans="2:10" s="3" customFormat="1" ht="16">
      <c r="B98" s="128" t="s">
        <v>238</v>
      </c>
      <c r="C98" s="81">
        <v>0</v>
      </c>
      <c r="D98" s="129">
        <v>0</v>
      </c>
      <c r="F98" s="258" t="s">
        <v>238</v>
      </c>
      <c r="G98" s="259"/>
      <c r="H98" s="81">
        <v>0</v>
      </c>
      <c r="I98" s="81">
        <v>0</v>
      </c>
      <c r="J98" s="134">
        <v>0</v>
      </c>
    </row>
    <row r="99" spans="2:10" s="3" customFormat="1" ht="16">
      <c r="B99" s="128" t="s">
        <v>239</v>
      </c>
      <c r="C99" s="81">
        <v>0</v>
      </c>
      <c r="D99" s="129">
        <v>0</v>
      </c>
      <c r="F99" s="258" t="s">
        <v>239</v>
      </c>
      <c r="G99" s="259"/>
      <c r="H99" s="81">
        <v>0</v>
      </c>
      <c r="I99" s="81">
        <v>0</v>
      </c>
      <c r="J99" s="134">
        <v>0</v>
      </c>
    </row>
    <row r="100" spans="2:10" s="3" customFormat="1" ht="16">
      <c r="B100" s="128" t="s">
        <v>240</v>
      </c>
      <c r="C100" s="81">
        <v>0</v>
      </c>
      <c r="D100" s="129">
        <v>0</v>
      </c>
      <c r="F100" s="258" t="s">
        <v>240</v>
      </c>
      <c r="G100" s="259"/>
      <c r="H100" s="81">
        <v>0</v>
      </c>
      <c r="I100" s="81">
        <v>0</v>
      </c>
      <c r="J100" s="134">
        <v>0</v>
      </c>
    </row>
    <row r="101" spans="2:10" s="3" customFormat="1" ht="17" thickBot="1">
      <c r="B101" s="130" t="s">
        <v>241</v>
      </c>
      <c r="C101" s="131">
        <v>0</v>
      </c>
      <c r="D101" s="132">
        <v>0</v>
      </c>
      <c r="F101" s="258" t="s">
        <v>391</v>
      </c>
      <c r="G101" s="259"/>
      <c r="H101" s="81">
        <v>0</v>
      </c>
      <c r="I101" s="81">
        <v>0</v>
      </c>
      <c r="J101" s="134">
        <v>0</v>
      </c>
    </row>
    <row r="102" spans="2:10" s="3" customFormat="1" ht="16">
      <c r="F102" s="258" t="s">
        <v>392</v>
      </c>
      <c r="G102" s="259"/>
      <c r="H102" s="81">
        <v>0</v>
      </c>
      <c r="I102" s="81">
        <v>0</v>
      </c>
      <c r="J102" s="134">
        <v>0</v>
      </c>
    </row>
    <row r="103" spans="2:10" s="3" customFormat="1" ht="16">
      <c r="F103" s="258" t="s">
        <v>393</v>
      </c>
      <c r="G103" s="259"/>
      <c r="H103" s="81">
        <v>0</v>
      </c>
      <c r="I103" s="81">
        <v>0</v>
      </c>
      <c r="J103" s="134">
        <v>0</v>
      </c>
    </row>
    <row r="104" spans="2:10" s="3" customFormat="1" ht="17" thickBot="1">
      <c r="F104" s="256" t="s">
        <v>394</v>
      </c>
      <c r="G104" s="257"/>
      <c r="H104" s="131">
        <v>0</v>
      </c>
      <c r="I104" s="131">
        <v>0</v>
      </c>
      <c r="J104" s="135">
        <v>0</v>
      </c>
    </row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  <row r="1057" s="3" customFormat="1"/>
    <row r="1058" s="3" customFormat="1"/>
  </sheetData>
  <mergeCells count="57">
    <mergeCell ref="P38:P39"/>
    <mergeCell ref="G42:H42"/>
    <mergeCell ref="U6:Z6"/>
    <mergeCell ref="U34:U35"/>
    <mergeCell ref="V34:V35"/>
    <mergeCell ref="W34:W35"/>
    <mergeCell ref="X34:X35"/>
    <mergeCell ref="Y34:Y35"/>
    <mergeCell ref="Z34:Z35"/>
    <mergeCell ref="L44:M44"/>
    <mergeCell ref="C35:D35"/>
    <mergeCell ref="E35:F35"/>
    <mergeCell ref="G35:H35"/>
    <mergeCell ref="I35:J35"/>
    <mergeCell ref="K35:L35"/>
    <mergeCell ref="L38:L39"/>
    <mergeCell ref="M38:O38"/>
    <mergeCell ref="M35:N35"/>
    <mergeCell ref="J92:K92"/>
    <mergeCell ref="L45:M45"/>
    <mergeCell ref="L46:M46"/>
    <mergeCell ref="L47:M47"/>
    <mergeCell ref="L48:M48"/>
    <mergeCell ref="L49:M49"/>
    <mergeCell ref="B61:K63"/>
    <mergeCell ref="B65:B66"/>
    <mergeCell ref="C65:D65"/>
    <mergeCell ref="E65:F65"/>
    <mergeCell ref="H65:I65"/>
    <mergeCell ref="J65:K65"/>
    <mergeCell ref="B58:K59"/>
    <mergeCell ref="F97:G97"/>
    <mergeCell ref="F98:G98"/>
    <mergeCell ref="C92:D92"/>
    <mergeCell ref="E92:F92"/>
    <mergeCell ref="H92:I92"/>
    <mergeCell ref="F96:G96"/>
    <mergeCell ref="F104:G104"/>
    <mergeCell ref="F99:G99"/>
    <mergeCell ref="F100:G100"/>
    <mergeCell ref="F101:G101"/>
    <mergeCell ref="F102:G102"/>
    <mergeCell ref="F103:G103"/>
    <mergeCell ref="B3:T4"/>
    <mergeCell ref="Q6:R6"/>
    <mergeCell ref="Q35:R35"/>
    <mergeCell ref="S6:T6"/>
    <mergeCell ref="S35:T35"/>
    <mergeCell ref="O6:P6"/>
    <mergeCell ref="O35:P35"/>
    <mergeCell ref="K6:L6"/>
    <mergeCell ref="M6:N6"/>
    <mergeCell ref="B6:B7"/>
    <mergeCell ref="C6:D6"/>
    <mergeCell ref="E6:F6"/>
    <mergeCell ref="G6:H6"/>
    <mergeCell ref="I6:J6"/>
  </mergeCells>
  <conditionalFormatting sqref="L40:P40 B8:Z33">
    <cfRule type="expression" dxfId="15" priority="6" stopIfTrue="1">
      <formula>ISEVEN(ROW())</formula>
    </cfRule>
  </conditionalFormatting>
  <conditionalFormatting sqref="B67:B90">
    <cfRule type="expression" dxfId="14" priority="5" stopIfTrue="1">
      <formula>ISEVEN(ROW())</formula>
    </cfRule>
  </conditionalFormatting>
  <conditionalFormatting sqref="C67:D90">
    <cfRule type="expression" dxfId="13" priority="4" stopIfTrue="1">
      <formula>ISEVEN(ROW())</formula>
    </cfRule>
  </conditionalFormatting>
  <conditionalFormatting sqref="H67:I90">
    <cfRule type="expression" dxfId="12" priority="3" stopIfTrue="1">
      <formula>ISEVEN(ROW())</formula>
    </cfRule>
  </conditionalFormatting>
  <conditionalFormatting sqref="J67:K90">
    <cfRule type="expression" dxfId="11" priority="2" stopIfTrue="1">
      <formula>ISEVEN(ROW())</formula>
    </cfRule>
  </conditionalFormatting>
  <conditionalFormatting sqref="E67:F90">
    <cfRule type="expression" dxfId="10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G300"/>
  <sheetViews>
    <sheetView showGridLines="0" workbookViewId="0">
      <selection activeCell="D12" sqref="D12"/>
    </sheetView>
    <sheetView workbookViewId="1"/>
  </sheetViews>
  <sheetFormatPr baseColWidth="10" defaultRowHeight="13"/>
  <cols>
    <col min="1" max="4" width="12.83203125" customWidth="1"/>
    <col min="5" max="5" width="25.1640625" bestFit="1" customWidth="1"/>
    <col min="6" max="9" width="12.83203125" customWidth="1"/>
    <col min="10" max="10" width="103" bestFit="1" customWidth="1"/>
    <col min="11" max="20" width="12.83203125" customWidth="1"/>
    <col min="21" max="21" width="30.83203125" customWidth="1"/>
    <col min="22" max="22" width="10.83203125" customWidth="1"/>
    <col min="23" max="33" width="10.83203125" hidden="1" customWidth="1"/>
  </cols>
  <sheetData>
    <row r="1" spans="1:31" ht="18">
      <c r="A1" s="175" t="s">
        <v>444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  <c r="T1" s="137"/>
    </row>
    <row r="2" spans="1:31">
      <c r="A2" t="s">
        <v>445</v>
      </c>
      <c r="B2" t="s">
        <v>7</v>
      </c>
      <c r="C2" t="s">
        <v>446</v>
      </c>
      <c r="D2" t="s">
        <v>447</v>
      </c>
      <c r="E2" t="s">
        <v>448</v>
      </c>
      <c r="F2" t="s">
        <v>449</v>
      </c>
      <c r="G2" t="s">
        <v>450</v>
      </c>
      <c r="H2" t="s">
        <v>451</v>
      </c>
      <c r="I2" t="s">
        <v>452</v>
      </c>
      <c r="J2" t="s">
        <v>453</v>
      </c>
      <c r="K2" s="137"/>
      <c r="L2" s="137"/>
      <c r="M2" s="137"/>
      <c r="N2" s="137"/>
      <c r="O2" s="137"/>
      <c r="P2" s="137"/>
      <c r="Q2" s="137"/>
      <c r="R2" s="137"/>
      <c r="S2" s="137"/>
      <c r="T2" s="137"/>
    </row>
    <row r="3" spans="1:31">
      <c r="A3" s="82"/>
      <c r="K3" s="137"/>
      <c r="L3" s="137"/>
      <c r="M3" s="137"/>
      <c r="N3" s="137"/>
      <c r="O3" s="137"/>
      <c r="P3" s="137"/>
      <c r="Q3" s="137"/>
      <c r="R3" s="137"/>
      <c r="S3" s="137"/>
      <c r="T3" s="137"/>
      <c r="AE3" s="98"/>
    </row>
    <row r="4" spans="1:31">
      <c r="A4" s="176"/>
      <c r="B4" s="137"/>
      <c r="C4" s="137"/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  <c r="O4" s="137"/>
      <c r="P4" s="137"/>
      <c r="Q4" s="137"/>
      <c r="R4" s="137"/>
      <c r="S4" s="137"/>
      <c r="T4" s="137"/>
    </row>
    <row r="5" spans="1:31">
      <c r="A5" s="109" t="s">
        <v>221</v>
      </c>
      <c r="B5" s="110" t="s">
        <v>210</v>
      </c>
      <c r="C5" s="110" t="s">
        <v>144</v>
      </c>
      <c r="D5" s="110" t="s">
        <v>473</v>
      </c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</row>
    <row r="6" spans="1:31">
      <c r="A6" s="111" t="s">
        <v>142</v>
      </c>
      <c r="B6" s="112">
        <f>COUNTIFS(DetailTouches[Lance pour],"N",DetailTouches[Issue],"G")</f>
        <v>0</v>
      </c>
      <c r="C6" s="112">
        <f>COUNTIFS(DetailTouches[Lance pour],"N",DetailTouches[Issue],"P")</f>
        <v>0</v>
      </c>
      <c r="D6" s="112">
        <f>COUNTIFS(DetailTouches[Lance pour],"N",DetailTouches[Issue],"ND")</f>
        <v>0</v>
      </c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</row>
    <row r="7" spans="1:31">
      <c r="A7" s="107" t="s">
        <v>172</v>
      </c>
      <c r="B7" s="108">
        <f>COUNTIFS(DetailTouches[Lance pour],"E",DetailTouches[Issue],"P")</f>
        <v>0</v>
      </c>
      <c r="C7" s="108">
        <f>COUNTIFS(DetailTouches[Lance pour],"E",DetailTouches[Issue],"G")</f>
        <v>0</v>
      </c>
      <c r="D7" s="108">
        <f>COUNTIFS(DetailTouches[Lance pour],"E",DetailTouches[Issue],"ND")</f>
        <v>0</v>
      </c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37"/>
      <c r="R7" s="137"/>
      <c r="S7" s="137"/>
      <c r="T7" s="137"/>
    </row>
    <row r="8" spans="1:31">
      <c r="A8" s="137"/>
      <c r="B8" s="137"/>
      <c r="C8" s="137"/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37"/>
      <c r="R8" s="137"/>
      <c r="S8" s="137"/>
      <c r="T8" s="137"/>
    </row>
    <row r="9" spans="1:31">
      <c r="A9" s="137"/>
      <c r="B9" s="137"/>
      <c r="C9" s="137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7"/>
      <c r="S9" s="137"/>
      <c r="T9" s="137"/>
    </row>
    <row r="10" spans="1:31" ht="18">
      <c r="A10" s="175" t="s">
        <v>454</v>
      </c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37"/>
      <c r="T10" s="137"/>
    </row>
    <row r="11" spans="1:31">
      <c r="A11" t="s">
        <v>445</v>
      </c>
      <c r="B11" t="s">
        <v>7</v>
      </c>
      <c r="C11" t="s">
        <v>472</v>
      </c>
      <c r="D11" t="s">
        <v>447</v>
      </c>
      <c r="E11" t="s">
        <v>455</v>
      </c>
      <c r="F11" t="s">
        <v>456</v>
      </c>
      <c r="G11" t="s">
        <v>457</v>
      </c>
      <c r="H11" t="s">
        <v>458</v>
      </c>
      <c r="I11" t="s">
        <v>459</v>
      </c>
      <c r="J11" t="s">
        <v>453</v>
      </c>
      <c r="K11" s="137"/>
      <c r="L11" s="137"/>
      <c r="M11" s="137"/>
      <c r="N11" s="137"/>
      <c r="O11" s="137"/>
      <c r="P11" s="137"/>
      <c r="Q11" s="137"/>
      <c r="R11" s="137"/>
      <c r="S11" s="137"/>
      <c r="T11" s="137"/>
    </row>
    <row r="12" spans="1:31">
      <c r="A12" s="82"/>
      <c r="G12" s="96"/>
      <c r="H12" s="96"/>
      <c r="I12" s="96"/>
      <c r="K12" s="137"/>
      <c r="L12" s="137"/>
      <c r="M12" s="137"/>
      <c r="N12" s="137"/>
      <c r="O12" s="137"/>
      <c r="P12" s="137"/>
      <c r="Q12" s="137"/>
      <c r="R12" s="137"/>
      <c r="S12" s="137"/>
      <c r="T12" s="137"/>
    </row>
    <row r="13" spans="1:31">
      <c r="A13" s="176"/>
      <c r="B13" s="137"/>
      <c r="C13" s="137"/>
      <c r="D13" s="137"/>
      <c r="E13" s="137"/>
      <c r="F13" s="137"/>
      <c r="G13" s="177"/>
      <c r="H13" s="177"/>
      <c r="I13" s="177"/>
      <c r="J13" s="137"/>
      <c r="K13" s="137"/>
      <c r="L13" s="137"/>
      <c r="M13" s="137"/>
      <c r="N13" s="137"/>
      <c r="O13" s="137"/>
      <c r="P13" s="137"/>
      <c r="Q13" s="137"/>
      <c r="R13" s="137"/>
      <c r="S13" s="137"/>
      <c r="T13" s="137"/>
    </row>
    <row r="14" spans="1:31">
      <c r="A14" s="113" t="s">
        <v>474</v>
      </c>
      <c r="B14" s="114" t="s">
        <v>210</v>
      </c>
      <c r="C14" s="114" t="s">
        <v>144</v>
      </c>
      <c r="E14" s="137"/>
      <c r="F14" s="137"/>
      <c r="G14" s="177"/>
      <c r="H14" s="177"/>
      <c r="I14" s="177"/>
      <c r="J14" s="137"/>
      <c r="K14" s="137"/>
      <c r="L14" s="137"/>
      <c r="M14" s="137"/>
      <c r="N14" s="137"/>
      <c r="O14" s="137"/>
      <c r="P14" s="137"/>
      <c r="Q14" s="137"/>
      <c r="R14" s="137"/>
      <c r="S14" s="137"/>
      <c r="T14" s="137"/>
    </row>
    <row r="15" spans="1:31">
      <c r="A15" s="115" t="s">
        <v>142</v>
      </c>
      <c r="B15" s="116">
        <f>COUNTIFS(DetailMelees[Introduction pour],"N",DetailMelees[Issue],"G")</f>
        <v>0</v>
      </c>
      <c r="C15" s="116">
        <f>COUNTIFS(DetailMelees[Introduction pour],"N",DetailMelees[Issue],"P")</f>
        <v>0</v>
      </c>
      <c r="E15" s="137"/>
      <c r="F15" s="137"/>
      <c r="G15" s="177"/>
      <c r="H15" s="177"/>
      <c r="I15" s="17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137"/>
    </row>
    <row r="16" spans="1:31">
      <c r="A16" s="107" t="s">
        <v>172</v>
      </c>
      <c r="B16" s="108">
        <f>COUNTIFS(DetailMelees[Introduction pour],"E",DetailMelees[Issue],"P")</f>
        <v>0</v>
      </c>
      <c r="C16" s="108">
        <f>COUNTIFS(DetailMelees[Introduction pour],"E",DetailMelees[Issue],"G")</f>
        <v>0</v>
      </c>
      <c r="E16" s="137"/>
      <c r="F16" s="137"/>
      <c r="G16" s="177"/>
      <c r="H16" s="177"/>
      <c r="I16" s="177"/>
      <c r="J16" s="137"/>
      <c r="K16" s="137"/>
      <c r="L16" s="137"/>
      <c r="M16" s="137"/>
      <c r="N16" s="137"/>
      <c r="O16" s="137"/>
      <c r="P16" s="137"/>
      <c r="Q16" s="137"/>
      <c r="R16" s="137"/>
      <c r="S16" s="137"/>
      <c r="T16" s="137"/>
    </row>
    <row r="17" spans="1:20">
      <c r="A17" s="137"/>
      <c r="B17" s="137"/>
      <c r="C17" s="137"/>
      <c r="D17" s="137"/>
      <c r="E17" s="137"/>
      <c r="F17" s="137"/>
      <c r="G17" s="177"/>
      <c r="H17" s="177"/>
      <c r="I17" s="177"/>
      <c r="J17" s="137"/>
      <c r="K17" s="137"/>
      <c r="L17" s="137"/>
      <c r="M17" s="137"/>
      <c r="N17" s="137"/>
      <c r="O17" s="137"/>
      <c r="P17" s="137"/>
      <c r="Q17" s="137"/>
      <c r="R17" s="137"/>
      <c r="S17" s="137"/>
      <c r="T17" s="137"/>
    </row>
    <row r="18" spans="1:20">
      <c r="A18" s="287" t="s">
        <v>516</v>
      </c>
      <c r="B18" s="287"/>
      <c r="C18" s="137"/>
      <c r="D18" s="137"/>
      <c r="E18" s="137"/>
      <c r="F18" s="137"/>
      <c r="G18" s="177"/>
      <c r="H18" s="177"/>
      <c r="I18" s="177"/>
      <c r="J18" s="137"/>
      <c r="K18" s="137"/>
      <c r="L18" s="137"/>
      <c r="M18" s="137"/>
      <c r="N18" s="137"/>
      <c r="O18" s="137"/>
      <c r="P18" s="137"/>
      <c r="Q18" s="137"/>
      <c r="R18" s="137"/>
      <c r="S18" s="137"/>
      <c r="T18" s="137"/>
    </row>
    <row r="19" spans="1:20">
      <c r="A19" s="287"/>
      <c r="B19" s="287"/>
      <c r="C19" s="137"/>
      <c r="D19" s="137"/>
      <c r="E19" s="137"/>
      <c r="F19" s="137"/>
      <c r="G19" s="177"/>
      <c r="H19" s="177"/>
      <c r="I19" s="177"/>
      <c r="J19" s="137"/>
      <c r="K19" s="137"/>
      <c r="L19" s="137"/>
      <c r="M19" s="137"/>
      <c r="N19" s="137"/>
      <c r="O19" s="137"/>
      <c r="P19" s="137"/>
      <c r="Q19" s="137"/>
      <c r="R19" s="137"/>
      <c r="S19" s="137"/>
      <c r="T19" s="137"/>
    </row>
    <row r="20" spans="1:20">
      <c r="A20" s="137"/>
      <c r="B20" s="137"/>
      <c r="C20" s="137"/>
      <c r="D20" s="137"/>
      <c r="E20" s="137"/>
      <c r="F20" s="137"/>
      <c r="G20" s="177"/>
      <c r="H20" s="177"/>
      <c r="I20" s="177"/>
      <c r="J20" s="137"/>
      <c r="K20" s="137"/>
      <c r="L20" s="137"/>
      <c r="M20" s="137"/>
      <c r="N20" s="137"/>
      <c r="O20" s="137"/>
      <c r="P20" s="137"/>
      <c r="Q20" s="137"/>
      <c r="R20" s="137"/>
      <c r="S20" s="137"/>
      <c r="T20" s="137"/>
    </row>
    <row r="21" spans="1:20">
      <c r="A21" s="137"/>
      <c r="B21" s="137"/>
      <c r="C21" s="137"/>
      <c r="D21" s="137"/>
      <c r="E21" s="137"/>
      <c r="F21" s="137"/>
      <c r="G21" s="177"/>
      <c r="H21" s="177"/>
      <c r="I21" s="177"/>
      <c r="J21" s="137"/>
      <c r="K21" s="137"/>
      <c r="L21" s="137"/>
      <c r="M21" s="137"/>
      <c r="N21" s="137"/>
      <c r="O21" s="137"/>
      <c r="P21" s="137"/>
      <c r="Q21" s="137"/>
      <c r="R21" s="137"/>
      <c r="S21" s="137"/>
      <c r="T21" s="137"/>
    </row>
    <row r="22" spans="1:20">
      <c r="A22" s="137"/>
      <c r="B22" s="137"/>
      <c r="C22" s="137"/>
      <c r="D22" s="137"/>
      <c r="E22" s="137"/>
      <c r="F22" s="137"/>
      <c r="G22" s="177"/>
      <c r="H22" s="177"/>
      <c r="I22" s="177"/>
      <c r="J22" s="137"/>
      <c r="K22" s="137"/>
      <c r="L22" s="137"/>
      <c r="M22" s="137"/>
      <c r="N22" s="137"/>
      <c r="O22" s="137"/>
      <c r="P22" s="137"/>
      <c r="Q22" s="137"/>
      <c r="R22" s="137"/>
      <c r="S22" s="137"/>
      <c r="T22" s="137"/>
    </row>
    <row r="23" spans="1:20">
      <c r="A23" s="137"/>
      <c r="B23" s="137"/>
      <c r="C23" s="137"/>
      <c r="D23" s="137"/>
      <c r="E23" s="137"/>
      <c r="F23" s="137"/>
      <c r="G23" s="177"/>
      <c r="H23" s="177"/>
      <c r="I23" s="177"/>
      <c r="J23" s="137"/>
      <c r="K23" s="137"/>
      <c r="L23" s="137"/>
      <c r="M23" s="137"/>
      <c r="N23" s="137"/>
      <c r="O23" s="137"/>
      <c r="P23" s="137"/>
      <c r="Q23" s="137"/>
      <c r="R23" s="137"/>
      <c r="S23" s="137"/>
      <c r="T23" s="137"/>
    </row>
    <row r="24" spans="1:20">
      <c r="A24" s="137"/>
      <c r="B24" s="137"/>
      <c r="C24" s="137"/>
      <c r="D24" s="137"/>
      <c r="E24" s="137"/>
      <c r="F24" s="137"/>
      <c r="G24" s="177"/>
      <c r="H24" s="177"/>
      <c r="I24" s="17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</row>
    <row r="25" spans="1:20">
      <c r="A25" s="137"/>
      <c r="B25" s="137"/>
      <c r="C25" s="137"/>
      <c r="D25" s="137"/>
      <c r="E25" s="137"/>
      <c r="F25" s="137"/>
      <c r="G25" s="177"/>
      <c r="H25" s="177"/>
      <c r="I25" s="17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</row>
    <row r="26" spans="1:20">
      <c r="A26" s="137"/>
      <c r="B26" s="137"/>
      <c r="C26" s="137"/>
      <c r="D26" s="137"/>
      <c r="E26" s="137"/>
      <c r="F26" s="137"/>
      <c r="G26" s="177"/>
      <c r="H26" s="177"/>
      <c r="I26" s="177"/>
      <c r="J26" s="137"/>
      <c r="K26" s="137"/>
      <c r="L26" s="137"/>
      <c r="M26" s="137"/>
      <c r="N26" s="137"/>
      <c r="O26" s="137"/>
      <c r="P26" s="137"/>
      <c r="Q26" s="137"/>
      <c r="R26" s="137"/>
      <c r="S26" s="137"/>
      <c r="T26" s="137"/>
    </row>
    <row r="27" spans="1:20">
      <c r="A27" s="137"/>
      <c r="B27" s="137"/>
      <c r="C27" s="137"/>
      <c r="D27" s="137"/>
      <c r="E27" s="137"/>
      <c r="F27" s="137"/>
      <c r="G27" s="177"/>
      <c r="H27" s="177"/>
      <c r="I27" s="17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</row>
    <row r="28" spans="1:20">
      <c r="A28" s="137"/>
      <c r="B28" s="137"/>
      <c r="C28" s="137"/>
      <c r="D28" s="137"/>
      <c r="E28" s="137"/>
      <c r="F28" s="137"/>
      <c r="G28" s="177"/>
      <c r="H28" s="177"/>
      <c r="I28" s="177"/>
      <c r="J28" s="137"/>
      <c r="K28" s="137"/>
      <c r="L28" s="137"/>
      <c r="M28" s="137"/>
      <c r="N28" s="137"/>
      <c r="O28" s="137"/>
      <c r="P28" s="137"/>
      <c r="Q28" s="137"/>
      <c r="R28" s="137"/>
      <c r="S28" s="137"/>
      <c r="T28" s="137"/>
    </row>
    <row r="29" spans="1:20">
      <c r="A29" s="137"/>
      <c r="B29" s="137"/>
      <c r="C29" s="137"/>
      <c r="D29" s="137"/>
      <c r="E29" s="137"/>
      <c r="F29" s="137"/>
      <c r="G29" s="177"/>
      <c r="H29" s="177"/>
      <c r="I29" s="17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</row>
    <row r="30" spans="1:20">
      <c r="A30" s="137"/>
      <c r="B30" s="137"/>
      <c r="C30" s="137"/>
      <c r="D30" s="137"/>
      <c r="E30" s="137"/>
      <c r="F30" s="137"/>
      <c r="G30" s="177"/>
      <c r="H30" s="177"/>
      <c r="I30" s="17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</row>
    <row r="31" spans="1:20">
      <c r="A31" s="137"/>
      <c r="B31" s="137"/>
      <c r="C31" s="137"/>
      <c r="D31" s="137"/>
      <c r="E31" s="137"/>
      <c r="F31" s="137"/>
      <c r="G31" s="177"/>
      <c r="H31" s="177"/>
      <c r="I31" s="177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</row>
    <row r="32" spans="1:20">
      <c r="A32" s="137"/>
      <c r="B32" s="137"/>
      <c r="C32" s="137"/>
      <c r="D32" s="137"/>
      <c r="E32" s="137"/>
      <c r="F32" s="137"/>
      <c r="G32" s="177"/>
      <c r="H32" s="177"/>
      <c r="I32" s="17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</row>
    <row r="33" spans="1:20">
      <c r="A33" s="137"/>
      <c r="B33" s="137"/>
      <c r="C33" s="137"/>
      <c r="D33" s="137"/>
      <c r="E33" s="137"/>
      <c r="F33" s="137"/>
      <c r="G33" s="177"/>
      <c r="H33" s="177"/>
      <c r="I33" s="17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</row>
    <row r="34" spans="1:20">
      <c r="A34" s="137"/>
      <c r="B34" s="137"/>
      <c r="C34" s="137"/>
      <c r="D34" s="137"/>
      <c r="E34" s="137"/>
      <c r="F34" s="137"/>
      <c r="G34" s="177"/>
      <c r="H34" s="177"/>
      <c r="I34" s="17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</row>
    <row r="35" spans="1:20">
      <c r="A35" s="137"/>
      <c r="B35" s="137"/>
      <c r="C35" s="137"/>
      <c r="D35" s="137"/>
      <c r="E35" s="137"/>
      <c r="F35" s="137"/>
      <c r="G35" s="177"/>
      <c r="H35" s="177"/>
      <c r="I35" s="17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</row>
    <row r="36" spans="1:20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</row>
    <row r="37" spans="1:20">
      <c r="A37" s="137"/>
      <c r="B37" s="137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</row>
    <row r="38" spans="1:20">
      <c r="A38" s="137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</row>
    <row r="39" spans="1:20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</row>
    <row r="40" spans="1:20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</row>
    <row r="41" spans="1:20">
      <c r="A41" s="137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</row>
    <row r="42" spans="1:20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</row>
    <row r="43" spans="1:20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</row>
    <row r="44" spans="1:20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</row>
    <row r="45" spans="1:20">
      <c r="A45" s="137"/>
      <c r="B45" s="137"/>
      <c r="C45" s="137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7"/>
      <c r="S45" s="137"/>
      <c r="T45" s="137"/>
    </row>
    <row r="46" spans="1:20">
      <c r="A46" s="137"/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</row>
    <row r="47" spans="1:20">
      <c r="A47" s="137"/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</row>
    <row r="48" spans="1:20">
      <c r="A48" s="137"/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</row>
    <row r="49" spans="1:20">
      <c r="A49" s="137"/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</row>
    <row r="50" spans="1:20">
      <c r="A50" s="137"/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  <c r="T50" s="137"/>
    </row>
    <row r="51" spans="1:20">
      <c r="A51" s="137"/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</row>
    <row r="52" spans="1:20">
      <c r="A52" s="137"/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  <c r="S52" s="137"/>
      <c r="T52" s="137"/>
    </row>
    <row r="53" spans="1:20">
      <c r="A53" s="137"/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  <c r="R53" s="137"/>
      <c r="S53" s="137"/>
      <c r="T53" s="137"/>
    </row>
    <row r="54" spans="1:20">
      <c r="A54" s="137"/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  <c r="R54" s="137"/>
      <c r="S54" s="137"/>
      <c r="T54" s="137"/>
    </row>
    <row r="55" spans="1:20">
      <c r="A55" s="137"/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</row>
    <row r="56" spans="1:20">
      <c r="A56" s="137"/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</row>
    <row r="57" spans="1:20">
      <c r="A57" s="137"/>
      <c r="B57" s="137"/>
      <c r="C57" s="137"/>
      <c r="D57" s="137"/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</row>
    <row r="58" spans="1:20">
      <c r="A58" s="137"/>
      <c r="B58" s="137"/>
      <c r="C58" s="137"/>
      <c r="D58" s="137"/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</row>
    <row r="59" spans="1:20">
      <c r="A59" s="137"/>
      <c r="B59" s="137"/>
      <c r="C59" s="137"/>
      <c r="D59" s="137"/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137"/>
    </row>
    <row r="60" spans="1:20">
      <c r="A60" s="137"/>
      <c r="B60" s="137"/>
      <c r="C60" s="137"/>
      <c r="D60" s="137"/>
      <c r="E60" s="137"/>
      <c r="F60" s="137"/>
      <c r="G60" s="137"/>
      <c r="H60" s="137"/>
      <c r="I60" s="137"/>
      <c r="J60" s="137"/>
      <c r="K60" s="137"/>
      <c r="L60" s="137"/>
      <c r="M60" s="137"/>
      <c r="N60" s="137"/>
      <c r="O60" s="137"/>
      <c r="P60" s="137"/>
      <c r="Q60" s="137"/>
      <c r="R60" s="137"/>
      <c r="S60" s="137"/>
      <c r="T60" s="137"/>
    </row>
    <row r="61" spans="1:20">
      <c r="A61" s="137"/>
      <c r="B61" s="137"/>
      <c r="C61" s="137"/>
      <c r="D61" s="137"/>
      <c r="E61" s="137"/>
      <c r="F61" s="137"/>
      <c r="G61" s="137"/>
      <c r="H61" s="137"/>
      <c r="I61" s="137"/>
      <c r="J61" s="137"/>
      <c r="K61" s="137"/>
      <c r="L61" s="137"/>
      <c r="M61" s="137"/>
      <c r="N61" s="137"/>
      <c r="O61" s="137"/>
      <c r="P61" s="137"/>
      <c r="Q61" s="137"/>
      <c r="R61" s="137"/>
      <c r="S61" s="137"/>
      <c r="T61" s="137"/>
    </row>
    <row r="62" spans="1:20">
      <c r="A62" s="137"/>
      <c r="B62" s="137"/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7"/>
      <c r="S62" s="137"/>
      <c r="T62" s="137"/>
    </row>
    <row r="63" spans="1:20">
      <c r="A63" s="137"/>
      <c r="B63" s="137"/>
      <c r="C63" s="137"/>
      <c r="D63" s="137"/>
      <c r="E63" s="137"/>
      <c r="F63" s="137"/>
      <c r="G63" s="137"/>
      <c r="H63" s="137"/>
      <c r="I63" s="137"/>
      <c r="J63" s="137"/>
      <c r="K63" s="137"/>
      <c r="L63" s="137"/>
      <c r="M63" s="137"/>
      <c r="N63" s="137"/>
      <c r="O63" s="137"/>
      <c r="P63" s="137"/>
      <c r="Q63" s="137"/>
      <c r="R63" s="137"/>
      <c r="S63" s="137"/>
      <c r="T63" s="137"/>
    </row>
    <row r="64" spans="1:20">
      <c r="A64" s="137"/>
      <c r="B64" s="137"/>
      <c r="C64" s="137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137"/>
    </row>
    <row r="65" spans="1:20">
      <c r="A65" s="137"/>
      <c r="B65" s="137"/>
      <c r="C65" s="137"/>
      <c r="D65" s="137"/>
      <c r="E65" s="137"/>
      <c r="F65" s="137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</row>
    <row r="66" spans="1:20">
      <c r="A66" s="137"/>
      <c r="B66" s="137"/>
      <c r="C66" s="137"/>
      <c r="D66" s="137"/>
      <c r="E66" s="137"/>
      <c r="F66" s="137"/>
      <c r="G66" s="137"/>
      <c r="H66" s="137"/>
      <c r="I66" s="137"/>
      <c r="J66" s="137"/>
      <c r="K66" s="137"/>
      <c r="L66" s="137"/>
      <c r="M66" s="137"/>
      <c r="N66" s="137"/>
      <c r="O66" s="137"/>
      <c r="P66" s="137"/>
      <c r="Q66" s="137"/>
      <c r="R66" s="137"/>
      <c r="S66" s="137"/>
      <c r="T66" s="137"/>
    </row>
    <row r="67" spans="1:20">
      <c r="A67" s="137"/>
      <c r="B67" s="137"/>
      <c r="C67" s="137"/>
      <c r="D67" s="137"/>
      <c r="E67" s="137"/>
      <c r="F67" s="137"/>
      <c r="G67" s="137"/>
      <c r="H67" s="137"/>
      <c r="I67" s="137"/>
      <c r="J67" s="137"/>
      <c r="K67" s="137"/>
      <c r="L67" s="137"/>
      <c r="M67" s="137"/>
      <c r="N67" s="137"/>
      <c r="O67" s="137"/>
      <c r="P67" s="137"/>
      <c r="Q67" s="137"/>
      <c r="R67" s="137"/>
      <c r="S67" s="137"/>
      <c r="T67" s="137"/>
    </row>
    <row r="68" spans="1:20">
      <c r="A68" s="137"/>
      <c r="B68" s="137"/>
      <c r="C68" s="137"/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</row>
    <row r="69" spans="1:20">
      <c r="A69" s="137"/>
      <c r="B69" s="137"/>
      <c r="C69" s="137"/>
      <c r="D69" s="137"/>
      <c r="E69" s="137"/>
      <c r="F69" s="137"/>
      <c r="G69" s="137"/>
      <c r="H69" s="137"/>
      <c r="I69" s="137"/>
      <c r="J69" s="137"/>
      <c r="K69" s="137"/>
      <c r="L69" s="137"/>
      <c r="M69" s="137"/>
      <c r="N69" s="137"/>
      <c r="O69" s="137"/>
      <c r="P69" s="137"/>
      <c r="Q69" s="137"/>
      <c r="R69" s="137"/>
      <c r="S69" s="137"/>
      <c r="T69" s="137"/>
    </row>
    <row r="70" spans="1:20">
      <c r="A70" s="137"/>
      <c r="B70" s="137"/>
      <c r="C70" s="137"/>
      <c r="D70" s="137"/>
      <c r="E70" s="137"/>
      <c r="F70" s="137"/>
      <c r="G70" s="137"/>
      <c r="H70" s="137"/>
      <c r="I70" s="137"/>
      <c r="J70" s="137"/>
      <c r="K70" s="137"/>
      <c r="L70" s="137"/>
      <c r="M70" s="137"/>
      <c r="N70" s="137"/>
      <c r="O70" s="137"/>
      <c r="P70" s="137"/>
      <c r="Q70" s="137"/>
      <c r="R70" s="137"/>
      <c r="S70" s="137"/>
      <c r="T70" s="137"/>
    </row>
    <row r="71" spans="1:20">
      <c r="A71" s="137"/>
      <c r="B71" s="137"/>
      <c r="C71" s="137"/>
      <c r="D71" s="137"/>
      <c r="E71" s="137"/>
      <c r="F71" s="137"/>
      <c r="G71" s="137"/>
      <c r="H71" s="137"/>
      <c r="I71" s="137"/>
      <c r="J71" s="137"/>
      <c r="K71" s="137"/>
      <c r="L71" s="137"/>
      <c r="M71" s="137"/>
      <c r="N71" s="137"/>
      <c r="O71" s="137"/>
      <c r="P71" s="137"/>
      <c r="Q71" s="137"/>
      <c r="R71" s="137"/>
      <c r="S71" s="137"/>
      <c r="T71" s="137"/>
    </row>
    <row r="72" spans="1:20">
      <c r="A72" s="137"/>
      <c r="B72" s="137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</row>
    <row r="73" spans="1:20">
      <c r="A73" s="137"/>
      <c r="B73" s="137"/>
      <c r="C73" s="137"/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  <c r="Q73" s="137"/>
      <c r="R73" s="137"/>
      <c r="S73" s="137"/>
      <c r="T73" s="137"/>
    </row>
    <row r="74" spans="1:20">
      <c r="A74" s="137"/>
      <c r="B74" s="137"/>
      <c r="C74" s="137"/>
      <c r="D74" s="137"/>
      <c r="E74" s="137"/>
      <c r="F74" s="137"/>
      <c r="G74" s="137"/>
      <c r="H74" s="137"/>
      <c r="I74" s="137"/>
      <c r="J74" s="137"/>
      <c r="K74" s="137"/>
      <c r="L74" s="137"/>
      <c r="M74" s="137"/>
      <c r="N74" s="137"/>
      <c r="O74" s="137"/>
      <c r="P74" s="137"/>
      <c r="Q74" s="137"/>
      <c r="R74" s="137"/>
      <c r="S74" s="137"/>
      <c r="T74" s="137"/>
    </row>
    <row r="75" spans="1:20">
      <c r="A75" s="137"/>
      <c r="B75" s="137"/>
      <c r="C75" s="137"/>
      <c r="D75" s="137"/>
      <c r="E75" s="137"/>
      <c r="F75" s="137"/>
      <c r="G75" s="137"/>
      <c r="H75" s="137"/>
      <c r="I75" s="137"/>
      <c r="J75" s="137"/>
      <c r="K75" s="137"/>
      <c r="L75" s="137"/>
      <c r="M75" s="137"/>
      <c r="N75" s="137"/>
      <c r="O75" s="137"/>
      <c r="P75" s="137"/>
      <c r="Q75" s="137"/>
      <c r="R75" s="137"/>
      <c r="S75" s="137"/>
      <c r="T75" s="137"/>
    </row>
    <row r="76" spans="1:20">
      <c r="A76" s="137"/>
      <c r="B76" s="137"/>
      <c r="C76" s="137"/>
      <c r="D76" s="137"/>
      <c r="E76" s="137"/>
      <c r="F76" s="137"/>
      <c r="G76" s="137"/>
      <c r="H76" s="137"/>
      <c r="I76" s="137"/>
      <c r="J76" s="137"/>
      <c r="K76" s="137"/>
      <c r="L76" s="137"/>
      <c r="M76" s="137"/>
      <c r="N76" s="137"/>
      <c r="O76" s="137"/>
      <c r="P76" s="137"/>
      <c r="Q76" s="137"/>
      <c r="R76" s="137"/>
      <c r="S76" s="137"/>
      <c r="T76" s="137"/>
    </row>
    <row r="77" spans="1:20">
      <c r="A77" s="137"/>
      <c r="B77" s="137"/>
      <c r="C77" s="137"/>
      <c r="D77" s="137"/>
      <c r="E77" s="137"/>
      <c r="F77" s="137"/>
      <c r="G77" s="137"/>
      <c r="H77" s="137"/>
      <c r="I77" s="137"/>
      <c r="J77" s="137"/>
      <c r="K77" s="137"/>
      <c r="L77" s="137"/>
      <c r="M77" s="137"/>
      <c r="N77" s="137"/>
      <c r="O77" s="137"/>
      <c r="P77" s="137"/>
      <c r="Q77" s="137"/>
      <c r="R77" s="137"/>
      <c r="S77" s="137"/>
      <c r="T77" s="137"/>
    </row>
    <row r="78" spans="1:20">
      <c r="A78" s="137"/>
      <c r="B78" s="137"/>
      <c r="C78" s="137"/>
      <c r="D78" s="137"/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137"/>
      <c r="Q78" s="137"/>
      <c r="R78" s="137"/>
      <c r="S78" s="137"/>
      <c r="T78" s="137"/>
    </row>
    <row r="79" spans="1:20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</row>
    <row r="80" spans="1:20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</row>
    <row r="81" spans="1:20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</row>
    <row r="82" spans="1:20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</row>
    <row r="83" spans="1:20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</row>
    <row r="84" spans="1:20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</row>
    <row r="85" spans="1:20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</row>
    <row r="86" spans="1:20">
      <c r="A86" s="137"/>
      <c r="B86" s="137"/>
      <c r="C86" s="137"/>
      <c r="D86" s="137"/>
      <c r="E86" s="137"/>
      <c r="F86" s="137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</row>
    <row r="87" spans="1:20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</row>
    <row r="88" spans="1:20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</row>
    <row r="89" spans="1:20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</row>
    <row r="90" spans="1:20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</row>
    <row r="91" spans="1:20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</row>
    <row r="92" spans="1:20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</row>
    <row r="93" spans="1:20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</row>
    <row r="94" spans="1:20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</row>
    <row r="95" spans="1:20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</row>
    <row r="96" spans="1:20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</row>
    <row r="97" spans="1:20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</row>
    <row r="98" spans="1:20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</row>
    <row r="99" spans="1:20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</row>
    <row r="100" spans="1:20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</row>
    <row r="101" spans="1:20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</row>
    <row r="102" spans="1:20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</row>
    <row r="103" spans="1:20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</row>
    <row r="104" spans="1:20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</row>
    <row r="105" spans="1:20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</row>
    <row r="106" spans="1:20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</row>
    <row r="107" spans="1:20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</row>
    <row r="108" spans="1:20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</row>
    <row r="109" spans="1:20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</row>
    <row r="110" spans="1:20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</row>
    <row r="111" spans="1:20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</row>
    <row r="112" spans="1:20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</row>
    <row r="113" spans="1:20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</row>
    <row r="114" spans="1:20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</row>
    <row r="115" spans="1:20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</row>
    <row r="116" spans="1:20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</row>
    <row r="117" spans="1:20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</row>
    <row r="118" spans="1:20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</row>
    <row r="119" spans="1:20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</row>
    <row r="120" spans="1:20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</row>
    <row r="121" spans="1:20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</row>
    <row r="122" spans="1:20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</row>
    <row r="123" spans="1:20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</row>
    <row r="124" spans="1:20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</row>
    <row r="125" spans="1:20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</row>
    <row r="126" spans="1:20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</row>
    <row r="127" spans="1:20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</row>
    <row r="128" spans="1:20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</row>
    <row r="129" spans="1:20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</row>
    <row r="130" spans="1:20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</row>
    <row r="131" spans="1:20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</row>
    <row r="132" spans="1:20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</row>
    <row r="133" spans="1:20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</row>
    <row r="134" spans="1:20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</row>
    <row r="135" spans="1:20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</row>
    <row r="136" spans="1:20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</row>
    <row r="137" spans="1:20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</row>
    <row r="138" spans="1:20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</row>
    <row r="139" spans="1:20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</row>
    <row r="140" spans="1:20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</row>
    <row r="141" spans="1:20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</row>
    <row r="142" spans="1:20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</row>
    <row r="143" spans="1:20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</row>
    <row r="144" spans="1:20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</row>
    <row r="145" spans="1:20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</row>
    <row r="146" spans="1:20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</row>
    <row r="147" spans="1:20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</row>
    <row r="148" spans="1:20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</row>
    <row r="149" spans="1:20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</row>
    <row r="150" spans="1:20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</row>
    <row r="151" spans="1:20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</row>
    <row r="152" spans="1:20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</row>
    <row r="153" spans="1:20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</row>
    <row r="154" spans="1:20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</row>
    <row r="155" spans="1:20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</row>
    <row r="156" spans="1:20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</row>
    <row r="157" spans="1:20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</row>
    <row r="158" spans="1:20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</row>
    <row r="159" spans="1:20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</row>
    <row r="160" spans="1:20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</row>
    <row r="161" spans="1:20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</row>
    <row r="162" spans="1:20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</row>
    <row r="163" spans="1:20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</row>
    <row r="164" spans="1:20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</row>
    <row r="165" spans="1:20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</row>
    <row r="166" spans="1:20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</row>
    <row r="167" spans="1:20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</row>
    <row r="168" spans="1:20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</row>
    <row r="169" spans="1:20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</row>
    <row r="170" spans="1:20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</row>
    <row r="171" spans="1:20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</row>
    <row r="172" spans="1:20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</row>
    <row r="173" spans="1:20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</row>
    <row r="174" spans="1:20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</row>
    <row r="175" spans="1:20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</row>
    <row r="176" spans="1:20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</row>
    <row r="177" spans="1:20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</row>
    <row r="178" spans="1:20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</row>
    <row r="179" spans="1:20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</row>
    <row r="180" spans="1:20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</row>
    <row r="181" spans="1:20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</row>
    <row r="182" spans="1:20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</row>
    <row r="183" spans="1:20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</row>
    <row r="184" spans="1:20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</row>
    <row r="185" spans="1:20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</row>
    <row r="186" spans="1:20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</row>
    <row r="187" spans="1:20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</row>
    <row r="188" spans="1:20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</row>
    <row r="189" spans="1:20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</row>
    <row r="190" spans="1:20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</row>
    <row r="191" spans="1:20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</row>
    <row r="192" spans="1:20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</row>
    <row r="193" spans="1:33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</row>
    <row r="194" spans="1:33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</row>
    <row r="195" spans="1:33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</row>
    <row r="196" spans="1:33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</row>
    <row r="197" spans="1:33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</row>
    <row r="198" spans="1:33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</row>
    <row r="199" spans="1:33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</row>
    <row r="200" spans="1:33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W200" t="s">
        <v>412</v>
      </c>
      <c r="X200" t="s">
        <v>415</v>
      </c>
      <c r="Y200" t="s">
        <v>419</v>
      </c>
      <c r="Z200" t="s">
        <v>420</v>
      </c>
      <c r="AA200" t="s">
        <v>426</v>
      </c>
      <c r="AB200" t="s">
        <v>429</v>
      </c>
      <c r="AC200" t="s">
        <v>438</v>
      </c>
      <c r="AD200" t="s">
        <v>440</v>
      </c>
      <c r="AE200" t="s">
        <v>460</v>
      </c>
      <c r="AF200" t="s">
        <v>469</v>
      </c>
      <c r="AG200" t="s">
        <v>657</v>
      </c>
    </row>
    <row r="201" spans="1:33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W201" t="s">
        <v>413</v>
      </c>
      <c r="X201" t="s">
        <v>416</v>
      </c>
      <c r="Y201" t="s">
        <v>416</v>
      </c>
      <c r="Z201" t="s">
        <v>421</v>
      </c>
      <c r="AA201" t="s">
        <v>427</v>
      </c>
      <c r="AB201" t="s">
        <v>430</v>
      </c>
      <c r="AC201">
        <v>2</v>
      </c>
      <c r="AD201" t="s">
        <v>441</v>
      </c>
      <c r="AE201" t="s">
        <v>461</v>
      </c>
      <c r="AF201" t="s">
        <v>470</v>
      </c>
      <c r="AG201" t="s">
        <v>483</v>
      </c>
    </row>
    <row r="202" spans="1:33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W202" t="s">
        <v>414</v>
      </c>
      <c r="X202" t="s">
        <v>417</v>
      </c>
      <c r="Y202" t="s">
        <v>417</v>
      </c>
      <c r="Z202" t="s">
        <v>422</v>
      </c>
      <c r="AA202" t="s">
        <v>428</v>
      </c>
      <c r="AB202" t="s">
        <v>431</v>
      </c>
      <c r="AC202">
        <v>3</v>
      </c>
      <c r="AD202" t="s">
        <v>442</v>
      </c>
      <c r="AE202" t="s">
        <v>170</v>
      </c>
      <c r="AF202" t="s">
        <v>471</v>
      </c>
      <c r="AG202" t="s">
        <v>480</v>
      </c>
    </row>
    <row r="203" spans="1:33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X203" t="s">
        <v>418</v>
      </c>
      <c r="Z203" t="s">
        <v>423</v>
      </c>
      <c r="AB203" t="s">
        <v>432</v>
      </c>
      <c r="AC203">
        <v>4</v>
      </c>
      <c r="AD203" t="s">
        <v>443</v>
      </c>
      <c r="AE203" t="s">
        <v>462</v>
      </c>
      <c r="AG203" t="s">
        <v>495</v>
      </c>
    </row>
    <row r="204" spans="1:33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Z204" t="s">
        <v>424</v>
      </c>
      <c r="AB204" t="s">
        <v>433</v>
      </c>
      <c r="AC204">
        <v>5</v>
      </c>
      <c r="AG204" t="s">
        <v>484</v>
      </c>
    </row>
    <row r="205" spans="1:33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Z205" t="s">
        <v>425</v>
      </c>
      <c r="AB205" t="s">
        <v>434</v>
      </c>
      <c r="AC205">
        <v>6</v>
      </c>
      <c r="AG205" t="s">
        <v>482</v>
      </c>
    </row>
    <row r="206" spans="1:33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AB206" t="s">
        <v>435</v>
      </c>
      <c r="AC206" t="s">
        <v>439</v>
      </c>
      <c r="AG206" t="s">
        <v>493</v>
      </c>
    </row>
    <row r="207" spans="1:33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AB207" t="s">
        <v>436</v>
      </c>
      <c r="AG207" t="s">
        <v>487</v>
      </c>
    </row>
    <row r="208" spans="1:33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AB208" t="s">
        <v>437</v>
      </c>
      <c r="AG208" t="s">
        <v>494</v>
      </c>
    </row>
    <row r="209" spans="1:33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AB209" t="s">
        <v>653</v>
      </c>
      <c r="AG209" t="s">
        <v>486</v>
      </c>
    </row>
    <row r="210" spans="1:33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AB210" t="s">
        <v>654</v>
      </c>
      <c r="AG210" t="s">
        <v>481</v>
      </c>
    </row>
    <row r="211" spans="1:33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AB211" t="s">
        <v>655</v>
      </c>
      <c r="AG211" t="s">
        <v>509</v>
      </c>
    </row>
    <row r="212" spans="1:33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AG212" t="s">
        <v>511</v>
      </c>
    </row>
    <row r="213" spans="1:33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AG213" t="s">
        <v>490</v>
      </c>
    </row>
    <row r="214" spans="1:33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AG214" t="s">
        <v>489</v>
      </c>
    </row>
    <row r="215" spans="1:33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AG215" t="s">
        <v>488</v>
      </c>
    </row>
    <row r="216" spans="1:33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AG216" t="s">
        <v>479</v>
      </c>
    </row>
    <row r="217" spans="1:33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AG217" t="s">
        <v>485</v>
      </c>
    </row>
    <row r="218" spans="1:33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AG218" t="s">
        <v>510</v>
      </c>
    </row>
    <row r="219" spans="1:33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AG219" t="s">
        <v>492</v>
      </c>
    </row>
    <row r="220" spans="1:33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AG220" t="s">
        <v>491</v>
      </c>
    </row>
    <row r="221" spans="1:33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AG221" t="s">
        <v>513</v>
      </c>
    </row>
    <row r="222" spans="1:33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AG222" t="s">
        <v>512</v>
      </c>
    </row>
    <row r="223" spans="1:33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AG223" t="s">
        <v>42</v>
      </c>
    </row>
    <row r="224" spans="1:33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AG224" t="s">
        <v>32</v>
      </c>
    </row>
    <row r="225" spans="1:20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</row>
    <row r="226" spans="1:20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</row>
    <row r="227" spans="1:20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</row>
    <row r="228" spans="1:20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</row>
    <row r="229" spans="1:20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</row>
    <row r="230" spans="1:20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</row>
    <row r="231" spans="1:20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</row>
    <row r="232" spans="1:20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</row>
    <row r="233" spans="1:20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</row>
    <row r="234" spans="1:20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</row>
    <row r="235" spans="1:20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</row>
    <row r="236" spans="1:20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</row>
    <row r="237" spans="1:20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</row>
    <row r="238" spans="1:20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</row>
    <row r="239" spans="1:20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</row>
    <row r="240" spans="1:20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</row>
    <row r="241" spans="1:20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</row>
    <row r="242" spans="1:20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</row>
    <row r="243" spans="1:20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</row>
    <row r="244" spans="1:20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</row>
    <row r="245" spans="1:20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</row>
    <row r="246" spans="1:20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</row>
    <row r="247" spans="1:20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</row>
    <row r="248" spans="1:20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</row>
    <row r="249" spans="1:20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</row>
    <row r="250" spans="1:20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</row>
    <row r="251" spans="1:20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</row>
    <row r="252" spans="1:20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</row>
    <row r="253" spans="1:20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</row>
    <row r="254" spans="1:20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</row>
    <row r="255" spans="1:20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</row>
    <row r="256" spans="1:20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</row>
    <row r="257" spans="1:20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</row>
    <row r="258" spans="1:20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</row>
    <row r="259" spans="1:20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</row>
    <row r="260" spans="1:20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</row>
    <row r="261" spans="1:20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</row>
    <row r="262" spans="1:20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</row>
    <row r="263" spans="1:20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</row>
    <row r="264" spans="1:20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</row>
    <row r="265" spans="1:20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</row>
    <row r="266" spans="1:20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</row>
    <row r="267" spans="1:20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</row>
    <row r="268" spans="1:20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</row>
    <row r="269" spans="1:20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</row>
    <row r="270" spans="1:20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</row>
    <row r="271" spans="1:20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</row>
    <row r="272" spans="1:20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</row>
    <row r="273" spans="1:20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</row>
    <row r="274" spans="1:20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</row>
    <row r="275" spans="1:20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</row>
    <row r="276" spans="1:20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</row>
    <row r="277" spans="1:20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</row>
    <row r="278" spans="1:20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</row>
    <row r="279" spans="1:20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</row>
    <row r="280" spans="1:20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</row>
    <row r="281" spans="1:20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</row>
    <row r="282" spans="1:20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</row>
    <row r="283" spans="1:20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</row>
    <row r="284" spans="1:20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</row>
    <row r="285" spans="1:20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</row>
    <row r="286" spans="1:20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</row>
    <row r="287" spans="1:20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</row>
    <row r="288" spans="1:20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</row>
    <row r="289" spans="1:20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</row>
    <row r="290" spans="1:20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</row>
    <row r="291" spans="1:20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</row>
    <row r="292" spans="1:20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</row>
    <row r="293" spans="1:20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</row>
    <row r="294" spans="1:20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</row>
    <row r="295" spans="1:20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</row>
    <row r="296" spans="1:20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</row>
    <row r="297" spans="1:20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</row>
    <row r="298" spans="1:20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</row>
    <row r="299" spans="1:20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</row>
    <row r="300" spans="1:20"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</row>
  </sheetData>
  <mergeCells count="1">
    <mergeCell ref="A18:B19"/>
  </mergeCells>
  <conditionalFormatting sqref="D3">
    <cfRule type="expression" dxfId="9" priority="1" stopIfTrue="1">
      <formula>($C3&amp;$D3)="NP"</formula>
    </cfRule>
    <cfRule type="expression" dxfId="8" priority="2" stopIfTrue="1">
      <formula>($C3&amp;$D3)="EG"</formula>
    </cfRule>
  </conditionalFormatting>
  <conditionalFormatting sqref="G3">
    <cfRule type="expression" dxfId="7" priority="3" stopIfTrue="1">
      <formula>$G3="F"</formula>
    </cfRule>
    <cfRule type="expression" dxfId="6" priority="4" stopIfTrue="1">
      <formula>$G3="C"</formula>
    </cfRule>
  </conditionalFormatting>
  <conditionalFormatting sqref="A3:J3">
    <cfRule type="expression" dxfId="5" priority="5" stopIfTrue="1">
      <formula>$C3="N"</formula>
    </cfRule>
    <cfRule type="expression" dxfId="4" priority="6" stopIfTrue="1">
      <formula>$C3&lt;&gt;""</formula>
    </cfRule>
  </conditionalFormatting>
  <conditionalFormatting sqref="D12">
    <cfRule type="expression" dxfId="3" priority="7" stopIfTrue="1">
      <formula>($C12&amp;$D12)="NP"</formula>
    </cfRule>
    <cfRule type="expression" dxfId="2" priority="8" stopIfTrue="1">
      <formula>($C12&amp;$D12)="EG"</formula>
    </cfRule>
  </conditionalFormatting>
  <conditionalFormatting sqref="A12:J12">
    <cfRule type="expression" dxfId="1" priority="9" stopIfTrue="1">
      <formula>$C12="N"</formula>
    </cfRule>
    <cfRule type="expression" dxfId="0" priority="10" stopIfTrue="1">
      <formula>$C12&lt;&gt;""</formula>
    </cfRule>
  </conditionalFormatting>
  <dataValidations count="13">
    <dataValidation type="list" allowBlank="1" showInputMessage="1" showErrorMessage="1" sqref="E35" xr:uid="{64A4C253-AEB6-0746-8088-408393901E28}">
      <formula1>$AB$2:$AB$9</formula1>
    </dataValidation>
    <dataValidation type="list" allowBlank="1" showInputMessage="1" showErrorMessage="1" sqref="F35" xr:uid="{5677D023-EFE8-D448-B8D6-30965607D817}">
      <formula1>$AD$2:$AD$4</formula1>
    </dataValidation>
    <dataValidation type="list" allowBlank="1" showInputMessage="1" showErrorMessage="1" sqref="E28" xr:uid="{4D513F7B-B505-BB45-82B3-1D68C8DA627E}">
      <formula1>$AB$192:$AB$202</formula1>
    </dataValidation>
    <dataValidation type="list" allowBlank="1" showInputMessage="1" showErrorMessage="1" sqref="F28" xr:uid="{1599686B-1E4F-2443-AA72-256F6BD806CB}">
      <formula1>$AD$192:$AD$194</formula1>
    </dataValidation>
    <dataValidation type="list" allowBlank="1" showInputMessage="1" showErrorMessage="1" sqref="C4 C3 C12" xr:uid="{160DAEE1-B35F-794E-8E89-9B3C5D261F9D}">
      <formula1>$W$201:$W$202</formula1>
    </dataValidation>
    <dataValidation type="list" allowBlank="1" showInputMessage="1" showErrorMessage="1" sqref="H3 H4:H5 E12" xr:uid="{DBEF4FDC-3988-BC45-97D1-6C72E0AAEDE7}">
      <formula1>$AB$201:$AB$211</formula1>
    </dataValidation>
    <dataValidation type="list" allowBlank="1" showInputMessage="1" showErrorMessage="1" sqref="D12" xr:uid="{440EAE97-A8C7-E549-B04D-A810FEF449D4}">
      <formula1>$Y$201:$Y$202</formula1>
    </dataValidation>
    <dataValidation type="list" allowBlank="1" showInputMessage="1" showErrorMessage="1" sqref="F12" xr:uid="{786ADD47-E37F-E846-AC64-2F44CD41B497}">
      <formula1>$AD$201:$AD$203</formula1>
    </dataValidation>
    <dataValidation type="list" allowBlank="1" showInputMessage="1" showErrorMessage="1" sqref="E4:E5 E3" xr:uid="{DCF8B176-769B-B74B-9FA0-AC1825394A14}">
      <formula1>$AG$201:$AG$224</formula1>
    </dataValidation>
    <dataValidation type="list" allowBlank="1" showInputMessage="1" showErrorMessage="1" sqref="D4 D3" xr:uid="{7B56866B-A433-5C40-8523-350E76ED41BF}">
      <formula1>$X$201:$X$203</formula1>
    </dataValidation>
    <dataValidation type="list" allowBlank="1" showInputMessage="1" showErrorMessage="1" sqref="F4:F5 F3" xr:uid="{E2D9A05D-2535-F848-87FD-DA190BC2A6A6}">
      <formula1>$Z$201:$Z$205</formula1>
    </dataValidation>
    <dataValidation type="list" allowBlank="1" showInputMessage="1" showErrorMessage="1" sqref="G4:G5 G3" xr:uid="{4B4E4EC1-3EA6-C944-B5F6-4670FB2366D4}">
      <formula1>$AA$201:$AA$202</formula1>
    </dataValidation>
    <dataValidation type="list" allowBlank="1" showInputMessage="1" showErrorMessage="1" sqref="I4:I5 I3" xr:uid="{07CD3060-D2EB-C741-AAEA-69684ABFC2BF}">
      <formula1>$AC$201:$AC$206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M52" workbookViewId="0">
      <selection activeCell="Q65" sqref="Q65"/>
    </sheetView>
    <sheetView workbookViewId="1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31.33203125" customWidth="1"/>
    <col min="27" max="27" width="0" hidden="1" customWidth="1"/>
  </cols>
  <sheetData>
    <row r="1" spans="1:27" ht="30" customHeight="1">
      <c r="A1" t="s">
        <v>66</v>
      </c>
      <c r="C1" s="15" t="s">
        <v>187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T1" t="s">
        <v>656</v>
      </c>
      <c r="V1" t="s">
        <v>658</v>
      </c>
      <c r="AA1" t="s">
        <v>483</v>
      </c>
    </row>
    <row r="2" spans="1:27" ht="30" customHeight="1">
      <c r="C2" s="19" t="s">
        <v>177</v>
      </c>
      <c r="D2" s="19"/>
      <c r="F2" s="17" t="s">
        <v>100</v>
      </c>
      <c r="G2" s="10"/>
      <c r="I2" s="18" t="s">
        <v>47</v>
      </c>
      <c r="K2" s="123" t="s">
        <v>480</v>
      </c>
      <c r="N2" t="s">
        <v>153</v>
      </c>
      <c r="Q2" s="18" t="s">
        <v>78</v>
      </c>
      <c r="R2" s="18" t="s">
        <v>8</v>
      </c>
      <c r="T2" t="s">
        <v>624</v>
      </c>
      <c r="AA2" t="s">
        <v>480</v>
      </c>
    </row>
    <row r="3" spans="1:27" ht="30" customHeight="1">
      <c r="C3" s="19" t="s">
        <v>186</v>
      </c>
      <c r="D3" s="19"/>
      <c r="F3" s="20" t="s">
        <v>101</v>
      </c>
      <c r="G3" s="4"/>
      <c r="I3" s="25" t="s">
        <v>113</v>
      </c>
      <c r="K3" s="123" t="s">
        <v>492</v>
      </c>
      <c r="N3" t="s">
        <v>169</v>
      </c>
      <c r="Q3" s="21" t="s">
        <v>79</v>
      </c>
      <c r="R3" s="21" t="s">
        <v>57</v>
      </c>
      <c r="T3" t="s">
        <v>625</v>
      </c>
      <c r="AA3" t="s">
        <v>495</v>
      </c>
    </row>
    <row r="4" spans="1:27" ht="30" customHeight="1">
      <c r="C4" s="19" t="s">
        <v>188</v>
      </c>
      <c r="D4" s="19"/>
      <c r="F4" s="17" t="s">
        <v>102</v>
      </c>
      <c r="G4" s="5"/>
      <c r="K4" s="123" t="s">
        <v>482</v>
      </c>
      <c r="Q4" s="18" t="s">
        <v>80</v>
      </c>
      <c r="R4" s="18" t="s">
        <v>9</v>
      </c>
      <c r="T4" t="s">
        <v>626</v>
      </c>
      <c r="AA4" t="s">
        <v>484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123" t="s">
        <v>509</v>
      </c>
      <c r="Q5" s="21" t="s">
        <v>81</v>
      </c>
      <c r="R5" s="21" t="s">
        <v>82</v>
      </c>
      <c r="T5" t="s">
        <v>627</v>
      </c>
      <c r="AA5" t="s">
        <v>482</v>
      </c>
    </row>
    <row r="6" spans="1:27" ht="30" customHeight="1">
      <c r="C6" s="19" t="s">
        <v>189</v>
      </c>
      <c r="D6" s="19"/>
      <c r="F6" s="17" t="s">
        <v>105</v>
      </c>
      <c r="G6" s="7"/>
      <c r="I6" s="18" t="s">
        <v>46</v>
      </c>
      <c r="K6" s="123" t="s">
        <v>483</v>
      </c>
      <c r="Q6" s="18" t="s">
        <v>83</v>
      </c>
      <c r="R6" s="18" t="s">
        <v>84</v>
      </c>
      <c r="T6" t="s">
        <v>628</v>
      </c>
      <c r="AA6" t="s">
        <v>493</v>
      </c>
    </row>
    <row r="7" spans="1:27" ht="30" customHeight="1">
      <c r="C7" s="19" t="s">
        <v>178</v>
      </c>
      <c r="D7" s="19"/>
      <c r="F7" s="20" t="s">
        <v>104</v>
      </c>
      <c r="G7" s="14"/>
      <c r="I7" s="25" t="s">
        <v>44</v>
      </c>
      <c r="K7" s="123" t="s">
        <v>510</v>
      </c>
      <c r="Q7" s="21" t="s">
        <v>85</v>
      </c>
      <c r="R7" s="21" t="s">
        <v>60</v>
      </c>
      <c r="T7" t="s">
        <v>629</v>
      </c>
      <c r="AA7" t="s">
        <v>487</v>
      </c>
    </row>
    <row r="8" spans="1:27" ht="30" customHeight="1">
      <c r="C8" s="19" t="s">
        <v>190</v>
      </c>
      <c r="D8" s="19"/>
      <c r="F8" s="17" t="s">
        <v>106</v>
      </c>
      <c r="G8" s="2"/>
      <c r="K8" s="123" t="s">
        <v>493</v>
      </c>
      <c r="Q8" s="18" t="s">
        <v>86</v>
      </c>
      <c r="R8" s="18" t="s">
        <v>58</v>
      </c>
      <c r="T8" t="s">
        <v>630</v>
      </c>
      <c r="AA8" t="s">
        <v>494</v>
      </c>
    </row>
    <row r="9" spans="1:27" s="15" customFormat="1" ht="30" customHeight="1">
      <c r="C9" s="19" t="s">
        <v>191</v>
      </c>
      <c r="D9" s="19"/>
      <c r="F9" s="20" t="s">
        <v>107</v>
      </c>
      <c r="G9" s="8"/>
      <c r="K9" s="123" t="s">
        <v>484</v>
      </c>
      <c r="Q9" s="21" t="s">
        <v>87</v>
      </c>
      <c r="R9" s="21" t="s">
        <v>61</v>
      </c>
      <c r="T9" s="15" t="s">
        <v>631</v>
      </c>
      <c r="AA9" s="15" t="s">
        <v>486</v>
      </c>
    </row>
    <row r="10" spans="1:27" ht="30" customHeight="1">
      <c r="C10" s="19" t="s">
        <v>388</v>
      </c>
      <c r="D10" s="19"/>
      <c r="F10" s="17" t="s">
        <v>108</v>
      </c>
      <c r="G10" s="118"/>
      <c r="I10" s="45" t="s">
        <v>213</v>
      </c>
      <c r="K10" s="123" t="s">
        <v>485</v>
      </c>
      <c r="Q10" s="18" t="s">
        <v>88</v>
      </c>
      <c r="R10" s="18" t="s">
        <v>59</v>
      </c>
      <c r="T10" t="s">
        <v>167</v>
      </c>
      <c r="AA10" t="s">
        <v>481</v>
      </c>
    </row>
    <row r="11" spans="1:27" s="15" customFormat="1" ht="30" customHeight="1">
      <c r="D11" s="19"/>
      <c r="F11" s="20" t="s">
        <v>244</v>
      </c>
      <c r="G11" s="83"/>
      <c r="K11" s="123" t="s">
        <v>486</v>
      </c>
      <c r="Q11" s="21" t="s">
        <v>89</v>
      </c>
      <c r="R11" s="21" t="s">
        <v>62</v>
      </c>
      <c r="T11" s="15" t="s">
        <v>32</v>
      </c>
      <c r="AA11" s="15" t="s">
        <v>509</v>
      </c>
    </row>
    <row r="12" spans="1:27" ht="30" customHeight="1">
      <c r="C12" s="19" t="s">
        <v>192</v>
      </c>
      <c r="D12" s="19"/>
      <c r="F12" s="17" t="s">
        <v>245</v>
      </c>
      <c r="G12" s="84"/>
      <c r="K12" s="123" t="s">
        <v>487</v>
      </c>
      <c r="Q12" s="21" t="s">
        <v>219</v>
      </c>
      <c r="R12" s="21" t="s">
        <v>220</v>
      </c>
      <c r="T12" t="s">
        <v>632</v>
      </c>
      <c r="AA12" t="s">
        <v>511</v>
      </c>
    </row>
    <row r="13" spans="1:27" s="15" customFormat="1" ht="30" customHeight="1">
      <c r="C13" s="19" t="s">
        <v>179</v>
      </c>
      <c r="D13" s="19"/>
      <c r="F13" s="20" t="s">
        <v>246</v>
      </c>
      <c r="G13" s="119"/>
      <c r="K13" s="123" t="s">
        <v>488</v>
      </c>
      <c r="Q13" s="20" t="s">
        <v>174</v>
      </c>
      <c r="R13" s="65" t="s">
        <v>160</v>
      </c>
      <c r="T13" s="15" t="s">
        <v>633</v>
      </c>
      <c r="AA13" s="15" t="s">
        <v>490</v>
      </c>
    </row>
    <row r="14" spans="1:27" ht="30" customHeight="1">
      <c r="C14" s="19" t="s">
        <v>193</v>
      </c>
      <c r="D14" s="19"/>
      <c r="F14" s="20"/>
      <c r="G14" s="15"/>
      <c r="I14" s="16" t="s">
        <v>123</v>
      </c>
      <c r="K14" s="123" t="s">
        <v>489</v>
      </c>
      <c r="Q14" s="20" t="s">
        <v>173</v>
      </c>
      <c r="R14" s="65" t="s">
        <v>161</v>
      </c>
      <c r="T14" t="s">
        <v>634</v>
      </c>
      <c r="AA14" t="s">
        <v>489</v>
      </c>
    </row>
    <row r="15" spans="1:27" s="15" customFormat="1" ht="30" customHeight="1">
      <c r="C15" s="19" t="s">
        <v>194</v>
      </c>
      <c r="D15" s="19"/>
      <c r="F15" s="17" t="s">
        <v>109</v>
      </c>
      <c r="G15" s="9"/>
      <c r="I15" s="15" t="s">
        <v>119</v>
      </c>
      <c r="K15" s="123" t="s">
        <v>490</v>
      </c>
      <c r="Q15" s="20" t="s">
        <v>90</v>
      </c>
      <c r="R15" s="65" t="s">
        <v>52</v>
      </c>
      <c r="T15" s="15" t="s">
        <v>635</v>
      </c>
      <c r="AA15" s="15" t="s">
        <v>488</v>
      </c>
    </row>
    <row r="16" spans="1:27" ht="30" customHeight="1">
      <c r="C16" s="19"/>
      <c r="D16" s="19"/>
      <c r="I16" s="15" t="s">
        <v>120</v>
      </c>
      <c r="K16" s="123" t="s">
        <v>491</v>
      </c>
      <c r="Q16" s="20" t="s">
        <v>91</v>
      </c>
      <c r="R16" s="65" t="s">
        <v>63</v>
      </c>
      <c r="T16" t="s">
        <v>636</v>
      </c>
      <c r="AA16" t="s">
        <v>479</v>
      </c>
    </row>
    <row r="17" spans="3:27" s="15" customFormat="1" ht="30" customHeight="1">
      <c r="C17" s="19" t="s">
        <v>201</v>
      </c>
      <c r="D17" s="19"/>
      <c r="F17" s="15" t="s">
        <v>477</v>
      </c>
      <c r="G17" s="147"/>
      <c r="I17" s="15" t="s">
        <v>121</v>
      </c>
      <c r="K17" s="123" t="s">
        <v>481</v>
      </c>
      <c r="Q17" s="20" t="s">
        <v>92</v>
      </c>
      <c r="R17" s="65" t="s">
        <v>64</v>
      </c>
      <c r="T17" s="15" t="s">
        <v>637</v>
      </c>
      <c r="AA17" s="15" t="s">
        <v>485</v>
      </c>
    </row>
    <row r="18" spans="3:27" ht="30" customHeight="1">
      <c r="C18" s="19" t="s">
        <v>202</v>
      </c>
      <c r="D18" s="19"/>
      <c r="F18" s="15" t="s">
        <v>478</v>
      </c>
      <c r="G18" s="146"/>
      <c r="I18" s="15" t="s">
        <v>122</v>
      </c>
      <c r="K18" s="123" t="s">
        <v>511</v>
      </c>
      <c r="Q18" s="20" t="s">
        <v>93</v>
      </c>
      <c r="R18" s="65" t="s">
        <v>65</v>
      </c>
      <c r="T18" t="s">
        <v>638</v>
      </c>
      <c r="AA18" t="s">
        <v>510</v>
      </c>
    </row>
    <row r="19" spans="3:27" ht="30" customHeight="1">
      <c r="C19" s="19" t="s">
        <v>203</v>
      </c>
      <c r="D19" s="19"/>
      <c r="F19" s="15"/>
      <c r="I19" s="15" t="s">
        <v>215</v>
      </c>
      <c r="K19" s="123" t="s">
        <v>512</v>
      </c>
      <c r="Q19" s="20" t="s">
        <v>94</v>
      </c>
      <c r="R19" s="65" t="s">
        <v>56</v>
      </c>
      <c r="T19" t="s">
        <v>639</v>
      </c>
      <c r="AA19" t="s">
        <v>492</v>
      </c>
    </row>
    <row r="20" spans="3:27" ht="30" customHeight="1">
      <c r="C20" s="19" t="s">
        <v>204</v>
      </c>
      <c r="D20" s="19"/>
      <c r="I20" s="15" t="s">
        <v>216</v>
      </c>
      <c r="K20" s="123" t="s">
        <v>479</v>
      </c>
      <c r="Q20" s="20" t="s">
        <v>95</v>
      </c>
      <c r="R20" s="65" t="s">
        <v>53</v>
      </c>
      <c r="T20" t="s">
        <v>640</v>
      </c>
      <c r="AA20" t="s">
        <v>491</v>
      </c>
    </row>
    <row r="21" spans="3:27" ht="30" customHeight="1">
      <c r="C21" s="19" t="s">
        <v>205</v>
      </c>
      <c r="D21" s="19"/>
      <c r="K21" s="123" t="s">
        <v>495</v>
      </c>
      <c r="Q21" s="20" t="s">
        <v>96</v>
      </c>
      <c r="R21" s="65" t="s">
        <v>54</v>
      </c>
      <c r="T21" t="s">
        <v>641</v>
      </c>
      <c r="AA21" t="s">
        <v>513</v>
      </c>
    </row>
    <row r="22" spans="3:27" ht="30" customHeight="1">
      <c r="C22" s="19"/>
      <c r="D22" s="19"/>
      <c r="K22" s="123" t="s">
        <v>494</v>
      </c>
      <c r="Q22" s="20" t="s">
        <v>97</v>
      </c>
      <c r="R22" s="65" t="s">
        <v>49</v>
      </c>
      <c r="T22" t="s">
        <v>642</v>
      </c>
      <c r="AA22" t="s">
        <v>512</v>
      </c>
    </row>
    <row r="23" spans="3:27" ht="30" customHeight="1">
      <c r="C23" s="19"/>
      <c r="D23" s="19"/>
      <c r="K23" s="123" t="s">
        <v>513</v>
      </c>
      <c r="Q23" s="20" t="s">
        <v>98</v>
      </c>
      <c r="R23" s="65" t="s">
        <v>50</v>
      </c>
      <c r="T23" t="s">
        <v>643</v>
      </c>
      <c r="AA23" t="s">
        <v>42</v>
      </c>
    </row>
    <row r="24" spans="3:27" ht="30" customHeight="1">
      <c r="C24" s="19"/>
      <c r="D24" s="19"/>
      <c r="K24" s="123" t="s">
        <v>42</v>
      </c>
      <c r="Q24" s="20" t="s">
        <v>99</v>
      </c>
      <c r="R24" s="65" t="s">
        <v>37</v>
      </c>
      <c r="T24" t="s">
        <v>644</v>
      </c>
      <c r="AA24" t="s">
        <v>32</v>
      </c>
    </row>
    <row r="25" spans="3:27" ht="30" customHeight="1">
      <c r="K25" s="123" t="s">
        <v>32</v>
      </c>
      <c r="Q25" s="20" t="s">
        <v>130</v>
      </c>
      <c r="R25" s="65" t="s">
        <v>132</v>
      </c>
      <c r="T25" t="s">
        <v>645</v>
      </c>
    </row>
    <row r="26" spans="3:27" ht="30" customHeight="1">
      <c r="Q26" s="20" t="s">
        <v>131</v>
      </c>
      <c r="R26" s="65" t="s">
        <v>133</v>
      </c>
      <c r="T26" t="s">
        <v>646</v>
      </c>
    </row>
    <row r="27" spans="3:27" ht="30" customHeight="1">
      <c r="K27" s="16" t="s">
        <v>408</v>
      </c>
      <c r="Q27" s="20" t="s">
        <v>134</v>
      </c>
      <c r="R27" s="65" t="s">
        <v>135</v>
      </c>
      <c r="T27" t="s">
        <v>647</v>
      </c>
    </row>
    <row r="28" spans="3:27" ht="30" customHeight="1">
      <c r="K28" t="s">
        <v>409</v>
      </c>
      <c r="Q28" s="20" t="s">
        <v>136</v>
      </c>
      <c r="R28" s="65" t="s">
        <v>137</v>
      </c>
      <c r="T28" t="s">
        <v>648</v>
      </c>
    </row>
    <row r="29" spans="3:27" ht="30" customHeight="1">
      <c r="K29" t="s">
        <v>410</v>
      </c>
      <c r="Q29" s="20" t="s">
        <v>138</v>
      </c>
      <c r="R29" s="65" t="s">
        <v>10</v>
      </c>
      <c r="T29" t="s">
        <v>649</v>
      </c>
    </row>
    <row r="30" spans="3:27" ht="30" customHeight="1">
      <c r="Q30" s="20" t="s">
        <v>139</v>
      </c>
      <c r="R30" s="65" t="s">
        <v>140</v>
      </c>
      <c r="T30" t="s">
        <v>515</v>
      </c>
    </row>
    <row r="31" spans="3:27" ht="30" customHeight="1">
      <c r="Q31" s="20" t="s">
        <v>159</v>
      </c>
      <c r="R31" s="65" t="s">
        <v>154</v>
      </c>
      <c r="T31" t="s">
        <v>156</v>
      </c>
    </row>
    <row r="32" spans="3:27" ht="30" customHeight="1">
      <c r="Q32" s="20" t="s">
        <v>162</v>
      </c>
      <c r="R32" s="65" t="s">
        <v>155</v>
      </c>
      <c r="T32" t="s">
        <v>650</v>
      </c>
    </row>
    <row r="33" spans="17:20" ht="30" customHeight="1">
      <c r="Q33" s="20" t="s">
        <v>163</v>
      </c>
      <c r="R33" s="65" t="s">
        <v>156</v>
      </c>
      <c r="T33" t="s">
        <v>576</v>
      </c>
    </row>
    <row r="34" spans="17:20" ht="30" customHeight="1">
      <c r="Q34" s="20" t="s">
        <v>164</v>
      </c>
      <c r="R34" s="65" t="s">
        <v>82</v>
      </c>
      <c r="T34" t="s">
        <v>577</v>
      </c>
    </row>
    <row r="35" spans="17:20" ht="30" customHeight="1">
      <c r="Q35" s="20" t="s">
        <v>165</v>
      </c>
      <c r="R35" s="65" t="s">
        <v>84</v>
      </c>
      <c r="T35" t="s">
        <v>578</v>
      </c>
    </row>
    <row r="36" spans="17:20" ht="30" customHeight="1">
      <c r="Q36" s="20" t="s">
        <v>168</v>
      </c>
      <c r="R36" s="65" t="s">
        <v>32</v>
      </c>
      <c r="T36" t="s">
        <v>579</v>
      </c>
    </row>
    <row r="37" spans="17:20" ht="30" customHeight="1">
      <c r="Q37" s="25" t="s">
        <v>217</v>
      </c>
      <c r="R37" s="25" t="s">
        <v>218</v>
      </c>
      <c r="T37" t="s">
        <v>580</v>
      </c>
    </row>
    <row r="38" spans="17:20" ht="30" customHeight="1">
      <c r="Q38" s="21" t="s">
        <v>223</v>
      </c>
      <c r="R38" s="21" t="s">
        <v>224</v>
      </c>
      <c r="T38" t="s">
        <v>581</v>
      </c>
    </row>
    <row r="39" spans="17:20" ht="30" customHeight="1">
      <c r="Q39" s="21" t="s">
        <v>225</v>
      </c>
      <c r="R39" s="21" t="s">
        <v>226</v>
      </c>
      <c r="T39" t="s">
        <v>582</v>
      </c>
    </row>
    <row r="40" spans="17:20" ht="30" customHeight="1">
      <c r="Q40" s="21" t="s">
        <v>227</v>
      </c>
      <c r="R40" s="21" t="s">
        <v>228</v>
      </c>
      <c r="T40" t="s">
        <v>583</v>
      </c>
    </row>
    <row r="41" spans="17:20" ht="30" customHeight="1">
      <c r="Q41" s="25" t="s">
        <v>229</v>
      </c>
      <c r="R41" s="25" t="s">
        <v>230</v>
      </c>
      <c r="T41" t="s">
        <v>584</v>
      </c>
    </row>
    <row r="42" spans="17:20" ht="30" customHeight="1">
      <c r="Q42" s="25" t="s">
        <v>247</v>
      </c>
      <c r="R42" s="25" t="s">
        <v>248</v>
      </c>
      <c r="T42" t="s">
        <v>585</v>
      </c>
    </row>
    <row r="43" spans="17:20" ht="30" customHeight="1">
      <c r="Q43" s="25" t="s">
        <v>249</v>
      </c>
      <c r="R43" s="25" t="s">
        <v>250</v>
      </c>
      <c r="T43" t="s">
        <v>586</v>
      </c>
    </row>
    <row r="44" spans="17:20" ht="30" customHeight="1">
      <c r="Q44" s="25" t="s">
        <v>251</v>
      </c>
      <c r="R44" s="25" t="s">
        <v>252</v>
      </c>
      <c r="T44" t="s">
        <v>587</v>
      </c>
    </row>
    <row r="45" spans="17:20" ht="30" customHeight="1">
      <c r="Q45" s="25" t="s">
        <v>253</v>
      </c>
      <c r="R45" s="25" t="s">
        <v>259</v>
      </c>
      <c r="T45" t="s">
        <v>588</v>
      </c>
    </row>
    <row r="46" spans="17:20" ht="30" customHeight="1">
      <c r="Q46" s="25" t="s">
        <v>254</v>
      </c>
      <c r="R46" s="25" t="s">
        <v>260</v>
      </c>
      <c r="T46" t="s">
        <v>589</v>
      </c>
    </row>
    <row r="47" spans="17:20" ht="30" customHeight="1">
      <c r="Q47" s="25" t="s">
        <v>255</v>
      </c>
      <c r="R47" s="25" t="s">
        <v>261</v>
      </c>
      <c r="T47" t="s">
        <v>590</v>
      </c>
    </row>
    <row r="48" spans="17:20" ht="30" customHeight="1">
      <c r="Q48" s="25" t="s">
        <v>256</v>
      </c>
      <c r="R48" s="25" t="s">
        <v>262</v>
      </c>
      <c r="T48" t="s">
        <v>591</v>
      </c>
    </row>
    <row r="49" spans="17:20" ht="30" customHeight="1">
      <c r="Q49" s="25" t="s">
        <v>257</v>
      </c>
      <c r="R49" s="25" t="s">
        <v>263</v>
      </c>
      <c r="T49" t="s">
        <v>592</v>
      </c>
    </row>
    <row r="50" spans="17:20" ht="30" customHeight="1">
      <c r="Q50" s="25" t="s">
        <v>258</v>
      </c>
      <c r="R50" s="25" t="s">
        <v>264</v>
      </c>
      <c r="T50" t="s">
        <v>593</v>
      </c>
    </row>
    <row r="51" spans="17:20" ht="30" customHeight="1">
      <c r="Q51" s="21" t="s">
        <v>396</v>
      </c>
      <c r="R51" s="21" t="s">
        <v>399</v>
      </c>
    </row>
    <row r="52" spans="17:20" ht="30" customHeight="1">
      <c r="Q52" s="25" t="s">
        <v>397</v>
      </c>
      <c r="R52" s="25" t="s">
        <v>398</v>
      </c>
    </row>
    <row r="53" spans="17:20" ht="30" customHeight="1">
      <c r="Q53" s="25" t="s">
        <v>403</v>
      </c>
      <c r="R53" s="25" t="s">
        <v>406</v>
      </c>
    </row>
    <row r="54" spans="17:20" ht="30" customHeight="1">
      <c r="Q54" s="25" t="s">
        <v>404</v>
      </c>
      <c r="R54" s="25" t="s">
        <v>405</v>
      </c>
    </row>
    <row r="55" spans="17:20" ht="30" customHeight="1">
      <c r="Q55" s="161" t="s">
        <v>500</v>
      </c>
      <c r="R55" s="161" t="s">
        <v>502</v>
      </c>
    </row>
    <row r="56" spans="17:20" ht="30" customHeight="1">
      <c r="Q56" s="162" t="s">
        <v>501</v>
      </c>
      <c r="R56" s="162" t="s">
        <v>503</v>
      </c>
    </row>
    <row r="57" spans="17:20" ht="30" customHeight="1">
      <c r="Q57" s="21" t="s">
        <v>554</v>
      </c>
      <c r="R57" s="21" t="s">
        <v>555</v>
      </c>
    </row>
    <row r="58" spans="17:20" ht="30" customHeight="1">
      <c r="Q58" s="21" t="s">
        <v>556</v>
      </c>
      <c r="R58" s="21" t="s">
        <v>557</v>
      </c>
    </row>
    <row r="59" spans="17:20" ht="30" customHeight="1">
      <c r="Q59" s="21" t="s">
        <v>558</v>
      </c>
      <c r="R59" s="21" t="s">
        <v>559</v>
      </c>
    </row>
    <row r="60" spans="17:20" ht="30" customHeight="1">
      <c r="Q60" s="21" t="s">
        <v>560</v>
      </c>
      <c r="R60" s="21" t="s">
        <v>561</v>
      </c>
    </row>
    <row r="61" spans="17:20" ht="30" customHeight="1">
      <c r="Q61" s="21" t="s">
        <v>562</v>
      </c>
      <c r="R61" s="21" t="s">
        <v>563</v>
      </c>
    </row>
    <row r="62" spans="17:20" ht="30" customHeight="1">
      <c r="Q62" s="21" t="s">
        <v>564</v>
      </c>
      <c r="R62" s="21" t="s">
        <v>565</v>
      </c>
    </row>
    <row r="63" spans="17:20" ht="30" customHeight="1">
      <c r="Q63" s="21" t="s">
        <v>566</v>
      </c>
      <c r="R63" s="21" t="s">
        <v>567</v>
      </c>
    </row>
    <row r="64" spans="17:20" ht="30" customHeight="1">
      <c r="Q64" s="25" t="s">
        <v>568</v>
      </c>
      <c r="R64" s="25" t="s">
        <v>569</v>
      </c>
    </row>
    <row r="65" spans="17:18" ht="30" customHeight="1">
      <c r="Q65" s="25" t="s">
        <v>608</v>
      </c>
      <c r="R65" s="25" t="s">
        <v>609</v>
      </c>
    </row>
    <row r="66" spans="17:18" ht="30" customHeight="1">
      <c r="Q66" s="25" t="s">
        <v>610</v>
      </c>
      <c r="R66" s="25" t="s">
        <v>611</v>
      </c>
    </row>
    <row r="67" spans="17:18" ht="30" customHeight="1">
      <c r="Q67" s="25" t="s">
        <v>612</v>
      </c>
      <c r="R67" s="25" t="s">
        <v>613</v>
      </c>
    </row>
    <row r="68" spans="17:18" ht="30" customHeight="1">
      <c r="Q68" s="25" t="s">
        <v>614</v>
      </c>
      <c r="R68" s="25" t="s">
        <v>615</v>
      </c>
    </row>
    <row r="69" spans="17:18" ht="30" customHeight="1">
      <c r="Q69" s="25" t="s">
        <v>616</v>
      </c>
      <c r="R69" s="25" t="s">
        <v>617</v>
      </c>
    </row>
    <row r="70" spans="17:18" ht="30" customHeight="1">
      <c r="Q70" s="25" t="s">
        <v>618</v>
      </c>
      <c r="R70" s="25" t="s">
        <v>619</v>
      </c>
    </row>
    <row r="71" spans="17:18" ht="30" customHeight="1"/>
    <row r="72" spans="17:18" ht="30" customHeight="1"/>
    <row r="73" spans="17:18" ht="30" customHeight="1"/>
    <row r="74" spans="17:18" ht="30" customHeight="1"/>
    <row r="75" spans="17:18" ht="30" customHeight="1"/>
    <row r="76" spans="17:18" ht="30" customHeight="1"/>
    <row r="77" spans="17:18" ht="30" customHeight="1"/>
    <row r="78" spans="17:18" ht="30" customHeight="1"/>
    <row r="79" spans="17:18" ht="30" customHeight="1"/>
    <row r="80" spans="17:18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  <sheetView workbookViewId="1"/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88" t="s">
        <v>76</v>
      </c>
      <c r="D5" s="288"/>
      <c r="E5" s="288"/>
      <c r="F5" s="288"/>
      <c r="G5" s="288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74</v>
      </c>
      <c r="D9" s="95"/>
      <c r="G9" s="90"/>
    </row>
    <row r="10" spans="3:7">
      <c r="C10" s="91"/>
      <c r="G10" s="90"/>
    </row>
    <row r="11" spans="3:7">
      <c r="C11" s="91" t="s">
        <v>75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AD26"/>
  <sheetViews>
    <sheetView workbookViewId="0">
      <selection activeCell="F23" sqref="F23:I23"/>
    </sheetView>
    <sheetView workbookViewId="1"/>
  </sheetViews>
  <sheetFormatPr baseColWidth="10" defaultRowHeight="14"/>
  <cols>
    <col min="1" max="1" width="2.83203125" style="100" customWidth="1"/>
    <col min="2" max="2" width="16.83203125" style="100" customWidth="1"/>
    <col min="3" max="14" width="7.33203125" style="100" customWidth="1"/>
    <col min="15" max="29" width="10.83203125" style="100"/>
    <col min="30" max="30" width="0" style="100" hidden="1" customWidth="1"/>
    <col min="31" max="16384" width="10.83203125" style="100"/>
  </cols>
  <sheetData>
    <row r="2" spans="2:30" ht="21">
      <c r="B2" s="99" t="s">
        <v>463</v>
      </c>
      <c r="AD2" s="100" t="s">
        <v>424</v>
      </c>
    </row>
    <row r="3" spans="2:30">
      <c r="AD3" s="100" t="s">
        <v>470</v>
      </c>
    </row>
    <row r="4" spans="2:30" ht="20" customHeight="1">
      <c r="B4" s="101" t="s">
        <v>445</v>
      </c>
      <c r="C4" s="291" t="s">
        <v>668</v>
      </c>
      <c r="D4" s="292"/>
      <c r="E4" s="293" t="s">
        <v>11</v>
      </c>
      <c r="F4" s="293"/>
      <c r="G4" s="293"/>
      <c r="AD4" s="100" t="s">
        <v>654</v>
      </c>
    </row>
    <row r="5" spans="2:30" ht="20" customHeight="1">
      <c r="B5" s="101" t="s">
        <v>7</v>
      </c>
      <c r="C5" s="292" t="s">
        <v>46</v>
      </c>
      <c r="D5" s="292"/>
      <c r="J5" s="294" t="s">
        <v>665</v>
      </c>
      <c r="K5" s="294"/>
      <c r="L5" s="294"/>
      <c r="AD5" s="100">
        <v>4</v>
      </c>
    </row>
    <row r="6" spans="2:30" ht="20" customHeight="1">
      <c r="B6" s="101" t="s">
        <v>446</v>
      </c>
      <c r="C6" s="292" t="s">
        <v>47</v>
      </c>
      <c r="D6" s="292"/>
      <c r="J6" s="294"/>
      <c r="K6" s="294"/>
      <c r="L6" s="294"/>
    </row>
    <row r="7" spans="2:30" ht="20" customHeight="1">
      <c r="B7" s="101" t="s">
        <v>447</v>
      </c>
      <c r="C7" s="292" t="s">
        <v>604</v>
      </c>
      <c r="D7" s="292"/>
    </row>
    <row r="8" spans="2:30" ht="8" customHeight="1"/>
    <row r="9" spans="2:30" ht="20" customHeight="1">
      <c r="B9" s="156" t="s">
        <v>448</v>
      </c>
      <c r="C9" s="297" t="s">
        <v>484</v>
      </c>
      <c r="D9" s="297"/>
      <c r="E9" s="297"/>
      <c r="F9" s="297"/>
    </row>
    <row r="10" spans="2:30" ht="8" customHeight="1"/>
    <row r="11" spans="2:30" ht="20" customHeight="1">
      <c r="B11" s="156" t="s">
        <v>452</v>
      </c>
      <c r="C11" s="289">
        <v>2</v>
      </c>
      <c r="D11" s="289"/>
      <c r="E11" s="289">
        <v>3</v>
      </c>
      <c r="F11" s="289"/>
      <c r="G11" s="290">
        <v>4</v>
      </c>
      <c r="H11" s="290"/>
      <c r="I11" s="289">
        <v>5</v>
      </c>
      <c r="J11" s="289"/>
      <c r="K11" s="289">
        <v>6</v>
      </c>
      <c r="L11" s="289"/>
      <c r="M11" s="289" t="s">
        <v>439</v>
      </c>
      <c r="N11" s="289"/>
    </row>
    <row r="12" spans="2:30" ht="8" customHeight="1"/>
    <row r="13" spans="2:30" ht="20" customHeight="1">
      <c r="B13" s="156" t="s">
        <v>464</v>
      </c>
      <c r="C13" s="289" t="s">
        <v>421</v>
      </c>
      <c r="D13" s="289"/>
      <c r="E13" s="289" t="s">
        <v>422</v>
      </c>
      <c r="F13" s="289"/>
      <c r="G13" s="289" t="s">
        <v>423</v>
      </c>
      <c r="H13" s="289"/>
      <c r="I13" s="290" t="s">
        <v>424</v>
      </c>
      <c r="J13" s="290"/>
      <c r="K13" s="289" t="s">
        <v>425</v>
      </c>
      <c r="L13" s="289"/>
    </row>
    <row r="14" spans="2:30" ht="8" customHeight="1"/>
    <row r="15" spans="2:30" ht="20" customHeight="1">
      <c r="B15" s="156" t="s">
        <v>450</v>
      </c>
      <c r="C15" s="290" t="s">
        <v>470</v>
      </c>
      <c r="D15" s="290"/>
      <c r="E15" s="289" t="s">
        <v>471</v>
      </c>
      <c r="F15" s="289"/>
    </row>
    <row r="16" spans="2:30" ht="8" customHeight="1"/>
    <row r="17" spans="2:14" ht="20" customHeight="1">
      <c r="B17" s="160" t="s">
        <v>594</v>
      </c>
      <c r="C17" s="298" t="s">
        <v>600</v>
      </c>
      <c r="D17" s="298"/>
      <c r="E17" s="298"/>
      <c r="F17" s="298"/>
      <c r="G17" s="298"/>
      <c r="I17" s="298" t="s">
        <v>601</v>
      </c>
      <c r="J17" s="298"/>
      <c r="K17" s="298"/>
      <c r="L17" s="298"/>
      <c r="M17" s="298"/>
    </row>
    <row r="18" spans="2:14" ht="20" customHeight="1">
      <c r="C18" s="157" t="s">
        <v>595</v>
      </c>
      <c r="D18" s="157" t="s">
        <v>596</v>
      </c>
      <c r="E18" s="157" t="s">
        <v>597</v>
      </c>
      <c r="F18" s="157" t="s">
        <v>598</v>
      </c>
      <c r="G18" s="157" t="s">
        <v>599</v>
      </c>
      <c r="H18" s="157" t="s">
        <v>435</v>
      </c>
      <c r="I18" s="157" t="s">
        <v>599</v>
      </c>
      <c r="J18" s="157" t="s">
        <v>598</v>
      </c>
      <c r="K18" s="157" t="s">
        <v>597</v>
      </c>
      <c r="L18" s="157" t="s">
        <v>596</v>
      </c>
      <c r="M18" s="157" t="s">
        <v>595</v>
      </c>
    </row>
    <row r="19" spans="2:14" ht="20" customHeight="1">
      <c r="B19" s="156" t="s">
        <v>603</v>
      </c>
      <c r="C19" s="158"/>
      <c r="D19" s="159"/>
      <c r="E19" s="159"/>
      <c r="F19" s="159"/>
      <c r="G19" s="159"/>
      <c r="H19" s="159"/>
      <c r="I19" s="159"/>
      <c r="J19" s="159"/>
      <c r="K19" s="159"/>
      <c r="L19" s="172"/>
      <c r="M19" s="158"/>
    </row>
    <row r="20" spans="2:14" ht="8" customHeight="1"/>
    <row r="21" spans="2:14" ht="20" customHeight="1">
      <c r="B21" s="156" t="s">
        <v>453</v>
      </c>
      <c r="C21" s="295"/>
      <c r="D21" s="295"/>
      <c r="E21" s="295"/>
      <c r="F21" s="295"/>
      <c r="G21" s="295"/>
      <c r="H21" s="295"/>
      <c r="I21" s="295"/>
      <c r="J21" s="295"/>
      <c r="K21" s="295"/>
      <c r="L21" s="295"/>
      <c r="M21" s="295"/>
      <c r="N21" s="295"/>
    </row>
    <row r="22" spans="2:14" ht="8" customHeight="1"/>
    <row r="23" spans="2:14" ht="26" customHeight="1">
      <c r="C23" s="296" t="s">
        <v>466</v>
      </c>
      <c r="D23" s="296"/>
      <c r="F23" s="293" t="s">
        <v>476</v>
      </c>
      <c r="G23" s="293"/>
      <c r="H23" s="293"/>
      <c r="I23" s="293"/>
    </row>
    <row r="24" spans="2:14" ht="26" customHeight="1"/>
    <row r="25" spans="2:14" ht="8" customHeight="1"/>
    <row r="26" spans="2:14" ht="26" customHeight="1"/>
  </sheetData>
  <mergeCells count="25">
    <mergeCell ref="C21:N21"/>
    <mergeCell ref="C23:D23"/>
    <mergeCell ref="F23:I23"/>
    <mergeCell ref="C9:F9"/>
    <mergeCell ref="C11:D11"/>
    <mergeCell ref="E11:F11"/>
    <mergeCell ref="G11:H11"/>
    <mergeCell ref="I11:J11"/>
    <mergeCell ref="K11:L11"/>
    <mergeCell ref="C13:D13"/>
    <mergeCell ref="E13:F13"/>
    <mergeCell ref="M11:N11"/>
    <mergeCell ref="C17:G17"/>
    <mergeCell ref="I17:M17"/>
    <mergeCell ref="G13:H13"/>
    <mergeCell ref="I13:J13"/>
    <mergeCell ref="K13:L13"/>
    <mergeCell ref="C15:D15"/>
    <mergeCell ref="E15:F15"/>
    <mergeCell ref="C4:D4"/>
    <mergeCell ref="C5:D5"/>
    <mergeCell ref="C6:D6"/>
    <mergeCell ref="C7:D7"/>
    <mergeCell ref="E4:G4"/>
    <mergeCell ref="J5:L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4D617E-A8DD-FB46-A0A4-E956852BC56D}">
          <x14:formula1>
            <xm:f>Paramètres!$AA$1:$AA$24</xm:f>
          </x14:formula1>
          <xm:sqref>C9:F9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AD22"/>
  <sheetViews>
    <sheetView workbookViewId="0">
      <selection activeCell="F19" sqref="F19:I19"/>
    </sheetView>
    <sheetView workbookViewId="1"/>
  </sheetViews>
  <sheetFormatPr baseColWidth="10" defaultRowHeight="14"/>
  <cols>
    <col min="1" max="1" width="2.83203125" style="100" customWidth="1"/>
    <col min="2" max="2" width="16.83203125" style="100" customWidth="1"/>
    <col min="3" max="14" width="7.33203125" style="100" customWidth="1"/>
    <col min="15" max="29" width="10.83203125" style="100"/>
    <col min="30" max="30" width="0" style="100" hidden="1" customWidth="1"/>
    <col min="31" max="16384" width="10.83203125" style="100"/>
  </cols>
  <sheetData>
    <row r="2" spans="2:30" ht="21">
      <c r="B2" s="99" t="s">
        <v>467</v>
      </c>
      <c r="AD2" s="100" t="s">
        <v>436</v>
      </c>
    </row>
    <row r="3" spans="2:30">
      <c r="AD3" s="100" t="s">
        <v>441</v>
      </c>
    </row>
    <row r="4" spans="2:30" ht="20" customHeight="1">
      <c r="B4" s="101" t="s">
        <v>445</v>
      </c>
      <c r="C4" s="291" t="s">
        <v>666</v>
      </c>
      <c r="D4" s="292"/>
      <c r="E4" s="293" t="s">
        <v>11</v>
      </c>
      <c r="F4" s="293"/>
      <c r="G4" s="293"/>
      <c r="AD4" s="100" t="s">
        <v>170</v>
      </c>
    </row>
    <row r="5" spans="2:30" ht="20" customHeight="1">
      <c r="B5" s="101" t="s">
        <v>7</v>
      </c>
      <c r="C5" s="292" t="s">
        <v>46</v>
      </c>
      <c r="D5" s="292"/>
      <c r="J5" s="294" t="s">
        <v>665</v>
      </c>
      <c r="K5" s="294"/>
      <c r="L5" s="294"/>
    </row>
    <row r="6" spans="2:30" ht="20" customHeight="1">
      <c r="B6" s="101" t="s">
        <v>472</v>
      </c>
      <c r="C6" s="292" t="s">
        <v>47</v>
      </c>
      <c r="D6" s="292"/>
      <c r="J6" s="294"/>
      <c r="K6" s="294"/>
      <c r="L6" s="294"/>
    </row>
    <row r="7" spans="2:30" ht="20" customHeight="1">
      <c r="B7" s="101" t="s">
        <v>447</v>
      </c>
      <c r="C7" s="292" t="s">
        <v>604</v>
      </c>
      <c r="D7" s="292"/>
    </row>
    <row r="8" spans="2:30" ht="8" customHeight="1"/>
    <row r="9" spans="2:30" ht="20" customHeight="1">
      <c r="B9" s="160" t="s">
        <v>602</v>
      </c>
      <c r="C9" s="298" t="s">
        <v>600</v>
      </c>
      <c r="D9" s="298"/>
      <c r="E9" s="298"/>
      <c r="F9" s="298"/>
      <c r="G9" s="298"/>
      <c r="I9" s="298" t="s">
        <v>601</v>
      </c>
      <c r="J9" s="298"/>
      <c r="K9" s="298"/>
      <c r="L9" s="298"/>
      <c r="M9" s="298"/>
    </row>
    <row r="10" spans="2:30" ht="20" customHeight="1">
      <c r="C10" s="157" t="s">
        <v>595</v>
      </c>
      <c r="D10" s="157" t="s">
        <v>596</v>
      </c>
      <c r="E10" s="157" t="s">
        <v>597</v>
      </c>
      <c r="F10" s="157" t="s">
        <v>598</v>
      </c>
      <c r="G10" s="157" t="s">
        <v>599</v>
      </c>
      <c r="H10" s="157" t="s">
        <v>435</v>
      </c>
      <c r="I10" s="157" t="s">
        <v>599</v>
      </c>
      <c r="J10" s="157" t="s">
        <v>598</v>
      </c>
      <c r="K10" s="157" t="s">
        <v>597</v>
      </c>
      <c r="L10" s="157" t="s">
        <v>596</v>
      </c>
      <c r="M10" s="157" t="s">
        <v>595</v>
      </c>
    </row>
    <row r="11" spans="2:30" ht="20" customHeight="1">
      <c r="B11" s="156" t="s">
        <v>441</v>
      </c>
      <c r="C11" s="158"/>
      <c r="D11" s="159"/>
      <c r="E11" s="159"/>
      <c r="F11" s="159"/>
      <c r="G11" s="159"/>
      <c r="H11" s="159"/>
      <c r="I11" s="172"/>
      <c r="J11" s="159"/>
      <c r="K11" s="159"/>
      <c r="L11" s="159"/>
      <c r="M11" s="158"/>
    </row>
    <row r="12" spans="2:30" ht="20" customHeight="1">
      <c r="B12" s="156" t="s">
        <v>442</v>
      </c>
      <c r="C12" s="158"/>
      <c r="D12" s="159"/>
      <c r="E12" s="159"/>
      <c r="F12" s="159"/>
      <c r="G12" s="159"/>
      <c r="H12" s="159"/>
      <c r="I12" s="159"/>
      <c r="J12" s="159"/>
      <c r="K12" s="159"/>
      <c r="L12" s="159"/>
      <c r="M12" s="158"/>
    </row>
    <row r="13" spans="2:30" ht="20" customHeight="1">
      <c r="B13" s="156" t="s">
        <v>443</v>
      </c>
      <c r="C13" s="158"/>
      <c r="D13" s="159"/>
      <c r="E13" s="159"/>
      <c r="F13" s="159"/>
      <c r="G13" s="159"/>
      <c r="H13" s="159"/>
      <c r="I13" s="159"/>
      <c r="J13" s="159"/>
      <c r="K13" s="159"/>
      <c r="L13" s="159"/>
      <c r="M13" s="158"/>
    </row>
    <row r="14" spans="2:30" ht="8" customHeight="1"/>
    <row r="15" spans="2:30" ht="20" customHeight="1">
      <c r="B15" s="156" t="s">
        <v>468</v>
      </c>
      <c r="C15" s="289" t="s">
        <v>461</v>
      </c>
      <c r="D15" s="289"/>
      <c r="E15" s="290" t="s">
        <v>170</v>
      </c>
      <c r="F15" s="290"/>
      <c r="G15" s="289" t="s">
        <v>462</v>
      </c>
      <c r="H15" s="289"/>
    </row>
    <row r="16" spans="2:30" ht="8" customHeight="1"/>
    <row r="17" spans="2:14" ht="20" customHeight="1">
      <c r="B17" s="156" t="s">
        <v>453</v>
      </c>
      <c r="C17" s="295" t="s">
        <v>667</v>
      </c>
      <c r="D17" s="295"/>
      <c r="E17" s="295"/>
      <c r="F17" s="295"/>
      <c r="G17" s="295"/>
      <c r="H17" s="295"/>
      <c r="I17" s="295"/>
      <c r="J17" s="295"/>
      <c r="K17" s="295"/>
      <c r="L17" s="295"/>
      <c r="M17" s="295"/>
      <c r="N17" s="295"/>
    </row>
    <row r="18" spans="2:14" ht="8" customHeight="1"/>
    <row r="19" spans="2:14" ht="26" customHeight="1">
      <c r="C19" s="296" t="s">
        <v>466</v>
      </c>
      <c r="D19" s="296"/>
      <c r="F19" s="293" t="s">
        <v>476</v>
      </c>
      <c r="G19" s="293"/>
      <c r="H19" s="293"/>
      <c r="I19" s="293"/>
    </row>
    <row r="20" spans="2:14" ht="26" customHeight="1"/>
    <row r="21" spans="2:14" ht="8" customHeight="1"/>
    <row r="22" spans="2:14" ht="26" customHeight="1"/>
  </sheetData>
  <mergeCells count="14">
    <mergeCell ref="C17:N17"/>
    <mergeCell ref="C19:D19"/>
    <mergeCell ref="F19:I19"/>
    <mergeCell ref="C4:D4"/>
    <mergeCell ref="C5:D5"/>
    <mergeCell ref="C6:D6"/>
    <mergeCell ref="C7:D7"/>
    <mergeCell ref="E4:G4"/>
    <mergeCell ref="C9:G9"/>
    <mergeCell ref="I9:M9"/>
    <mergeCell ref="C15:D15"/>
    <mergeCell ref="E15:F15"/>
    <mergeCell ref="G15:H15"/>
    <mergeCell ref="J5:L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E32" sqref="E32:H32"/>
    </sheetView>
    <sheetView workbookViewId="1"/>
  </sheetViews>
  <sheetFormatPr baseColWidth="10" defaultRowHeight="14"/>
  <cols>
    <col min="1" max="1" width="2.83203125" style="100" customWidth="1"/>
    <col min="2" max="3" width="14.83203125" style="100" customWidth="1"/>
    <col min="4" max="4" width="4.33203125" style="100" customWidth="1"/>
    <col min="5" max="6" width="14.83203125" style="100" customWidth="1"/>
    <col min="7" max="7" width="4.83203125" style="100" customWidth="1"/>
    <col min="8" max="9" width="14.83203125" style="100" customWidth="1"/>
    <col min="10" max="10" width="4.83203125" style="100" customWidth="1"/>
    <col min="11" max="21" width="5.1640625" style="100" customWidth="1"/>
    <col min="22" max="16384" width="10.83203125" style="100"/>
  </cols>
  <sheetData>
    <row r="2" spans="2:21" ht="21">
      <c r="B2" s="99" t="s">
        <v>623</v>
      </c>
    </row>
    <row r="4" spans="2:21" ht="14" customHeight="1">
      <c r="B4" s="101" t="s">
        <v>445</v>
      </c>
      <c r="C4" s="291" t="s">
        <v>517</v>
      </c>
      <c r="D4" s="292"/>
      <c r="E4" s="293" t="s">
        <v>11</v>
      </c>
      <c r="F4" s="293"/>
      <c r="K4" s="300"/>
      <c r="L4" s="300"/>
      <c r="M4" s="300"/>
      <c r="N4" s="300"/>
      <c r="O4" s="300"/>
      <c r="P4" s="300"/>
      <c r="Q4" s="300"/>
      <c r="R4" s="300"/>
      <c r="S4" s="300"/>
      <c r="T4" s="300"/>
      <c r="U4" s="300"/>
    </row>
    <row r="5" spans="2:21" ht="15" customHeight="1">
      <c r="B5" s="101" t="s">
        <v>7</v>
      </c>
      <c r="C5" s="292" t="s">
        <v>46</v>
      </c>
      <c r="D5" s="292"/>
      <c r="K5" s="300"/>
      <c r="L5" s="300"/>
      <c r="M5" s="300"/>
      <c r="N5" s="300"/>
      <c r="O5" s="300"/>
      <c r="P5" s="300"/>
      <c r="Q5" s="300"/>
      <c r="R5" s="300"/>
      <c r="S5" s="300"/>
      <c r="T5" s="300"/>
      <c r="U5" s="300"/>
    </row>
    <row r="6" spans="2:21">
      <c r="B6" s="101" t="s">
        <v>475</v>
      </c>
      <c r="C6" s="292" t="s">
        <v>55</v>
      </c>
      <c r="D6" s="292"/>
    </row>
    <row r="7" spans="2:21" ht="32" customHeight="1">
      <c r="K7" s="299"/>
      <c r="L7" s="302"/>
      <c r="M7" s="302"/>
      <c r="O7" s="299"/>
      <c r="P7" s="302"/>
      <c r="Q7" s="302"/>
      <c r="S7" s="299"/>
      <c r="T7" s="302"/>
      <c r="U7" s="302"/>
    </row>
    <row r="8" spans="2:21" ht="10" customHeight="1"/>
    <row r="9" spans="2:21" ht="32" customHeight="1">
      <c r="B9" s="289" t="s">
        <v>624</v>
      </c>
      <c r="C9" s="289"/>
      <c r="E9" s="289" t="s">
        <v>632</v>
      </c>
      <c r="F9" s="289"/>
      <c r="H9" s="290" t="s">
        <v>643</v>
      </c>
      <c r="I9" s="289"/>
      <c r="M9" s="299"/>
      <c r="N9" s="302"/>
      <c r="O9" s="302"/>
      <c r="Q9" s="299"/>
      <c r="R9" s="302"/>
      <c r="S9" s="302"/>
    </row>
    <row r="10" spans="2:21" ht="10" customHeight="1"/>
    <row r="11" spans="2:21" ht="32" customHeight="1">
      <c r="B11" s="289" t="s">
        <v>625</v>
      </c>
      <c r="C11" s="289"/>
      <c r="E11" s="289" t="s">
        <v>633</v>
      </c>
      <c r="F11" s="289"/>
      <c r="H11" s="289" t="s">
        <v>644</v>
      </c>
      <c r="I11" s="289"/>
      <c r="K11" s="299"/>
      <c r="L11" s="302"/>
      <c r="M11" s="302"/>
      <c r="O11" s="299"/>
      <c r="P11" s="302"/>
      <c r="Q11" s="302"/>
      <c r="S11" s="299"/>
      <c r="T11" s="302"/>
      <c r="U11" s="302"/>
    </row>
    <row r="12" spans="2:21" ht="10" customHeight="1"/>
    <row r="13" spans="2:21" ht="32" customHeight="1">
      <c r="B13" s="289" t="s">
        <v>626</v>
      </c>
      <c r="C13" s="289"/>
      <c r="E13" s="289" t="s">
        <v>634</v>
      </c>
      <c r="F13" s="289"/>
      <c r="H13" s="289" t="s">
        <v>645</v>
      </c>
      <c r="I13" s="289"/>
      <c r="M13" s="299"/>
      <c r="N13" s="302"/>
      <c r="O13" s="302"/>
    </row>
    <row r="14" spans="2:21" ht="10" customHeight="1"/>
    <row r="15" spans="2:21" ht="32" customHeight="1">
      <c r="B15" s="289" t="s">
        <v>627</v>
      </c>
      <c r="C15" s="289"/>
      <c r="E15" s="289" t="s">
        <v>635</v>
      </c>
      <c r="F15" s="289"/>
      <c r="H15" s="289" t="s">
        <v>646</v>
      </c>
      <c r="I15" s="301"/>
      <c r="P15" s="299"/>
      <c r="Q15" s="302"/>
      <c r="R15" s="302"/>
    </row>
    <row r="16" spans="2:21" ht="10" customHeight="1"/>
    <row r="17" spans="2:21" ht="32" customHeight="1">
      <c r="B17" s="289" t="s">
        <v>628</v>
      </c>
      <c r="C17" s="289"/>
      <c r="E17" s="289" t="s">
        <v>636</v>
      </c>
      <c r="F17" s="289"/>
      <c r="H17" s="289" t="s">
        <v>647</v>
      </c>
      <c r="I17" s="289"/>
      <c r="M17" s="299"/>
      <c r="N17" s="302"/>
      <c r="O17" s="302"/>
      <c r="Q17" s="299"/>
      <c r="R17" s="302"/>
      <c r="S17" s="302"/>
    </row>
    <row r="18" spans="2:21" ht="10" customHeight="1"/>
    <row r="19" spans="2:21" ht="32" customHeight="1">
      <c r="E19" s="289" t="s">
        <v>637</v>
      </c>
      <c r="F19" s="289"/>
      <c r="H19" s="289" t="s">
        <v>648</v>
      </c>
      <c r="I19" s="289"/>
      <c r="K19" s="299"/>
      <c r="L19" s="302"/>
      <c r="M19" s="302"/>
      <c r="O19" s="299"/>
      <c r="P19" s="302"/>
      <c r="Q19" s="302"/>
      <c r="S19" s="299"/>
      <c r="T19" s="302"/>
      <c r="U19" s="302"/>
    </row>
    <row r="20" spans="2:21" ht="10" customHeight="1"/>
    <row r="21" spans="2:21" ht="25" customHeight="1">
      <c r="B21" s="289" t="s">
        <v>629</v>
      </c>
      <c r="C21" s="289"/>
      <c r="E21" s="289" t="s">
        <v>638</v>
      </c>
      <c r="F21" s="289"/>
      <c r="H21" s="289" t="s">
        <v>649</v>
      </c>
      <c r="I21" s="289"/>
      <c r="K21" s="299"/>
      <c r="L21" s="302"/>
      <c r="M21" s="302"/>
      <c r="S21" s="299"/>
      <c r="T21" s="302"/>
      <c r="U21" s="302"/>
    </row>
    <row r="22" spans="2:21" ht="10" customHeight="1"/>
    <row r="23" spans="2:21" ht="25" customHeight="1">
      <c r="B23" s="289" t="s">
        <v>630</v>
      </c>
      <c r="C23" s="289"/>
      <c r="E23" s="289" t="s">
        <v>639</v>
      </c>
      <c r="F23" s="289"/>
      <c r="H23" s="289" t="s">
        <v>515</v>
      </c>
      <c r="I23" s="289"/>
      <c r="K23" s="299"/>
      <c r="L23" s="299"/>
      <c r="M23" s="299"/>
      <c r="S23" s="299"/>
      <c r="T23" s="299"/>
      <c r="U23" s="299"/>
    </row>
    <row r="24" spans="2:21" ht="10" customHeight="1"/>
    <row r="25" spans="2:21" ht="25" customHeight="1">
      <c r="B25" s="289" t="s">
        <v>631</v>
      </c>
      <c r="C25" s="289"/>
      <c r="E25" s="289" t="s">
        <v>640</v>
      </c>
      <c r="F25" s="289"/>
      <c r="H25" s="289" t="s">
        <v>156</v>
      </c>
      <c r="I25" s="289"/>
    </row>
    <row r="26" spans="2:21" ht="10" customHeight="1"/>
    <row r="27" spans="2:21" ht="25" customHeight="1">
      <c r="B27" s="289" t="s">
        <v>167</v>
      </c>
      <c r="C27" s="289"/>
      <c r="E27" s="289" t="s">
        <v>641</v>
      </c>
      <c r="F27" s="289"/>
      <c r="H27" s="289" t="s">
        <v>650</v>
      </c>
      <c r="I27" s="289"/>
    </row>
    <row r="28" spans="2:21" ht="10" customHeight="1"/>
    <row r="29" spans="2:21" ht="25" customHeight="1">
      <c r="B29" s="289" t="s">
        <v>32</v>
      </c>
      <c r="C29" s="289"/>
      <c r="E29" s="289" t="s">
        <v>642</v>
      </c>
      <c r="F29" s="289"/>
      <c r="H29" s="289" t="s">
        <v>576</v>
      </c>
      <c r="I29" s="289"/>
    </row>
    <row r="30" spans="2:21" ht="10" customHeight="1"/>
    <row r="31" spans="2:21" ht="9" customHeight="1"/>
    <row r="32" spans="2:21" ht="26" customHeight="1">
      <c r="B32" s="296" t="s">
        <v>466</v>
      </c>
      <c r="C32" s="296"/>
      <c r="D32" s="120"/>
      <c r="E32" s="293" t="s">
        <v>476</v>
      </c>
      <c r="F32" s="293"/>
      <c r="G32" s="293"/>
      <c r="H32" s="293"/>
      <c r="I32" s="120"/>
    </row>
  </sheetData>
  <mergeCells count="58"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  <mergeCell ref="O7:Q7"/>
    <mergeCell ref="E13:F13"/>
    <mergeCell ref="E9:F9"/>
    <mergeCell ref="H9:I9"/>
    <mergeCell ref="K4:U5"/>
    <mergeCell ref="E15:F15"/>
    <mergeCell ref="H15:I15"/>
    <mergeCell ref="E11:F11"/>
    <mergeCell ref="H13:I13"/>
    <mergeCell ref="K7:M7"/>
    <mergeCell ref="H27:I27"/>
    <mergeCell ref="H29:I29"/>
    <mergeCell ref="B32:C32"/>
    <mergeCell ref="E32:H32"/>
    <mergeCell ref="B27:C27"/>
    <mergeCell ref="B29:C29"/>
    <mergeCell ref="E27:F27"/>
    <mergeCell ref="E29:F29"/>
    <mergeCell ref="S23:U23"/>
    <mergeCell ref="K23:M23"/>
    <mergeCell ref="E4:F4"/>
    <mergeCell ref="E21:F21"/>
    <mergeCell ref="C4:D4"/>
    <mergeCell ref="C5:D5"/>
    <mergeCell ref="C6:D6"/>
    <mergeCell ref="B9:C9"/>
    <mergeCell ref="B17:C17"/>
    <mergeCell ref="B15:C15"/>
    <mergeCell ref="B13:C13"/>
    <mergeCell ref="B11:C11"/>
    <mergeCell ref="E19:F19"/>
    <mergeCell ref="H17:I17"/>
    <mergeCell ref="H11:I11"/>
    <mergeCell ref="E17:F17"/>
    <mergeCell ref="H19:I19"/>
    <mergeCell ref="H21:I21"/>
    <mergeCell ref="H23:I23"/>
    <mergeCell ref="H25:I25"/>
    <mergeCell ref="B21:C21"/>
    <mergeCell ref="B23:C23"/>
    <mergeCell ref="B25:C25"/>
    <mergeCell ref="E23:F23"/>
    <mergeCell ref="E25:F2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D5" sqref="D5"/>
    </sheetView>
    <sheetView workbookViewId="1"/>
  </sheetViews>
  <sheetFormatPr baseColWidth="10" defaultRowHeight="14"/>
  <cols>
    <col min="1" max="1" width="2.83203125" style="100" customWidth="1"/>
    <col min="2" max="2" width="26.83203125" style="100" customWidth="1"/>
    <col min="3" max="3" width="3.83203125" style="100" customWidth="1"/>
    <col min="4" max="4" width="26.83203125" style="100" customWidth="1"/>
    <col min="5" max="5" width="16.83203125" style="100" customWidth="1"/>
    <col min="6" max="9" width="10.83203125" style="100"/>
    <col min="10" max="13" width="0" style="100" hidden="1" customWidth="1"/>
    <col min="14" max="16384" width="10.83203125" style="100"/>
  </cols>
  <sheetData>
    <row r="1" spans="2:12">
      <c r="J1" s="100" t="s">
        <v>518</v>
      </c>
      <c r="L1" s="100" t="s">
        <v>533</v>
      </c>
    </row>
    <row r="2" spans="2:12" ht="21">
      <c r="B2" s="99" t="s">
        <v>496</v>
      </c>
      <c r="J2" s="100" t="s">
        <v>519</v>
      </c>
      <c r="L2" s="100" t="s">
        <v>534</v>
      </c>
    </row>
    <row r="3" spans="2:12">
      <c r="J3" s="100" t="s">
        <v>520</v>
      </c>
      <c r="L3" s="100" t="s">
        <v>535</v>
      </c>
    </row>
    <row r="4" spans="2:12">
      <c r="B4" s="101" t="s">
        <v>445</v>
      </c>
      <c r="D4" s="136" t="s">
        <v>517</v>
      </c>
      <c r="E4" s="103" t="s">
        <v>11</v>
      </c>
      <c r="J4" s="100" t="s">
        <v>521</v>
      </c>
      <c r="L4" s="100" t="s">
        <v>536</v>
      </c>
    </row>
    <row r="5" spans="2:12">
      <c r="B5" s="117" t="s">
        <v>499</v>
      </c>
      <c r="D5" s="121"/>
      <c r="J5" s="100" t="s">
        <v>522</v>
      </c>
      <c r="L5" s="100" t="s">
        <v>537</v>
      </c>
    </row>
    <row r="6" spans="2:12">
      <c r="J6" s="100" t="s">
        <v>523</v>
      </c>
      <c r="L6" s="100" t="s">
        <v>538</v>
      </c>
    </row>
    <row r="7" spans="2:12">
      <c r="B7" s="117" t="s">
        <v>497</v>
      </c>
      <c r="D7" s="117" t="s">
        <v>498</v>
      </c>
      <c r="J7" s="100" t="s">
        <v>524</v>
      </c>
      <c r="L7" s="100" t="s">
        <v>539</v>
      </c>
    </row>
    <row r="8" spans="2:12">
      <c r="B8" s="122"/>
      <c r="D8" s="122"/>
      <c r="J8" s="100" t="s">
        <v>525</v>
      </c>
    </row>
    <row r="9" spans="2:12">
      <c r="B9" s="122"/>
      <c r="D9" s="122"/>
      <c r="J9" s="100" t="s">
        <v>526</v>
      </c>
    </row>
    <row r="10" spans="2:12">
      <c r="B10" s="122"/>
      <c r="D10" s="122"/>
      <c r="J10" s="100" t="s">
        <v>527</v>
      </c>
    </row>
    <row r="11" spans="2:12">
      <c r="B11" s="122"/>
      <c r="D11" s="122"/>
      <c r="J11" s="100" t="s">
        <v>528</v>
      </c>
    </row>
    <row r="12" spans="2:12">
      <c r="B12" s="122"/>
      <c r="D12" s="122"/>
      <c r="J12" s="100" t="s">
        <v>529</v>
      </c>
    </row>
    <row r="13" spans="2:12">
      <c r="J13" s="100" t="s">
        <v>530</v>
      </c>
    </row>
    <row r="14" spans="2:12" ht="26" customHeight="1">
      <c r="B14" s="102" t="s">
        <v>466</v>
      </c>
      <c r="C14" s="120"/>
      <c r="D14" s="103" t="s">
        <v>465</v>
      </c>
      <c r="J14" s="100" t="s">
        <v>531</v>
      </c>
    </row>
    <row r="15" spans="2:12">
      <c r="J15" s="100" t="s">
        <v>532</v>
      </c>
    </row>
  </sheetData>
  <dataValidations count="2">
    <dataValidation type="list" allowBlank="1" showInputMessage="1" showErrorMessage="1" sqref="B8 B9 B10 B11 B12" xr:uid="{F7A6CCAA-80A4-8343-8967-F77A880E48F6}">
      <formula1>$J$1:$J$15</formula1>
    </dataValidation>
    <dataValidation type="list" allowBlank="1" showInputMessage="1" showErrorMessage="1" sqref="D8 D9 D10 D11 D12" xr:uid="{164B3FDE-C711-5446-8DD9-443BE4C77E39}">
      <formula1>$L$1:$L$7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  <sheetView workbookViewId="1"/>
  </sheetViews>
  <sheetFormatPr baseColWidth="10" defaultRowHeight="14"/>
  <cols>
    <col min="1" max="1" width="10.83203125" style="100"/>
    <col min="2" max="2" width="20.83203125" style="100" customWidth="1"/>
    <col min="3" max="5" width="12.83203125" style="100" customWidth="1"/>
    <col min="6" max="6" width="3.83203125" style="100" customWidth="1"/>
    <col min="7" max="8" width="12.83203125" style="100" customWidth="1"/>
    <col min="9" max="16384" width="10.83203125" style="100"/>
  </cols>
  <sheetData>
    <row r="2" spans="2:8" ht="21">
      <c r="B2" s="99" t="s">
        <v>570</v>
      </c>
    </row>
    <row r="4" spans="2:8">
      <c r="B4" s="101" t="s">
        <v>571</v>
      </c>
      <c r="C4" s="291" t="s">
        <v>517</v>
      </c>
      <c r="D4" s="292"/>
      <c r="G4" s="293" t="s">
        <v>11</v>
      </c>
      <c r="H4" s="293"/>
    </row>
    <row r="5" spans="2:8">
      <c r="B5" s="101" t="s">
        <v>7</v>
      </c>
      <c r="C5" s="292" t="s">
        <v>46</v>
      </c>
      <c r="D5" s="292"/>
    </row>
    <row r="7" spans="2:8" ht="22" customHeight="1">
      <c r="B7" s="303" t="s">
        <v>572</v>
      </c>
      <c r="C7" s="303"/>
      <c r="D7" s="303"/>
      <c r="E7" s="303"/>
      <c r="F7" s="303"/>
      <c r="G7" s="303"/>
      <c r="H7" s="303"/>
    </row>
    <row r="9" spans="2:8" ht="22" customHeight="1">
      <c r="B9" s="304" t="s">
        <v>651</v>
      </c>
      <c r="C9" s="304"/>
      <c r="D9" s="304"/>
      <c r="E9" s="304"/>
      <c r="F9" s="304"/>
      <c r="G9" s="304"/>
      <c r="H9" s="304"/>
    </row>
    <row r="10" spans="2:8" ht="8" customHeight="1"/>
    <row r="11" spans="2:8" ht="22" customHeight="1">
      <c r="B11" s="290" t="s">
        <v>652</v>
      </c>
      <c r="C11" s="290"/>
      <c r="D11" s="290"/>
      <c r="E11" s="290"/>
      <c r="F11" s="290"/>
      <c r="G11" s="290"/>
      <c r="H11" s="290"/>
    </row>
    <row r="12" spans="2:8" ht="8" customHeight="1"/>
    <row r="13" spans="2:8" ht="22" customHeight="1">
      <c r="B13" s="305"/>
      <c r="C13" s="305"/>
      <c r="D13" s="305"/>
      <c r="E13" s="305"/>
      <c r="F13" s="305"/>
      <c r="G13" s="305"/>
      <c r="H13" s="305"/>
    </row>
    <row r="14" spans="2:8" ht="8" customHeight="1"/>
    <row r="15" spans="2:8" ht="22" customHeight="1">
      <c r="B15" s="305"/>
      <c r="C15" s="305"/>
      <c r="D15" s="305"/>
      <c r="E15" s="305"/>
      <c r="F15" s="305"/>
      <c r="G15" s="305"/>
      <c r="H15" s="305"/>
    </row>
    <row r="16" spans="2:8" ht="8" customHeight="1"/>
    <row r="17" spans="2:8" ht="22" customHeight="1">
      <c r="B17" s="305"/>
      <c r="C17" s="305"/>
      <c r="D17" s="305"/>
      <c r="E17" s="305"/>
      <c r="F17" s="305"/>
      <c r="G17" s="305"/>
      <c r="H17" s="305"/>
    </row>
    <row r="18" spans="2:8" ht="8" customHeight="1"/>
    <row r="19" spans="2:8" ht="22" customHeight="1">
      <c r="B19" s="305"/>
      <c r="C19" s="305"/>
      <c r="D19" s="305"/>
      <c r="E19" s="305"/>
      <c r="F19" s="305"/>
      <c r="G19" s="305"/>
      <c r="H19" s="305"/>
    </row>
    <row r="20" spans="2:8" ht="8" customHeight="1"/>
    <row r="21" spans="2:8" ht="22" customHeight="1">
      <c r="B21" s="305"/>
      <c r="C21" s="305"/>
      <c r="D21" s="305"/>
      <c r="E21" s="305"/>
      <c r="F21" s="305"/>
      <c r="G21" s="305"/>
      <c r="H21" s="305"/>
    </row>
    <row r="22" spans="2:8" ht="8" customHeight="1"/>
    <row r="23" spans="2:8" ht="22" customHeight="1">
      <c r="B23" s="305"/>
      <c r="C23" s="305"/>
      <c r="D23" s="305"/>
      <c r="E23" s="305"/>
      <c r="F23" s="305"/>
      <c r="G23" s="305"/>
      <c r="H23" s="305"/>
    </row>
    <row r="24" spans="2:8" ht="8" customHeight="1"/>
    <row r="25" spans="2:8" ht="22" customHeight="1">
      <c r="B25" s="305"/>
      <c r="C25" s="305"/>
      <c r="D25" s="305"/>
      <c r="E25" s="305"/>
      <c r="F25" s="305"/>
      <c r="G25" s="305"/>
      <c r="H25" s="305"/>
    </row>
    <row r="26" spans="2:8" ht="8" customHeight="1"/>
    <row r="27" spans="2:8" ht="22" customHeight="1">
      <c r="B27" s="305"/>
      <c r="C27" s="305"/>
      <c r="D27" s="305"/>
      <c r="E27" s="305"/>
      <c r="F27" s="305"/>
      <c r="G27" s="305"/>
      <c r="H27" s="305"/>
    </row>
    <row r="28" spans="2:8" ht="8" customHeight="1"/>
    <row r="29" spans="2:8" ht="26" customHeight="1">
      <c r="B29" s="296" t="s">
        <v>466</v>
      </c>
      <c r="C29" s="296"/>
      <c r="D29" s="120"/>
      <c r="E29" s="293" t="s">
        <v>476</v>
      </c>
      <c r="F29" s="293"/>
      <c r="G29" s="293"/>
      <c r="H29" s="293"/>
    </row>
  </sheetData>
  <mergeCells count="16"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  <mergeCell ref="B11:H11"/>
    <mergeCell ref="C4:D4"/>
    <mergeCell ref="C5:D5"/>
    <mergeCell ref="G4:H4"/>
    <mergeCell ref="B7:H7"/>
    <mergeCell ref="B9:H9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6F1A7-CE9B-A04A-A2EE-9747B0F2F6EC}">
  <sheetPr codeName="Feuil11"/>
  <dimension ref="B2:I8"/>
  <sheetViews>
    <sheetView workbookViewId="0">
      <selection activeCell="B7" sqref="B7:D8"/>
    </sheetView>
    <sheetView workbookViewId="1"/>
  </sheetViews>
  <sheetFormatPr baseColWidth="10" defaultRowHeight="13"/>
  <cols>
    <col min="1" max="1" width="2.83203125" style="137" customWidth="1"/>
    <col min="2" max="9" width="11.83203125" style="137" customWidth="1"/>
    <col min="10" max="16384" width="10.83203125" style="137"/>
  </cols>
  <sheetData>
    <row r="2" spans="2:9" ht="18">
      <c r="B2" s="174" t="s">
        <v>661</v>
      </c>
    </row>
    <row r="4" spans="2:9">
      <c r="B4" s="306" t="s">
        <v>664</v>
      </c>
      <c r="C4" s="306"/>
      <c r="D4" s="306"/>
      <c r="E4" s="306"/>
      <c r="F4" s="306"/>
      <c r="G4" s="306"/>
      <c r="H4" s="306"/>
      <c r="I4" s="306"/>
    </row>
    <row r="5" spans="2:9">
      <c r="B5" s="306"/>
      <c r="C5" s="306"/>
      <c r="D5" s="306"/>
      <c r="E5" s="306"/>
      <c r="F5" s="306"/>
      <c r="G5" s="306"/>
      <c r="H5" s="306"/>
      <c r="I5" s="306"/>
    </row>
    <row r="7" spans="2:9" ht="22" customHeight="1">
      <c r="B7" s="307" t="s">
        <v>662</v>
      </c>
      <c r="C7" s="307"/>
      <c r="D7" s="307"/>
      <c r="F7" s="308" t="s">
        <v>663</v>
      </c>
      <c r="G7" s="308"/>
      <c r="H7" s="308"/>
      <c r="I7" s="308"/>
    </row>
    <row r="8" spans="2:9" ht="22" customHeight="1">
      <c r="B8" s="307"/>
      <c r="C8" s="307"/>
      <c r="D8" s="307"/>
      <c r="F8" s="308"/>
      <c r="G8" s="308"/>
      <c r="H8" s="308"/>
      <c r="I8" s="308"/>
    </row>
  </sheetData>
  <mergeCells count="3">
    <mergeCell ref="B4:I5"/>
    <mergeCell ref="B7:D8"/>
    <mergeCell ref="F7:I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276</vt:i4>
      </vt:variant>
    </vt:vector>
  </HeadingPairs>
  <TitlesOfParts>
    <vt:vector size="290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Popup possession</vt:lpstr>
      <vt:lpstr>ACT_ARRACHAGE</vt:lpstr>
      <vt:lpstr>ACT_ARRACHAGE_ADV</vt:lpstr>
      <vt:lpstr>ACT_ARRACHAGE_NS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ACT_CONTRE_RUCK_ADV</vt:lpstr>
      <vt:lpstr>ACT_CONTRE_RUCK_NS</vt:lpstr>
      <vt:lpstr>ACT_EN_AVANT</vt:lpstr>
      <vt:lpstr>ACT_FRANCHISSEMENT</vt:lpstr>
      <vt:lpstr>'Stats match'!ACT_GRATTAGE</vt:lpstr>
      <vt:lpstr>ACT_GRATTAGE</vt:lpstr>
      <vt:lpstr>ACT_GRATTAGE_ADV</vt:lpstr>
      <vt:lpstr>ACT_GRATTAGE_NS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BTN_JO_AVANT</vt:lpstr>
      <vt:lpstr>BTN_JO_COLLECTIF</vt:lpstr>
      <vt:lpstr>BTN_JO_NON_IDENTIFIE</vt:lpstr>
      <vt:lpstr>BTN_JO_TROIS_QUARTS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BTN_SENS_JEU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POPUP_ME_SENS_JEU</vt:lpstr>
      <vt:lpstr>POPUP_ME_UTILISATION</vt:lpstr>
      <vt:lpstr>POPUP_ME_VALIDER</vt:lpstr>
      <vt:lpstr>POPUP_ME_ZONE_LARGEUR</vt:lpstr>
      <vt:lpstr>POPUP_ME_ZONE_LONGUEUR</vt:lpstr>
      <vt:lpstr>POPUP_NOM</vt:lpstr>
      <vt:lpstr>POPUP_POSS_CHANGER</vt:lpstr>
      <vt:lpstr>POPUP_POSS_GARDER</vt:lpstr>
      <vt:lpstr>POPUP_POSS_QUESTION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POPUP_TO_SENS_JEU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SENS_JEU</vt:lpstr>
      <vt:lpstr>STAT_DUREES_ANCRE</vt:lpstr>
      <vt:lpstr>STAT_POSSESSION_ANCRE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2026-10-25T10:04:24Z</dcterms:modified>
</cp:coreProperties>
</file>