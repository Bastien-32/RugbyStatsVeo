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DE4F54A6-828C-1741-A9DE-E097FBDA44E6}" xr6:coauthVersionLast="47" xr6:coauthVersionMax="47" xr10:uidLastSave="{00000000-0000-0000-0000-000000000000}"/>
  <bookViews>
    <workbookView xWindow="13560" yWindow="660" windowWidth="21000" windowHeight="16820" activeTab="5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r:id="rId9"/>
    <sheet name="Popup melee" sheetId="20" r:id="rId10"/>
    <sheet name="Popup penalite" sheetId="21" r:id="rId11"/>
    <sheet name="Popup remplacement" sheetId="26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BTN_EXPORT">'Touches Melees'!$L$9</definedName>
    <definedName name="TM_RECAP_MELEES">'Touches Melees'!$L$5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8" l="1"/>
  <c r="M7" i="18"/>
  <c r="N6" i="18"/>
  <c r="M6" i="18"/>
  <c r="D7" i="18"/>
  <c r="C7" i="18"/>
  <c r="B7" i="18"/>
  <c r="D6" i="18"/>
  <c r="C6" i="18"/>
  <c r="B6" i="18"/>
  <c r="F15" i="3"/>
  <c r="E15" i="3"/>
  <c r="F66" i="3"/>
  <c r="E66" i="3"/>
  <c r="B62" i="12" a="1"/>
  <c r="B62" i="12" s="1"/>
  <c r="B8" i="12" a="1"/>
  <c r="B8" i="12" s="1"/>
  <c r="B3" i="12"/>
  <c r="C1" i="2"/>
  <c r="E2" i="7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<sst xmlns="http://schemas.openxmlformats.org/spreadsheetml/2006/main" count="848" uniqueCount="596">
  <si>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</si>
  <si>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</si>
  <si>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</si>
  <si>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</si>
  <si>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</si>
  <si>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</si>
  <si>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</si>
  <si>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</si>
  <si>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</si>
  <si>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</si>
  <si>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</si>
  <si>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</si>
  <si>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</si>
  <si>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</si>
  <si>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</si>
  <si>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</si>
  <si>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</si>
  <si>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</si>
  <si>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</si>
  <si>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</si>
  <si>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</si>
  <si>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</si>
  <si>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</si>
  <si>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</si>
  <si>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</si>
  <si>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</si>
  <si>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</si>
  <si>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</si>
  <si>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</si>
  <si>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</si>
  <si>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</si>
  <si>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</si>
  <si>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</si>
  <si>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</si>
  <si>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</si>
  <si>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</si>
  <si>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</si>
  <si>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</si>
  <si>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</si>
  <si>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</si>
  <si>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</si>
  <si>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</si>
  <si>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</si>
  <si>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</si>
  <si>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</si>
  <si>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</si>
  <si>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</si>
  <si>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</si>
  <si>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</si>
  <si>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</si>
  <si>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</si>
  <si>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</si>
  <si>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</si>
  <si>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</si>
  <si>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</si>
  <si>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</si>
  <si>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</si>
  <si>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</si>
  <si>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</si>
  <si>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</si>
  <si>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</si>
  <si>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</si>
  <si>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</si>
  <si>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</si>
  <si>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</si>
  <si>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</si>
  <si>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</si>
  <si>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</si>
  <si>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</si>
  <si>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</si>
  <si>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</si>
  <si>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</si>
  <si>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</si>
  <si>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</si>
  <si>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</si>
  <si>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</si>
  <si>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</si>
  <si>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</si>
  <si>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</si>
  <si>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</si>
  <si>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</si>
  <si>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</si>
  <si>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</si>
  <si>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</si>
  <si>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</si>
  <si>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</si>
  <si>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</si>
  <si>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</si>
  <si>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</si>
  <si>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</si>
  <si>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</si>
  <si>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</si>
  <si>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</si>
  <si>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</si>
  <si>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</si>
  <si>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</si>
  <si>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</si>
  <si>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</si>
  <si>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</si>
  <si>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</si>
  <si>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</si>
  <si>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</si>
  <si>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</si>
  <si>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</si>
  <si>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</si>
  <si>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</si>
  <si>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</si>
  <si>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</si>
  <si>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</si>
  <si>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</si>
  <si>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</si>
  <si>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</si>
  <si>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</si>
  <si>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</si>
  <si>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</si>
  <si>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</si>
  <si>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</si>
  <si>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</si>
  <si>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</si>
  <si>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</si>
  <si>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</si>
  <si>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</si>
  <si>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</si>
  <si>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</si>
  <si>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</si>
  <si>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</si>
  <si>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</si>
  <si>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</si>
  <si>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</si>
  <si>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</si>
  <si>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</si>
  <si>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</si>
  <si>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</si>
  <si>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</si>
  <si>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</si>
  <si>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</si>
  <si>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</si>
  <si>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</si>
  <si>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</si>
  <si>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</si>
  <si>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</si>
  <si>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</si>
  <si>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</si>
  <si>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</si>
  <si>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</si>
  <si>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</si>
  <si>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</si>
  <si>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</si>
  <si>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</si>
  <si>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</si>
  <si>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</si>
  <si>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</si>
  <si>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</si>
  <si>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</si>
  <si>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</si>
  <si>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</si>
  <si>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</si>
  <si>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</si>
  <si>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</si>
  <si>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</si>
  <si>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</si>
  <si>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</si>
  <si>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</si>
  <si>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</si>
  <si>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</si>
  <si>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</si>
  <si>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</si>
  <si>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</si>
  <si>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</si>
  <si>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</si>
  <si>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</si>
  <si>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</si>
  <si>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</si>
  <si>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</si>
  <si>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</si>
  <si>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</si>
  <si>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</si>
  <si>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</si>
  <si>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</si>
  <si>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</si>
  <si>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</si>
  <si>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</si>
  <si>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</si>
  <si>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</si>
  <si>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</si>
  <si>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</si>
  <si>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</si>
  <si>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</si>
  <si>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</si>
  <si>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</si>
  <si>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</si>
  <si>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</si>
  <si>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</si>
  <si>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</si>
  <si>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</si>
  <si>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</si>
  <si>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</si>
  <si>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</si>
  <si>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</si>
  <si>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</si>
  <si>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</si>
  <si>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</si>
  <si>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</si>
  <si>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</si>
  <si>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</si>
  <si>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</si>
  <si>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</si>
  <si>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</si>
  <si>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</si>
  <si>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</si>
  <si>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</si>
  <si>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</si>
  <si>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</si>
  <si>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</si>
  <si>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</si>
  <si>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</si>
  <si>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</si>
  <si>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</si>
  <si>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</si>
  <si>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</si>
  <si>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</si>
  <si>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</si>
  <si>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</si>
  <si>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</si>
  <si>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</si>
  <si>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</si>
  <si>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</si>
  <si>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</si>
  <si>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</si>
  <si>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</si>
  <si>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</si>
  <si>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</si>
  <si>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</si>
  <si>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</si>
  <si>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</si>
  <si>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</si>
  <si>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</si>
  <si>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</si>
  <si>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</si>
  <si>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</si>
  <si>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</si>
  <si>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</si>
  <si>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</si>
  <si>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</si>
  <si>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</si>
  <si>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</si>
  <si>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</si>
  <si>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</si>
  <si>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</si>
  <si>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</si>
  <si>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</si>
  <si>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</si>
  <si>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</si>
  <si>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</si>
  <si>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</si>
  <si>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</si>
  <si>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</si>
  <si>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</si>
  <si>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</si>
  <si>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</si>
  <si>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</si>
  <si>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</si>
  <si>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</si>
  <si>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</si>
  <si>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</si>
  <si>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</si>
  <si>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</si>
  <si>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</si>
  <si>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</si>
  <si>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</si>
  <si>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</si>
  <si>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</si>
  <si>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</si>
  <si>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</si>
  <si>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</si>
  <si>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</si>
  <si>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</si>
  <si>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</si>
  <si>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</si>
  <si>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</si>
  <si>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</si>
  <si>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</si>
  <si>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</si>
  <si>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</si>
  <si>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</si>
  <si>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</si>
  <si>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</si>
  <si>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</si>
  <si>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</si>
  <si>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</si>
  <si>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</si>
  <si>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</si>
  <si>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</si>
  <si>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</si>
  <si>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</si>
  <si>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</si>
  <si>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</si>
  <si>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</si>
  <si>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</si>
  <si>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</si>
  <si>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</si>
  <si>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</si>
  <si>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</si>
  <si>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</si>
  <si>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</si>
  <si>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</si>
  <si>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</si>
  <si>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</si>
  <si>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</si>
  <si>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</si>
  <si>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</si>
  <si>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</si>
  <si>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</si>
  <si>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</si>
  <si>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</si>
  <si>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</si>
  <si>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</si>
  <si>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</si>
  <si>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</si>
  <si>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</si>
  <si>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</si>
  <si>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</si>
  <si>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</si>
  <si>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</si>
  <si>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</si>
  <si>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</si>
  <si>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</si>
  <si>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</si>
  <si>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</si>
  <si>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</si>
  <si>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</si>
  <si>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</si>
  <si>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</si>
  <si>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</si>
  <si>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</si>
  <si>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</si>
  <si>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</si>
  <si>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</si>
  <si>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</si>
  <si>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</si>
  <si>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</si>
  <si>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</si>
  <si>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</si>
  <si>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</si>
  <si>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</si>
  <si>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</si>
  <si>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</si>
  <si>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</si>
  <si>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</si>
  <si>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</si>
  <si>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</si>
  <si>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</si>
  <si>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</si>
  <si>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</si>
  <si>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</si>
  <si>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</si>
  <si>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</si>
  <si>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</si>
  <si>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</si>
  <si>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</si>
  <si>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</si>
  <si>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</si>
  <si>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</si>
  <si>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</si>
  <si>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</si>
  <si>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</si>
  <si>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</si>
  <si>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</si>
  <si>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</si>
  <si>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</si>
  <si>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</si>
  <si>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</si>
  <si>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</si>
  <si>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</si>
  <si>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</si>
  <si>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</si>
  <si>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</si>
  <si>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</si>
  <si>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</si>
  <si>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</si>
  <si>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</si>
  <si>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</si>
  <si>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</si>
  <si>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</si>
  <si>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</si>
  <si>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</si>
  <si>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</si>
  <si>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</si>
  <si>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</si>
  <si>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</si>
  <si>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</si>
  <si>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</si>
  <si>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</si>
  <si>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</si>
  <si>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</si>
  <si>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</si>
  <si>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</si>
  <si>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</si>
  <si>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</si>
  <si>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</si>
  <si>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</si>
  <si>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</si>
  <si>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</si>
  <si>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</si>
  <si>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</si>
  <si>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</si>
  <si>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</si>
  <si>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</si>
  <si>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</si>
  <si>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</si>
  <si>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</si>
  <si>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</si>
  <si>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</si>
  <si>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</si>
  <si>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</si>
  <si>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</si>
  <si>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</si>
  <si>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</si>
  <si>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</si>
  <si>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</si>
  <si>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</si>
  <si>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</si>
  <si>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</si>
  <si>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</si>
  <si>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</si>
  <si>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</si>
  <si>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</si>
  <si>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</si>
  <si>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</si>
  <si>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</si>
  <si>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</si>
  <si>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</si>
  <si>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</si>
  <si>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</si>
  <si>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</si>
  <si>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</si>
  <si>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</si>
  <si>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</si>
  <si>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</si>
  <si>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</si>
  <si>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</si>
  <si>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</si>
  <si>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</si>
  <si>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</si>
  <si>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</si>
  <si>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</si>
  <si>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</si>
  <si>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</si>
  <si>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</si>
  <si>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</si>
  <si>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</si>
  <si>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</si>
  <si>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</si>
  <si>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</si>
  <si>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</si>
  <si>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</si>
  <si>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</si>
  <si>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</si>
  <si>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</si>
  <si>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</si>
  <si>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</si>
  <si>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</si>
  <si>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</si>
  <si>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</si>
  <si>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</si>
  <si>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</si>
  <si>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</si>
  <si>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</si>
  <si>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</si>
  <si>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</si>
  <si>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</si>
  <si>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</si>
  <si>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</si>
  <si>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</si>
  <si>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</si>
  <si>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</si>
  <si>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</si>
  <si>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</si>
  <si>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</si>
  <si>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</si>
  <si>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</si>
  <si>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</si>
  <si>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</si>
  <si>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</si>
  <si>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</si>
  <si>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</si>
  <si>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</si>
  <si>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</si>
  <si>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</si>
  <si>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</si>
  <si>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</si>
  <si>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</si>
  <si>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</si>
  <si>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</si>
  <si>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</si>
  <si>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</si>
  <si>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</si>
  <si>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</si>
  <si>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</si>
  <si>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</si>
  <si>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</si>
  <si>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</si>
  <si>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</si>
  <si>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</si>
  <si>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</si>
  <si>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</si>
  <si>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</si>
  <si>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</si>
  <si>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</si>
  <si>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</si>
  <si>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</si>
  <si>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</si>
  <si>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</si>
  <si>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</si>
  <si>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</si>
  <si>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</si>
  <si>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</si>
  <si>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</si>
  <si>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r>
      <t xml:space="preserve">1
</t>
    </r>
    <r>
      <rPr>
        <sz val="9"/>
        <color rgb="FF000000"/>
        <rFont val="Arial"/>
        <family val="2"/>
      </rPr>
      <t>ABADIE</t>
    </r>
  </si>
  <si>
    <r>
      <t xml:space="preserve">2
</t>
    </r>
    <r>
      <rPr>
        <sz val="9"/>
        <color rgb="FF000000"/>
        <rFont val="Arial"/>
        <family val="2"/>
      </rPr>
      <t>RICHIARDONNE</t>
    </r>
  </si>
  <si>
    <r>
      <t xml:space="preserve">3
</t>
    </r>
    <r>
      <rPr>
        <sz val="9"/>
        <color rgb="FF000000"/>
        <rFont val="Arial"/>
        <family val="2"/>
      </rPr>
      <t>BAUP</t>
    </r>
  </si>
  <si>
    <r>
      <t xml:space="preserve">4
</t>
    </r>
    <r>
      <rPr>
        <sz val="9"/>
        <color rgb="FF000000"/>
        <rFont val="Arial"/>
        <family val="2"/>
      </rPr>
      <t>DUTREY</t>
    </r>
  </si>
  <si>
    <r>
      <t xml:space="preserve">9
</t>
    </r>
    <r>
      <rPr>
        <sz val="9"/>
        <color rgb="FF000000"/>
        <rFont val="Arial"/>
        <family val="2"/>
      </rPr>
      <t>MOUDENS</t>
    </r>
  </si>
  <si>
    <r>
      <t xml:space="preserve">10
</t>
    </r>
    <r>
      <rPr>
        <sz val="9"/>
        <color rgb="FF000000"/>
        <rFont val="Arial"/>
        <family val="2"/>
      </rPr>
      <t>COURREGES</t>
    </r>
  </si>
  <si>
    <r>
      <t xml:space="preserve">11
</t>
    </r>
    <r>
      <rPr>
        <sz val="9"/>
        <color rgb="FF000000"/>
        <rFont val="Arial"/>
        <family val="2"/>
      </rPr>
      <t>BOURREC</t>
    </r>
  </si>
  <si>
    <r>
      <t xml:space="preserve">12
</t>
    </r>
    <r>
      <rPr>
        <sz val="9"/>
        <color rgb="FF000000"/>
        <rFont val="Arial"/>
        <family val="2"/>
      </rPr>
      <t>LAUDET</t>
    </r>
  </si>
  <si>
    <r>
      <t xml:space="preserve">13
</t>
    </r>
    <r>
      <rPr>
        <sz val="9"/>
        <color rgb="FF000000"/>
        <rFont val="Arial"/>
        <family val="2"/>
      </rPr>
      <t>KAPFER</t>
    </r>
  </si>
  <si>
    <r>
      <t xml:space="preserve">14
</t>
    </r>
    <r>
      <rPr>
        <sz val="9"/>
        <color rgb="FF000000"/>
        <rFont val="Arial"/>
        <family val="2"/>
      </rPr>
      <t>JOUNAUX</t>
    </r>
  </si>
  <si>
    <r>
      <t xml:space="preserve">15
</t>
    </r>
    <r>
      <rPr>
        <sz val="9"/>
        <color rgb="FF000000"/>
        <rFont val="Arial"/>
        <family val="2"/>
      </rPr>
      <t>SALLES</t>
    </r>
  </si>
  <si>
    <r>
      <t xml:space="preserve">5
</t>
    </r>
    <r>
      <rPr>
        <sz val="9"/>
        <color rgb="FF000000"/>
        <rFont val="Arial"/>
        <family val="2"/>
      </rPr>
      <t>ABADIE</t>
    </r>
  </si>
  <si>
    <t>MULLIER Victor</t>
  </si>
  <si>
    <r>
      <t xml:space="preserve">6
</t>
    </r>
    <r>
      <rPr>
        <sz val="9"/>
        <color rgb="FF000000"/>
        <rFont val="Arial"/>
        <family val="2"/>
      </rPr>
      <t>MULLIER</t>
    </r>
  </si>
  <si>
    <r>
      <t xml:space="preserve">7
</t>
    </r>
    <r>
      <rPr>
        <sz val="9"/>
        <color rgb="FF000000"/>
        <rFont val="Arial"/>
        <family val="2"/>
      </rPr>
      <t>BIFFI</t>
    </r>
  </si>
  <si>
    <r>
      <t xml:space="preserve">8
</t>
    </r>
    <r>
      <rPr>
        <sz val="9"/>
        <color rgb="FF000000"/>
        <rFont val="Arial"/>
        <family val="2"/>
      </rPr>
      <t>BARATGIN</t>
    </r>
  </si>
  <si>
    <r>
      <t xml:space="preserve">16
</t>
    </r>
    <r>
      <rPr>
        <sz val="9"/>
        <color rgb="FF000000"/>
        <rFont val="Arial"/>
        <family val="2"/>
      </rPr>
      <t>DALLA ROSA</t>
    </r>
  </si>
  <si>
    <t>GALLINARO Pierrick</t>
  </si>
  <si>
    <r>
      <t xml:space="preserve">17
</t>
    </r>
    <r>
      <rPr>
        <sz val="9"/>
        <color rgb="FF000000"/>
        <rFont val="Arial"/>
        <family val="2"/>
      </rPr>
      <t>GALLINARO</t>
    </r>
  </si>
  <si>
    <t>STEFANI Titouan</t>
  </si>
  <si>
    <r>
      <t xml:space="preserve">18
</t>
    </r>
    <r>
      <rPr>
        <sz val="9"/>
        <color rgb="FF000000"/>
        <rFont val="Arial"/>
        <family val="2"/>
      </rPr>
      <t>STEFANI</t>
    </r>
  </si>
  <si>
    <r>
      <t xml:space="preserve">19
</t>
    </r>
    <r>
      <rPr>
        <sz val="9"/>
        <color rgb="FF000000"/>
        <rFont val="Arial"/>
        <family val="2"/>
      </rPr>
      <t>LOUREIRO LABAZUY</t>
    </r>
  </si>
  <si>
    <r>
      <t xml:space="preserve">20
</t>
    </r>
    <r>
      <rPr>
        <sz val="9"/>
        <color rgb="FF000000"/>
        <rFont val="Arial"/>
        <family val="2"/>
      </rPr>
      <t>ABADIE</t>
    </r>
  </si>
  <si>
    <r>
      <t xml:space="preserve">21
</t>
    </r>
    <r>
      <rPr>
        <sz val="9"/>
        <color rgb="FF000000"/>
        <rFont val="Arial"/>
        <family val="2"/>
      </rPr>
      <t>CESCA</t>
    </r>
  </si>
  <si>
    <t>SOUVILLE Quentin</t>
  </si>
  <si>
    <r>
      <t xml:space="preserve">22
</t>
    </r>
    <r>
      <rPr>
        <sz val="9"/>
        <color rgb="FF000000"/>
        <rFont val="Arial"/>
        <family val="2"/>
      </rPr>
      <t>SOUVILLE</t>
    </r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</si>
  <si>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</si>
  <si>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</si>
  <si>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</si>
  <si>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</si>
  <si>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</si>
  <si>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</si>
  <si>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</si>
  <si>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</si>
  <si>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</si>
  <si>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</si>
  <si>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</si>
  <si>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</si>
  <si>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</si>
  <si>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</si>
  <si>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</si>
  <si>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</si>
  <si>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</si>
  <si>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</si>
  <si>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</si>
  <si>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</si>
  <si>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</si>
  <si>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</si>
  <si>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</si>
  <si>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</si>
  <si>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</si>
  <si>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</si>
  <si>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</si>
  <si>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</si>
  <si>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</si>
  <si>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</si>
  <si>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</si>
  <si>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</si>
  <si>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</si>
  <si>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</si>
  <si>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</si>
  <si>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</si>
  <si>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</si>
  <si>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</si>
  <si>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</si>
  <si>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</si>
  <si>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</si>
  <si>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</si>
  <si>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</si>
  <si>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</si>
  <si>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</si>
  <si>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</si>
  <si>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</si>
  <si>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</si>
  <si>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</si>
  <si>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</si>
  <si>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</si>
  <si>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EXPORTER
LA FEUILLE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</si>
</sst>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2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sz val="9"/>
      <color rgb="FF000000"/>
      <name val="Arial"/>
      <family val="2"/>
    </font>
    <font>
      <b/>
      <sz val="14"/>
      <color theme="1"/>
      <name val="Calibri"/>
      <family val="2"/>
    </font>
    <font>
      <sz val="9"/>
      <color theme="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</fills>
  <borders count="97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7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48" fillId="0" borderId="6" xfId="0" applyFont="1" applyBorder="1" applyAlignment="1">
      <alignment horizontal="left" vertical="center" wrapText="1"/>
    </xf>
    <xf numFmtId="0" fontId="48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36" borderId="96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43" fillId="14" borderId="90" xfId="0" applyFont="1" applyFill="1" applyBorder="1" applyAlignment="1">
      <alignment horizontal="center" vertical="center"/>
    </xf>
    <xf numFmtId="0" fontId="45" fillId="33" borderId="0" xfId="0" applyFont="1" applyFill="1" applyAlignment="1">
      <alignment horizontal="center"/>
    </xf>
    <xf numFmtId="0" fontId="50" fillId="37" borderId="90" xfId="0" applyFont="1" applyFill="1" applyBorder="1" applyAlignment="1">
      <alignment horizontal="center" vertical="center" wrapText="1"/>
    </xf>
    <xf numFmtId="0" fontId="43" fillId="37" borderId="9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5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9" dataDxfId="68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>
      <calculatedColumnFormula>LstEffectif[[#This Row],[prenom]] &amp; " " &amp; LstEffectif[[#This Row],[nom]]</calculatedColumnFormula>
    </tableColumn>
    <tableColumn id="5" xr3:uid="{EB017694-E6D2-7440-91BF-61113926AB7D}" name="NOM Prénom" dataDxfId="62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1" dataDxfId="60">
  <autoFilter ref="J1:J11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7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6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5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74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3" totalsRowShown="0">
  <autoFilter ref="L2:U3" xr:uid="{A1FE138B-7A57-FD4E-B0BC-4BF4203BE379}"/>
  <tableColumns count="10">
    <tableColumn id="1" xr3:uid="{9154875D-F6A2-FD43-A363-B5D480E2C8C9}" name="Temps video" dataDxfId="73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72"/>
    <tableColumn id="8" xr3:uid="{D9175B18-6528-4648-B15C-FF2CC25EEBE4}" name="Jeu 3/4" dataDxfId="71"/>
    <tableColumn id="9" xr3:uid="{CAE0CE17-6518-8346-8125-3B7CA02D88C1}" name="Jeu pied" dataDxfId="70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54" dataDxfId="52" headerRowBorderDxfId="53" tableBorderDxfId="51" totalsRowBorderDxfId="50">
  <autoFilter ref="Q1:R56" xr:uid="{6D1F5F0A-5FD5-AC4E-A195-33A78A5E0E58}"/>
  <tableColumns count="2">
    <tableColumn id="1" xr3:uid="{8A0D5429-5616-B849-BD27-167A576FE99E}" name="Nom de cellule à créer" dataDxfId="49"/>
    <tableColumn id="2" xr3:uid="{19545507-672A-9F40-8818-E4C9060AA52B}" name="Libellé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7" headerRowBorderDxfId="46" tableBorderDxfId="45" totalsRowBorderDxfId="44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3" headerRowBorderDxfId="42" tableBorderDxfId="41" totalsRowBorderDxfId="40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9" dataDxfId="38">
  <autoFilter ref="I14:I20" xr:uid="{CC940AF9-E81A-F746-8EAD-392809C3CFBE}"/>
  <tableColumns count="1">
    <tableColumn id="1" xr3:uid="{816CA1DF-3681-2948-A622-26353E2B9A97}" name="LISTE_LECTEUR_VIDEO" dataDxfId="3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6" dataDxfId="35">
  <autoFilter ref="C1:C4" xr:uid="{61FC7709-08E5-D048-A38B-441B18CF5D35}"/>
  <tableColumns count="1">
    <tableColumn id="1" xr3:uid="{C41B523D-40DA-AF48-A2C2-015B04960B0A}" name="LIEU_MATCH" dataDxfId="3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3" dataDxfId="32">
  <autoFilter ref="C6:C10" xr:uid="{86EA01CF-5567-6445-9906-AD2B60CA0A8A}"/>
  <tableColumns count="1">
    <tableColumn id="1" xr3:uid="{B57F8324-6F25-7B40-9B20-1BFDF9708631}" name="PHASE" dataDxfId="3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30" dataDxfId="29">
  <autoFilter ref="C12:C15" xr:uid="{DAA9B017-78F0-D447-B788-CF8333AEAC38}"/>
  <tableColumns count="1">
    <tableColumn id="1" xr3:uid="{C5E86C3D-762A-054E-B864-5A67DBB9A8CA}" name="RESULTAT" dataDxfId="2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7" dataDxfId="26">
  <autoFilter ref="C17:C21" xr:uid="{F661D9E2-619C-DA44-92C5-8A09E8E281AC}"/>
  <tableColumns count="1">
    <tableColumn id="1" xr3:uid="{ADD3AF05-089E-D149-9728-7C2A6F62FA22}" name="EQUIPE_NIV" dataDxfId="2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4" dataDxfId="22" headerRowBorderDxfId="23" tableBorderDxfId="21" totalsRowBorderDxfId="20">
  <autoFilter ref="K1:K25" xr:uid="{391966D0-8F83-3948-82BB-835638F7D3FE}"/>
  <tableColumns count="1">
    <tableColumn id="1" xr3:uid="{F45BF991-6668-F741-B07C-7905B99AC752}" name="LISTE_JOUEURS_JOURNAL" dataDxfId="1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8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416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516</v>
      </c>
      <c r="C66" s="127" t="s">
        <v>515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topLeftCell="M1" workbookViewId="0">
      <selection activeCell="D35" sqref="D35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8"/>
      <c r="D1" s="68"/>
    </row>
    <row r="2" spans="1:8" ht="19" customHeight="1">
      <c r="B2" s="216" t="s">
        <v>202</v>
      </c>
      <c r="C2" s="216"/>
      <c r="E2" s="217" t="str">
        <f>"FEUILLE COMPO "&amp;MATCH_NOUS</f>
        <v>FEUILLE COMPO MXV</v>
      </c>
      <c r="F2" s="218"/>
      <c r="G2" s="218"/>
      <c r="H2" s="219"/>
    </row>
    <row r="3" spans="1:8" ht="19" customHeight="1">
      <c r="B3" s="216"/>
      <c r="C3" s="216"/>
      <c r="E3" s="220"/>
      <c r="F3" s="221"/>
      <c r="G3" s="221"/>
      <c r="H3" s="222"/>
    </row>
    <row r="4" spans="1:8" ht="19" customHeight="1" thickBot="1">
      <c r="B4" s="216"/>
      <c r="C4" s="216"/>
      <c r="E4" s="223"/>
      <c r="F4" s="224"/>
      <c r="G4" s="224"/>
      <c r="H4" s="225"/>
    </row>
    <row r="5" spans="1:8" s="3" customFormat="1">
      <c r="A5" s="68"/>
      <c r="D5" s="68"/>
    </row>
    <row r="6" spans="1:8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</row>
    <row r="7" spans="1:8">
      <c r="B7" s="3"/>
      <c r="C7" s="3"/>
      <c r="E7">
        <v>1</v>
      </c>
      <c r="F7" t="s">
        <v>488</v>
      </c>
      <c r="G7" t="s">
        <v>154</v>
      </c>
    </row>
    <row r="8" spans="1:8">
      <c r="B8" s="47" t="s">
        <v>210</v>
      </c>
      <c r="C8" s="48">
        <v>46292</v>
      </c>
      <c r="E8">
        <v>2</v>
      </c>
      <c r="F8" t="s">
        <v>500</v>
      </c>
      <c r="G8" t="s">
        <v>154</v>
      </c>
    </row>
    <row r="9" spans="1:8">
      <c r="B9" s="3"/>
      <c r="C9" s="3"/>
      <c r="E9">
        <v>3</v>
      </c>
      <c r="F9" t="s">
        <v>490</v>
      </c>
      <c r="G9" t="s">
        <v>154</v>
      </c>
    </row>
    <row r="10" spans="1:8">
      <c r="B10" s="47" t="s">
        <v>513</v>
      </c>
      <c r="C10" s="48" t="s">
        <v>514</v>
      </c>
      <c r="E10">
        <v>4</v>
      </c>
      <c r="F10" t="s">
        <v>517</v>
      </c>
      <c r="G10" t="s">
        <v>154</v>
      </c>
    </row>
    <row r="11" spans="1:8">
      <c r="E11">
        <v>5</v>
      </c>
      <c r="F11" t="s">
        <v>491</v>
      </c>
      <c r="G11" t="s">
        <v>154</v>
      </c>
    </row>
    <row r="12" spans="1:8">
      <c r="B12" s="47" t="s">
        <v>183</v>
      </c>
      <c r="C12" s="48" t="s">
        <v>384</v>
      </c>
      <c r="E12">
        <v>6</v>
      </c>
      <c r="F12" t="s">
        <v>530</v>
      </c>
      <c r="G12" t="s">
        <v>154</v>
      </c>
    </row>
    <row r="13" spans="1:8">
      <c r="B13" s="3"/>
      <c r="C13" s="3"/>
      <c r="E13">
        <v>7</v>
      </c>
      <c r="F13" t="s">
        <v>501</v>
      </c>
      <c r="G13" t="s">
        <v>154</v>
      </c>
    </row>
    <row r="14" spans="1:8">
      <c r="B14" s="47" t="s">
        <v>209</v>
      </c>
      <c r="C14" s="48" t="s">
        <v>188</v>
      </c>
      <c r="E14">
        <v>8</v>
      </c>
      <c r="F14" t="s">
        <v>492</v>
      </c>
      <c r="G14" t="s">
        <v>154</v>
      </c>
    </row>
    <row r="15" spans="1:8">
      <c r="B15" s="3"/>
      <c r="C15" s="3"/>
      <c r="E15" s="40">
        <v>9</v>
      </c>
      <c r="F15" s="40" t="s">
        <v>493</v>
      </c>
      <c r="G15" s="40" t="s">
        <v>170</v>
      </c>
      <c r="H15" s="40"/>
    </row>
    <row r="16" spans="1:8">
      <c r="B16" s="47" t="s">
        <v>184</v>
      </c>
      <c r="C16" s="48" t="s">
        <v>180</v>
      </c>
      <c r="E16">
        <v>10</v>
      </c>
      <c r="F16" t="s">
        <v>494</v>
      </c>
      <c r="G16" t="s">
        <v>170</v>
      </c>
    </row>
    <row r="17" spans="1:8">
      <c r="B17" s="3"/>
      <c r="C17" s="69"/>
      <c r="E17">
        <v>11</v>
      </c>
      <c r="F17" t="s">
        <v>495</v>
      </c>
      <c r="G17" t="s">
        <v>170</v>
      </c>
    </row>
    <row r="18" spans="1:8">
      <c r="B18" s="47" t="s">
        <v>185</v>
      </c>
      <c r="C18" s="49">
        <v>2</v>
      </c>
      <c r="E18">
        <v>12</v>
      </c>
      <c r="F18" t="s">
        <v>496</v>
      </c>
      <c r="G18" t="s">
        <v>170</v>
      </c>
    </row>
    <row r="19" spans="1:8">
      <c r="B19" s="3"/>
      <c r="C19" s="3"/>
      <c r="E19">
        <v>13</v>
      </c>
      <c r="F19" t="s">
        <v>497</v>
      </c>
      <c r="G19" t="s">
        <v>170</v>
      </c>
    </row>
    <row r="20" spans="1:8">
      <c r="B20" s="47" t="s">
        <v>186</v>
      </c>
      <c r="C20" s="48" t="s">
        <v>195</v>
      </c>
      <c r="E20">
        <v>14</v>
      </c>
      <c r="F20" t="s">
        <v>498</v>
      </c>
      <c r="G20" t="s">
        <v>170</v>
      </c>
    </row>
    <row r="21" spans="1:8">
      <c r="B21" s="3"/>
      <c r="C21" s="69"/>
      <c r="E21" s="35">
        <v>15</v>
      </c>
      <c r="F21" s="35" t="s">
        <v>499</v>
      </c>
      <c r="G21" s="35" t="s">
        <v>170</v>
      </c>
      <c r="H21" s="35"/>
    </row>
    <row r="22" spans="1:8">
      <c r="B22" s="47" t="s">
        <v>208</v>
      </c>
      <c r="C22" s="48" t="s">
        <v>204</v>
      </c>
      <c r="E22">
        <v>16</v>
      </c>
      <c r="F22" t="s">
        <v>489</v>
      </c>
      <c r="G22" t="s">
        <v>154</v>
      </c>
    </row>
    <row r="23" spans="1:8">
      <c r="B23" s="3"/>
      <c r="C23" s="3"/>
      <c r="E23">
        <v>17</v>
      </c>
      <c r="F23" t="s">
        <v>535</v>
      </c>
      <c r="G23" t="s">
        <v>154</v>
      </c>
    </row>
    <row r="24" spans="1:8">
      <c r="B24" s="3"/>
      <c r="C24" s="3"/>
      <c r="E24">
        <v>18</v>
      </c>
      <c r="F24" t="s">
        <v>537</v>
      </c>
      <c r="G24" t="s">
        <v>154</v>
      </c>
    </row>
    <row r="25" spans="1:8">
      <c r="B25" s="3"/>
      <c r="C25" s="3"/>
      <c r="E25">
        <v>19</v>
      </c>
      <c r="F25" t="s">
        <v>487</v>
      </c>
      <c r="G25" t="s">
        <v>154</v>
      </c>
    </row>
    <row r="26" spans="1:8">
      <c r="B26" s="3"/>
      <c r="C26" s="3"/>
      <c r="E26">
        <v>20</v>
      </c>
      <c r="F26" t="s">
        <v>503</v>
      </c>
      <c r="G26" t="s">
        <v>170</v>
      </c>
    </row>
    <row r="27" spans="1:8">
      <c r="B27" s="3"/>
      <c r="C27" s="3"/>
      <c r="E27">
        <v>21</v>
      </c>
      <c r="F27" t="s">
        <v>502</v>
      </c>
      <c r="G27" t="s">
        <v>170</v>
      </c>
    </row>
    <row r="28" spans="1:8">
      <c r="B28" s="3"/>
      <c r="C28" s="3"/>
      <c r="E28">
        <v>22</v>
      </c>
      <c r="F28" t="s">
        <v>542</v>
      </c>
      <c r="G28" t="s">
        <v>170</v>
      </c>
    </row>
    <row r="29" spans="1:8" s="3" customFormat="1" hidden="1">
      <c r="A29" s="68"/>
      <c r="D29" s="68"/>
    </row>
    <row r="30" spans="1:8" s="3" customFormat="1">
      <c r="A30" s="68"/>
      <c r="D30" s="68"/>
    </row>
    <row r="31" spans="1:8" s="3" customFormat="1">
      <c r="A31" s="68"/>
      <c r="D31" s="68"/>
    </row>
    <row r="32" spans="1:8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415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L8" sqref="L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2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 t="s">
        <v>67</v>
      </c>
      <c r="C1" s="235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35"/>
      <c r="E1" s="235"/>
      <c r="F1" s="235"/>
      <c r="G1" s="235"/>
      <c r="H1" s="235"/>
      <c r="I1" s="235"/>
      <c r="J1" s="235"/>
      <c r="K1" s="235"/>
      <c r="L1" s="235"/>
      <c r="M1" s="235"/>
      <c r="N1" s="235"/>
      <c r="O1" s="235"/>
      <c r="P1" s="3"/>
      <c r="AZ1" s="173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75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9"/>
      <c r="AD3" s="198"/>
      <c r="AE3" s="185"/>
      <c r="AF3" s="185"/>
      <c r="AG3" s="185"/>
      <c r="AH3" s="185"/>
      <c r="AI3" s="192"/>
    </row>
    <row r="4" spans="1:52" ht="42" customHeight="1">
      <c r="A4" s="3"/>
      <c r="B4" s="3"/>
      <c r="C4" s="102"/>
      <c r="D4" s="236" t="s">
        <v>125</v>
      </c>
      <c r="E4" s="237"/>
      <c r="F4" s="12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6" t="s">
        <v>44</v>
      </c>
      <c r="O4" s="125"/>
      <c r="P4" s="124"/>
      <c r="Q4" s="180"/>
      <c r="R4" s="173" t="s">
        <v>38</v>
      </c>
      <c r="S4" s="198"/>
      <c r="T4" s="16" t="s">
        <v>29</v>
      </c>
      <c r="U4" s="198"/>
      <c r="V4" s="16" t="s">
        <v>52</v>
      </c>
      <c r="W4" s="198"/>
      <c r="X4" s="16" t="s">
        <v>142</v>
      </c>
      <c r="Y4" s="198"/>
      <c r="Z4" s="16" t="s">
        <v>30</v>
      </c>
      <c r="AA4" s="198"/>
      <c r="AB4" s="16" t="s">
        <v>31</v>
      </c>
      <c r="AC4" s="202"/>
      <c r="AD4" s="198"/>
      <c r="AE4" s="185"/>
      <c r="AF4" s="185"/>
      <c r="AG4" s="185"/>
      <c r="AH4" s="185"/>
      <c r="AI4" s="192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195"/>
      <c r="R5" s="201"/>
      <c r="S5" s="196"/>
      <c r="T5" s="201"/>
      <c r="U5" s="196"/>
      <c r="V5" s="201"/>
      <c r="W5" s="196"/>
      <c r="X5" s="201"/>
      <c r="Y5" s="196"/>
      <c r="Z5" s="201"/>
      <c r="AA5" s="196"/>
      <c r="AB5" s="201"/>
      <c r="AC5" s="203"/>
      <c r="AD5" s="198"/>
      <c r="AE5" s="185"/>
      <c r="AF5" s="185"/>
      <c r="AG5" s="185"/>
      <c r="AH5" s="185"/>
      <c r="AI5" s="192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199"/>
      <c r="R6" s="199"/>
      <c r="S6" s="199"/>
      <c r="T6" s="199"/>
      <c r="U6" s="199"/>
      <c r="V6" s="199"/>
      <c r="W6" s="199"/>
      <c r="X6" s="199"/>
      <c r="Y6" s="199"/>
      <c r="Z6" s="199"/>
      <c r="AA6" s="199"/>
      <c r="AB6" s="199"/>
      <c r="AC6" s="199"/>
      <c r="AD6" s="185"/>
      <c r="AE6" s="185"/>
      <c r="AF6" s="185"/>
      <c r="AG6" s="185"/>
      <c r="AH6" s="185"/>
      <c r="AI6" s="192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75"/>
      <c r="R7" s="178"/>
      <c r="S7" s="178"/>
      <c r="T7" s="178"/>
      <c r="U7" s="178"/>
      <c r="V7" s="178"/>
      <c r="W7" s="178"/>
      <c r="X7" s="178"/>
      <c r="Y7" s="178"/>
      <c r="Z7" s="178"/>
      <c r="AA7" s="178"/>
      <c r="AB7" s="178"/>
      <c r="AC7" s="179"/>
      <c r="AD7" s="198"/>
      <c r="AE7" s="185"/>
      <c r="AF7" s="185"/>
      <c r="AG7" s="185"/>
      <c r="AH7" s="185"/>
      <c r="AI7" s="192"/>
    </row>
    <row r="8" spans="1:52" ht="26" customHeight="1">
      <c r="A8" s="3"/>
      <c r="B8" s="3"/>
      <c r="C8" s="116"/>
      <c r="D8" s="117" t="s">
        <v>245</v>
      </c>
      <c r="E8" s="118"/>
      <c r="F8" s="166"/>
      <c r="G8" s="119"/>
      <c r="H8" s="97"/>
      <c r="I8" s="119"/>
      <c r="J8" s="98"/>
      <c r="K8" s="119"/>
      <c r="L8" s="167"/>
      <c r="M8" s="104"/>
      <c r="N8" s="110"/>
      <c r="O8" s="123"/>
      <c r="P8" s="124"/>
      <c r="Q8" s="180"/>
      <c r="R8" s="173" t="s">
        <v>49</v>
      </c>
      <c r="S8" s="198"/>
      <c r="T8" s="9" t="s">
        <v>33</v>
      </c>
      <c r="U8" s="198"/>
      <c r="V8" s="9" t="s">
        <v>34</v>
      </c>
      <c r="W8" s="198"/>
      <c r="X8" s="9" t="s">
        <v>35</v>
      </c>
      <c r="Y8" s="198"/>
      <c r="Z8" s="9" t="s">
        <v>36</v>
      </c>
      <c r="AA8" s="198"/>
      <c r="AB8" s="2" t="s">
        <v>37</v>
      </c>
      <c r="AC8" s="202"/>
      <c r="AD8" s="198"/>
      <c r="AE8" s="185"/>
      <c r="AF8" s="12" t="s">
        <v>544</v>
      </c>
      <c r="AG8" s="198"/>
      <c r="AH8" s="185"/>
      <c r="AI8" s="192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195"/>
      <c r="R9" s="201"/>
      <c r="S9" s="196"/>
      <c r="T9" s="201"/>
      <c r="U9" s="196"/>
      <c r="V9" s="201"/>
      <c r="W9" s="196"/>
      <c r="X9" s="201"/>
      <c r="Y9" s="196"/>
      <c r="Z9" s="201"/>
      <c r="AA9" s="196"/>
      <c r="AB9" s="201"/>
      <c r="AC9" s="203"/>
      <c r="AD9" s="198"/>
      <c r="AE9" s="185"/>
      <c r="AF9" s="199"/>
      <c r="AG9" s="185"/>
      <c r="AH9" s="185"/>
      <c r="AI9" s="192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199"/>
      <c r="R10" s="199"/>
      <c r="S10" s="199"/>
      <c r="T10" s="199"/>
      <c r="U10" s="199"/>
      <c r="V10" s="199"/>
      <c r="W10" s="199"/>
      <c r="X10" s="199"/>
      <c r="Y10" s="199"/>
      <c r="Z10" s="199"/>
      <c r="AA10" s="199"/>
      <c r="AB10" s="199"/>
      <c r="AC10" s="199"/>
      <c r="AD10" s="185"/>
      <c r="AE10" s="185"/>
      <c r="AF10" s="185"/>
      <c r="AG10" s="185"/>
      <c r="AH10" s="185"/>
      <c r="AI10" s="192"/>
    </row>
    <row r="11" spans="1:52" ht="10" customHeight="1" thickTop="1">
      <c r="A11" s="3"/>
      <c r="B11" s="3" t="s">
        <v>45</v>
      </c>
      <c r="C11" s="175"/>
      <c r="D11" s="178"/>
      <c r="E11" s="178"/>
      <c r="F11" s="178"/>
      <c r="G11" s="178"/>
      <c r="H11" s="178"/>
      <c r="I11" s="178"/>
      <c r="J11" s="178"/>
      <c r="K11" s="178"/>
      <c r="L11" s="178"/>
      <c r="M11" s="178"/>
      <c r="N11" s="177"/>
      <c r="O11" s="179"/>
      <c r="P11" s="171"/>
      <c r="Q11" s="175"/>
      <c r="R11" s="178"/>
      <c r="S11" s="178"/>
      <c r="T11" s="178"/>
      <c r="U11" s="178"/>
      <c r="V11" s="178"/>
      <c r="W11" s="178"/>
      <c r="X11" s="178"/>
      <c r="Y11" s="178"/>
      <c r="Z11" s="178"/>
      <c r="AA11" s="178"/>
      <c r="AB11" s="178"/>
      <c r="AC11" s="178"/>
      <c r="AD11" s="178"/>
      <c r="AE11" s="178"/>
      <c r="AF11" s="178"/>
      <c r="AG11" s="178"/>
      <c r="AH11" s="178"/>
      <c r="AI11" s="179"/>
    </row>
    <row r="12" spans="1:52" ht="15" customHeight="1">
      <c r="A12" s="3"/>
      <c r="B12" s="3"/>
      <c r="C12" s="180"/>
      <c r="D12" s="238" t="s">
        <v>18</v>
      </c>
      <c r="E12" s="238"/>
      <c r="F12" s="238"/>
      <c r="G12" s="238"/>
      <c r="H12" s="238"/>
      <c r="I12" s="238"/>
      <c r="J12" s="238"/>
      <c r="K12" s="238"/>
      <c r="L12" s="238"/>
      <c r="M12" s="239"/>
      <c r="N12" s="240"/>
      <c r="O12" s="184"/>
      <c r="P12" s="171"/>
      <c r="Q12" s="180"/>
      <c r="R12" s="226" t="s">
        <v>19</v>
      </c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7"/>
      <c r="AH12" s="228"/>
      <c r="AI12" s="202"/>
    </row>
    <row r="13" spans="1:52">
      <c r="A13" s="3"/>
      <c r="B13" s="3"/>
      <c r="C13" s="180"/>
      <c r="D13" s="181"/>
      <c r="E13" s="185"/>
      <c r="F13" s="181"/>
      <c r="G13" s="185"/>
      <c r="H13" s="181"/>
      <c r="I13" s="185"/>
      <c r="J13" s="181"/>
      <c r="K13" s="185"/>
      <c r="L13" s="181"/>
      <c r="M13" s="185"/>
      <c r="N13" s="181"/>
      <c r="O13" s="184"/>
      <c r="P13" s="171"/>
      <c r="Q13" s="180"/>
      <c r="R13" s="199"/>
      <c r="S13" s="199"/>
      <c r="T13" s="199"/>
      <c r="U13" s="199"/>
      <c r="V13" s="199"/>
      <c r="W13" s="199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84"/>
    </row>
    <row r="14" spans="1:52" ht="42" customHeight="1">
      <c r="A14" s="3"/>
      <c r="B14" s="3"/>
      <c r="C14" s="187"/>
      <c r="D14" s="212" t="s">
        <v>518</v>
      </c>
      <c r="E14" s="189"/>
      <c r="F14" s="212" t="s">
        <v>519</v>
      </c>
      <c r="G14" s="189"/>
      <c r="H14" s="212" t="s">
        <v>520</v>
      </c>
      <c r="I14" s="189"/>
      <c r="J14" s="212" t="s">
        <v>521</v>
      </c>
      <c r="K14" s="189"/>
      <c r="L14" s="212" t="s">
        <v>529</v>
      </c>
      <c r="M14" s="189"/>
      <c r="N14" s="212" t="s">
        <v>531</v>
      </c>
      <c r="O14" s="190"/>
      <c r="P14" s="171"/>
      <c r="Q14" s="180"/>
      <c r="R14" s="173" t="s">
        <v>268</v>
      </c>
      <c r="S14" s="198"/>
      <c r="T14" s="7" t="s">
        <v>22</v>
      </c>
      <c r="U14" s="198"/>
      <c r="V14" s="7" t="s">
        <v>20</v>
      </c>
      <c r="W14" s="198"/>
      <c r="X14" s="7" t="s">
        <v>23</v>
      </c>
      <c r="Y14" s="198"/>
      <c r="Z14" s="7" t="s">
        <v>24</v>
      </c>
      <c r="AA14" s="198"/>
      <c r="AB14" s="7" t="s">
        <v>21</v>
      </c>
      <c r="AC14" s="198"/>
      <c r="AD14" s="173" t="s">
        <v>224</v>
      </c>
      <c r="AE14" s="198"/>
      <c r="AF14" s="7" t="s">
        <v>25</v>
      </c>
      <c r="AG14" s="198"/>
      <c r="AH14" s="7" t="s">
        <v>26</v>
      </c>
      <c r="AI14" s="202"/>
    </row>
    <row r="15" spans="1:52" ht="10" customHeight="1">
      <c r="A15" s="3"/>
      <c r="B15" s="3"/>
      <c r="C15" s="180"/>
      <c r="D15" s="188"/>
      <c r="E15" s="185"/>
      <c r="F15" s="188"/>
      <c r="G15" s="185"/>
      <c r="H15" s="188"/>
      <c r="I15" s="185"/>
      <c r="J15" s="188"/>
      <c r="K15" s="185"/>
      <c r="L15" s="188"/>
      <c r="M15" s="185"/>
      <c r="N15" s="188"/>
      <c r="O15" s="184"/>
      <c r="P15" s="171"/>
      <c r="Q15" s="180"/>
      <c r="R15" s="199"/>
      <c r="S15" s="185"/>
      <c r="T15" s="199"/>
      <c r="U15" s="185"/>
      <c r="V15" s="199"/>
      <c r="W15" s="185"/>
      <c r="X15" s="199"/>
      <c r="Y15" s="185"/>
      <c r="Z15" s="199"/>
      <c r="AA15" s="185"/>
      <c r="AB15" s="199"/>
      <c r="AC15" s="185"/>
      <c r="AD15" s="199"/>
      <c r="AE15" s="185"/>
      <c r="AF15" s="199"/>
      <c r="AG15" s="185"/>
      <c r="AH15" s="199"/>
      <c r="AI15" s="184"/>
    </row>
    <row r="16" spans="1:52" ht="42" customHeight="1">
      <c r="A16" s="3"/>
      <c r="B16" s="3"/>
      <c r="C16" s="187"/>
      <c r="D16" s="212" t="s">
        <v>532</v>
      </c>
      <c r="E16" s="189"/>
      <c r="F16" s="212" t="s">
        <v>533</v>
      </c>
      <c r="G16" s="189"/>
      <c r="H16" s="212" t="s">
        <v>522</v>
      </c>
      <c r="I16" s="189"/>
      <c r="J16" s="212" t="s">
        <v>523</v>
      </c>
      <c r="K16" s="189"/>
      <c r="L16" s="212" t="s">
        <v>524</v>
      </c>
      <c r="M16" s="189"/>
      <c r="N16" s="212" t="s">
        <v>525</v>
      </c>
      <c r="O16" s="190"/>
      <c r="P16" s="171"/>
      <c r="Q16" s="180"/>
      <c r="R16" s="173" t="s">
        <v>223</v>
      </c>
      <c r="S16" s="198"/>
      <c r="T16" s="7" t="s">
        <v>25</v>
      </c>
      <c r="U16" s="198"/>
      <c r="V16" s="7" t="s">
        <v>26</v>
      </c>
      <c r="W16" s="198"/>
      <c r="X16" s="7" t="s">
        <v>46</v>
      </c>
      <c r="Y16" s="198"/>
      <c r="Z16" s="185"/>
      <c r="AA16" s="185"/>
      <c r="AB16" s="174" t="s">
        <v>406</v>
      </c>
      <c r="AC16" s="198"/>
      <c r="AD16" s="16" t="s">
        <v>246</v>
      </c>
      <c r="AE16" s="198"/>
      <c r="AF16" s="16" t="s">
        <v>404</v>
      </c>
      <c r="AG16" s="198"/>
      <c r="AH16" s="16" t="s">
        <v>405</v>
      </c>
      <c r="AI16" s="202"/>
    </row>
    <row r="17" spans="1:35" ht="10" customHeight="1">
      <c r="A17" s="3"/>
      <c r="B17" s="3"/>
      <c r="C17" s="180"/>
      <c r="D17" s="188"/>
      <c r="E17" s="185"/>
      <c r="F17" s="188"/>
      <c r="G17" s="185"/>
      <c r="H17" s="188"/>
      <c r="I17" s="185"/>
      <c r="J17" s="188"/>
      <c r="K17" s="185"/>
      <c r="L17" s="188"/>
      <c r="M17" s="185"/>
      <c r="N17" s="188"/>
      <c r="O17" s="184"/>
      <c r="P17" s="171"/>
      <c r="Q17" s="180"/>
      <c r="R17" s="199"/>
      <c r="S17" s="185"/>
      <c r="T17" s="199"/>
      <c r="U17" s="185"/>
      <c r="V17" s="199"/>
      <c r="W17" s="185"/>
      <c r="X17" s="199"/>
      <c r="Y17" s="185"/>
      <c r="Z17" s="185"/>
      <c r="AA17" s="185"/>
      <c r="AB17" s="199"/>
      <c r="AC17" s="185"/>
      <c r="AD17" s="199"/>
      <c r="AE17" s="185"/>
      <c r="AF17" s="199"/>
      <c r="AG17" s="185"/>
      <c r="AH17" s="199"/>
      <c r="AI17" s="184"/>
    </row>
    <row r="18" spans="1:35" ht="42" customHeight="1">
      <c r="A18" s="3"/>
      <c r="B18" s="3"/>
      <c r="C18" s="187"/>
      <c r="D18" s="212" t="s">
        <v>526</v>
      </c>
      <c r="E18" s="189"/>
      <c r="F18" s="212" t="s">
        <v>527</v>
      </c>
      <c r="G18" s="189"/>
      <c r="H18" s="212" t="s">
        <v>528</v>
      </c>
      <c r="I18" s="189"/>
      <c r="J18" s="212" t="s">
        <v>534</v>
      </c>
      <c r="K18" s="189"/>
      <c r="L18" s="212" t="s">
        <v>536</v>
      </c>
      <c r="M18" s="189"/>
      <c r="N18" s="212" t="s">
        <v>538</v>
      </c>
      <c r="O18" s="190"/>
      <c r="P18" s="171"/>
      <c r="Q18" s="180"/>
      <c r="R18" s="173" t="s">
        <v>126</v>
      </c>
      <c r="S18" s="198"/>
      <c r="T18" s="7" t="s">
        <v>127</v>
      </c>
      <c r="U18" s="198"/>
      <c r="V18" s="7" t="s">
        <v>128</v>
      </c>
      <c r="W18" s="198"/>
      <c r="X18" s="7" t="s">
        <v>129</v>
      </c>
      <c r="Y18" s="198"/>
      <c r="Z18" s="7" t="s">
        <v>130</v>
      </c>
      <c r="AA18" s="198"/>
      <c r="AB18" s="7" t="s">
        <v>10</v>
      </c>
      <c r="AC18" s="198"/>
      <c r="AD18" s="7" t="s">
        <v>27</v>
      </c>
      <c r="AE18" s="198"/>
      <c r="AF18" s="7" t="s">
        <v>220</v>
      </c>
      <c r="AG18" s="198"/>
      <c r="AH18" s="7" t="s">
        <v>399</v>
      </c>
      <c r="AI18" s="202"/>
    </row>
    <row r="19" spans="1:35" s="3" customFormat="1" ht="10" customHeight="1">
      <c r="C19" s="180"/>
      <c r="D19" s="188"/>
      <c r="E19" s="185"/>
      <c r="F19" s="188"/>
      <c r="G19" s="185"/>
      <c r="H19" s="188"/>
      <c r="I19" s="185"/>
      <c r="J19" s="188"/>
      <c r="K19" s="185"/>
      <c r="L19" s="188"/>
      <c r="M19" s="185"/>
      <c r="N19" s="188"/>
      <c r="O19" s="184"/>
      <c r="P19" s="171"/>
      <c r="Q19" s="180"/>
      <c r="R19" s="199"/>
      <c r="S19" s="185"/>
      <c r="T19" s="199"/>
      <c r="U19" s="185"/>
      <c r="V19" s="199"/>
      <c r="W19" s="185"/>
      <c r="X19" s="199"/>
      <c r="Y19" s="185"/>
      <c r="Z19" s="199"/>
      <c r="AA19" s="185"/>
      <c r="AB19" s="199"/>
      <c r="AC19" s="185"/>
      <c r="AD19" s="199"/>
      <c r="AE19" s="185"/>
      <c r="AF19" s="199"/>
      <c r="AG19" s="185"/>
      <c r="AH19" s="199"/>
      <c r="AI19" s="184"/>
    </row>
    <row r="20" spans="1:35" ht="42" customHeight="1">
      <c r="A20" s="3"/>
      <c r="B20" s="3"/>
      <c r="C20" s="187"/>
      <c r="D20" s="212" t="s">
        <v>539</v>
      </c>
      <c r="E20" s="189"/>
      <c r="F20" s="212" t="s">
        <v>540</v>
      </c>
      <c r="G20" s="189"/>
      <c r="H20" s="212" t="s">
        <v>541</v>
      </c>
      <c r="I20" s="189"/>
      <c r="J20" s="212" t="s">
        <v>543</v>
      </c>
      <c r="K20" s="189"/>
      <c r="L20" s="204" t="s">
        <v>42</v>
      </c>
      <c r="M20" s="189"/>
      <c r="N20" s="204" t="s">
        <v>32</v>
      </c>
      <c r="O20" s="186"/>
      <c r="P20" s="171"/>
      <c r="Q20" s="180"/>
      <c r="R20" s="173" t="s">
        <v>66</v>
      </c>
      <c r="S20" s="198"/>
      <c r="T20" s="8" t="s">
        <v>158</v>
      </c>
      <c r="U20" s="198"/>
      <c r="V20" s="8" t="s">
        <v>159</v>
      </c>
      <c r="W20" s="198"/>
      <c r="X20" s="185"/>
      <c r="Y20" s="185"/>
      <c r="Z20" s="173" t="s">
        <v>512</v>
      </c>
      <c r="AA20" s="198"/>
      <c r="AB20" s="8" t="s">
        <v>158</v>
      </c>
      <c r="AC20" s="198"/>
      <c r="AD20" s="8" t="s">
        <v>159</v>
      </c>
      <c r="AE20" s="198"/>
      <c r="AF20" s="185"/>
      <c r="AG20" s="185"/>
      <c r="AH20" s="185"/>
      <c r="AI20" s="184"/>
    </row>
    <row r="21" spans="1:35" ht="10" customHeight="1" thickBot="1">
      <c r="A21" s="3"/>
      <c r="B21" s="3"/>
      <c r="C21" s="180"/>
      <c r="D21" s="191"/>
      <c r="E21" s="185"/>
      <c r="F21" s="191"/>
      <c r="G21" s="185"/>
      <c r="H21" s="191"/>
      <c r="I21" s="185"/>
      <c r="J21" s="191"/>
      <c r="K21" s="185"/>
      <c r="L21" s="191"/>
      <c r="M21" s="185"/>
      <c r="N21" s="197"/>
      <c r="O21" s="176"/>
      <c r="P21" s="172"/>
      <c r="Q21" s="195"/>
      <c r="R21" s="201"/>
      <c r="S21" s="196"/>
      <c r="T21" s="201"/>
      <c r="U21" s="196"/>
      <c r="V21" s="201"/>
      <c r="W21" s="196"/>
      <c r="X21" s="196"/>
      <c r="Y21" s="196"/>
      <c r="Z21" s="201"/>
      <c r="AA21" s="196"/>
      <c r="AB21" s="201"/>
      <c r="AC21" s="196"/>
      <c r="AD21" s="201"/>
      <c r="AE21" s="196"/>
      <c r="AF21" s="196"/>
      <c r="AG21" s="196"/>
      <c r="AH21" s="196"/>
      <c r="AI21" s="203"/>
    </row>
    <row r="22" spans="1:35" ht="10" customHeight="1" thickTop="1" thickBot="1">
      <c r="A22" s="3"/>
      <c r="B22" s="3"/>
      <c r="C22" s="178"/>
      <c r="D22" s="178"/>
      <c r="E22" s="178"/>
      <c r="F22" s="178"/>
      <c r="G22" s="178"/>
      <c r="H22" s="178"/>
      <c r="I22" s="178"/>
      <c r="J22" s="178"/>
      <c r="K22" s="178"/>
      <c r="L22" s="178"/>
      <c r="M22" s="178"/>
      <c r="N22" s="178"/>
      <c r="O22" s="200"/>
      <c r="P22" s="3"/>
    </row>
    <row r="23" spans="1:35" ht="10" customHeight="1" thickTop="1">
      <c r="A23" s="3"/>
      <c r="B23" s="3"/>
      <c r="C23" s="175"/>
      <c r="D23" s="178"/>
      <c r="E23" s="178"/>
      <c r="F23" s="178"/>
      <c r="G23" s="178"/>
      <c r="H23" s="178"/>
      <c r="I23" s="178"/>
      <c r="J23" s="178"/>
      <c r="K23" s="178"/>
      <c r="L23" s="178"/>
      <c r="M23" s="178"/>
      <c r="N23" s="177"/>
      <c r="O23" s="179"/>
      <c r="P23" s="3"/>
    </row>
    <row r="24" spans="1:35" ht="15" customHeight="1">
      <c r="A24" s="3"/>
      <c r="B24" s="3"/>
      <c r="C24" s="180"/>
      <c r="D24" s="229" t="s">
        <v>40</v>
      </c>
      <c r="E24" s="229"/>
      <c r="F24" s="229"/>
      <c r="G24" s="229"/>
      <c r="H24" s="229"/>
      <c r="I24" s="229"/>
      <c r="J24" s="229"/>
      <c r="K24" s="229"/>
      <c r="L24" s="229"/>
      <c r="M24" s="230"/>
      <c r="N24" s="231"/>
      <c r="O24" s="184"/>
      <c r="P24" s="3"/>
    </row>
    <row r="25" spans="1:35" s="3" customFormat="1" ht="10" customHeight="1">
      <c r="C25" s="180"/>
      <c r="D25" s="182"/>
      <c r="E25" s="185"/>
      <c r="F25" s="185"/>
      <c r="G25" s="185"/>
      <c r="H25" s="185"/>
      <c r="I25" s="185"/>
      <c r="J25" s="185"/>
      <c r="K25" s="185"/>
      <c r="L25" s="185"/>
      <c r="M25" s="185"/>
      <c r="N25" s="185"/>
      <c r="O25" s="184"/>
    </row>
    <row r="26" spans="1:35" ht="15" customHeight="1">
      <c r="A26" s="3"/>
      <c r="B26" s="3"/>
      <c r="C26" s="193"/>
      <c r="D26" s="205" t="s">
        <v>41</v>
      </c>
      <c r="E26" s="185"/>
      <c r="F26" s="185"/>
      <c r="G26" s="185"/>
      <c r="H26" s="185"/>
      <c r="I26" s="185"/>
      <c r="J26" s="185"/>
      <c r="K26" s="185"/>
      <c r="L26" s="185"/>
      <c r="M26" s="185"/>
      <c r="N26" s="185"/>
      <c r="O26" s="184"/>
      <c r="P26" s="3"/>
    </row>
    <row r="27" spans="1:35" ht="10" customHeight="1">
      <c r="A27" s="3"/>
      <c r="B27" s="3"/>
      <c r="C27" s="180"/>
      <c r="D27" s="185"/>
      <c r="E27" s="185"/>
      <c r="F27" s="182"/>
      <c r="G27" s="185"/>
      <c r="H27" s="181"/>
      <c r="I27" s="185"/>
      <c r="J27" s="181"/>
      <c r="K27" s="185"/>
      <c r="L27" s="181"/>
      <c r="M27" s="185"/>
      <c r="N27" s="181"/>
      <c r="O27" s="184"/>
      <c r="P27" s="3"/>
    </row>
    <row r="28" spans="1:35" ht="42" customHeight="1">
      <c r="A28" s="3"/>
      <c r="B28" s="3"/>
      <c r="C28" s="180"/>
      <c r="D28" s="232">
        <v>5.0188479988425932E-2</v>
      </c>
      <c r="E28" s="233"/>
      <c r="F28" s="234"/>
      <c r="G28" s="194"/>
      <c r="H28" s="206" t="s">
        <v>12</v>
      </c>
      <c r="I28" s="189"/>
      <c r="J28" s="207" t="s">
        <v>11</v>
      </c>
      <c r="K28" s="189"/>
      <c r="L28" s="206" t="s">
        <v>119</v>
      </c>
      <c r="M28" s="189"/>
      <c r="N28" s="208" t="s">
        <v>13</v>
      </c>
      <c r="O28" s="186"/>
      <c r="P28" s="3"/>
      <c r="R28" s="3" t="s">
        <v>67</v>
      </c>
    </row>
    <row r="29" spans="1:35" ht="90" customHeight="1" thickBot="1">
      <c r="A29" s="3"/>
      <c r="B29" s="3"/>
      <c r="C29" s="180"/>
      <c r="D29" s="185"/>
      <c r="E29" s="185"/>
      <c r="F29" s="185"/>
      <c r="G29" s="185"/>
      <c r="H29" s="191"/>
      <c r="I29" s="185"/>
      <c r="J29" s="191"/>
      <c r="K29" s="185"/>
      <c r="L29" s="191"/>
      <c r="M29" s="185"/>
      <c r="N29" s="197"/>
      <c r="O29" s="176"/>
      <c r="P29" s="3"/>
    </row>
    <row r="30" spans="1:35" ht="106" customHeight="1" thickTop="1">
      <c r="A30" s="3"/>
      <c r="B30" s="3"/>
      <c r="C30" s="178"/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200"/>
      <c r="P30" s="3"/>
    </row>
    <row r="31" spans="1:35" ht="10" customHeight="1">
      <c r="A31" s="3"/>
      <c r="B31" s="3"/>
      <c r="C31" s="185"/>
      <c r="D31" s="185"/>
      <c r="E31" s="185"/>
      <c r="F31" s="185"/>
      <c r="G31" s="185"/>
      <c r="H31" s="185"/>
      <c r="I31" s="185"/>
      <c r="J31" s="185"/>
      <c r="K31" s="185"/>
      <c r="L31" s="185"/>
      <c r="M31" s="185"/>
      <c r="N31" s="185"/>
      <c r="O31" s="192"/>
      <c r="P31" s="3"/>
    </row>
    <row r="32" spans="1:35" ht="10" customHeight="1">
      <c r="A32" s="3"/>
      <c r="B32" s="3"/>
      <c r="C32" s="185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92"/>
      <c r="P32" s="3"/>
    </row>
    <row r="33" spans="1:21" ht="15" customHeight="1">
      <c r="A33" s="3"/>
      <c r="B33" s="3"/>
      <c r="C33" s="185"/>
      <c r="D33" s="185"/>
      <c r="E33" s="185"/>
      <c r="F33" s="185"/>
      <c r="G33" s="185"/>
      <c r="H33" s="185"/>
      <c r="I33" s="185"/>
      <c r="J33" s="185"/>
      <c r="K33" s="185"/>
      <c r="L33" s="185"/>
      <c r="M33" s="185"/>
      <c r="N33" s="185"/>
      <c r="O33" s="192"/>
      <c r="P33" s="3"/>
    </row>
    <row r="34" spans="1:21" ht="15" customHeight="1">
      <c r="A34" s="3"/>
      <c r="B34" s="3"/>
      <c r="C34" s="185"/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92"/>
      <c r="P34" s="3"/>
    </row>
    <row r="35" spans="1:21" ht="15" customHeight="1">
      <c r="A35" s="3"/>
      <c r="B35" s="3"/>
      <c r="C35" s="185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92"/>
      <c r="P35" s="3"/>
    </row>
    <row r="36" spans="1:21" ht="15" customHeight="1">
      <c r="A36" s="3"/>
      <c r="B36" s="3"/>
      <c r="C36" s="185"/>
      <c r="D36" s="185"/>
      <c r="E36" s="185"/>
      <c r="F36" s="185"/>
      <c r="G36" s="185"/>
      <c r="H36" s="185"/>
      <c r="I36" s="185"/>
      <c r="J36" s="185"/>
      <c r="K36" s="185"/>
      <c r="L36" s="185"/>
      <c r="M36" s="185"/>
      <c r="N36" s="185"/>
      <c r="O36" s="192"/>
      <c r="P36" s="3"/>
    </row>
    <row r="37" spans="1:21" ht="15" customHeight="1">
      <c r="A37" s="3"/>
      <c r="B37" s="3"/>
      <c r="C37" s="185"/>
      <c r="D37" s="185"/>
      <c r="E37" s="185"/>
      <c r="F37" s="185"/>
      <c r="G37" s="185"/>
      <c r="H37" s="185"/>
      <c r="I37" s="185"/>
      <c r="J37" s="185"/>
      <c r="K37" s="185"/>
      <c r="L37" s="185"/>
      <c r="M37" s="185"/>
      <c r="N37" s="185"/>
      <c r="O37" s="192"/>
      <c r="P37" s="3"/>
    </row>
    <row r="38" spans="1:21" ht="15" customHeight="1">
      <c r="A38" s="3"/>
      <c r="B38" s="3"/>
      <c r="C38" s="185"/>
      <c r="D38" s="185"/>
      <c r="E38" s="185"/>
      <c r="F38" s="185"/>
      <c r="G38" s="185"/>
      <c r="H38" s="185"/>
      <c r="I38" s="185"/>
      <c r="J38" s="185"/>
      <c r="K38" s="185"/>
      <c r="L38" s="185"/>
      <c r="M38" s="185"/>
      <c r="N38" s="185"/>
      <c r="O38" s="192"/>
      <c r="P38" s="3"/>
    </row>
    <row r="39" spans="1:21" ht="15" customHeight="1">
      <c r="A39" s="3"/>
      <c r="B39" s="3"/>
      <c r="C39" s="185"/>
      <c r="D39" s="185"/>
      <c r="E39" s="185"/>
      <c r="F39" s="185"/>
      <c r="G39" s="185"/>
      <c r="H39" s="185"/>
      <c r="I39" s="185"/>
      <c r="J39" s="185"/>
      <c r="K39" s="185"/>
      <c r="L39" s="185"/>
      <c r="M39" s="185"/>
      <c r="N39" s="185"/>
      <c r="O39" s="192"/>
      <c r="P39" s="3"/>
    </row>
    <row r="40" spans="1:21" ht="15" customHeight="1">
      <c r="A40" s="3"/>
      <c r="B40" s="3"/>
      <c r="C40" s="185"/>
      <c r="D40" s="185"/>
      <c r="E40" s="185"/>
      <c r="F40" s="185"/>
      <c r="G40" s="185"/>
      <c r="H40" s="185"/>
      <c r="I40" s="185"/>
      <c r="J40" s="185"/>
      <c r="K40" s="185"/>
      <c r="L40" s="185"/>
      <c r="M40" s="185"/>
      <c r="N40" s="185"/>
      <c r="O40" s="192"/>
      <c r="P40" s="3"/>
      <c r="R40" s="4"/>
      <c r="S40" s="4"/>
    </row>
    <row r="41" spans="1:21" ht="15" customHeight="1">
      <c r="A41" s="3"/>
      <c r="B41" s="3"/>
      <c r="C41" s="185"/>
      <c r="D41" s="185"/>
      <c r="E41" s="185"/>
      <c r="F41" s="185"/>
      <c r="G41" s="185"/>
      <c r="H41" s="185"/>
      <c r="I41" s="185"/>
      <c r="J41" s="185"/>
      <c r="K41" s="185"/>
      <c r="L41" s="185"/>
      <c r="M41" s="185"/>
      <c r="N41" s="185"/>
      <c r="O41" s="192"/>
      <c r="P41" s="3"/>
      <c r="R41" s="4"/>
      <c r="S41" s="4"/>
    </row>
    <row r="42" spans="1:21" ht="15" customHeight="1">
      <c r="A42" s="3"/>
      <c r="B42" s="3"/>
      <c r="C42" s="185"/>
      <c r="D42" s="185"/>
      <c r="E42" s="185"/>
      <c r="F42" s="185"/>
      <c r="G42" s="185"/>
      <c r="H42" s="185"/>
      <c r="I42" s="185"/>
      <c r="J42" s="185"/>
      <c r="K42" s="185"/>
      <c r="L42" s="185"/>
      <c r="M42" s="185"/>
      <c r="N42" s="185"/>
      <c r="O42" s="192"/>
      <c r="P42" s="3"/>
    </row>
    <row r="43" spans="1:21" s="3" customFormat="1" ht="15" customHeight="1">
      <c r="C43" s="185"/>
      <c r="D43" s="185"/>
      <c r="E43" s="185"/>
      <c r="F43" s="185"/>
      <c r="G43" s="185"/>
      <c r="H43" s="185"/>
      <c r="I43" s="185"/>
      <c r="J43" s="185"/>
      <c r="K43" s="185"/>
      <c r="L43" s="185"/>
      <c r="M43" s="185"/>
      <c r="N43" s="185"/>
      <c r="O43" s="192"/>
    </row>
    <row r="44" spans="1:21" ht="15" customHeight="1">
      <c r="A44" s="3"/>
      <c r="B44" s="3"/>
      <c r="C44" s="185"/>
      <c r="D44" s="185"/>
      <c r="E44" s="185"/>
      <c r="F44" s="185"/>
      <c r="G44" s="185"/>
      <c r="H44" s="185"/>
      <c r="I44" s="185"/>
      <c r="J44" s="185"/>
      <c r="K44" s="185"/>
      <c r="L44" s="185"/>
      <c r="M44" s="185"/>
      <c r="N44" s="185"/>
      <c r="O44" s="192"/>
      <c r="P44" s="3"/>
    </row>
    <row r="45" spans="1:21" ht="15" customHeight="1">
      <c r="A45" s="3"/>
      <c r="B45" s="3"/>
      <c r="C45" s="185"/>
      <c r="D45" s="185"/>
      <c r="E45" s="185"/>
      <c r="F45" s="185"/>
      <c r="G45" s="185"/>
      <c r="H45" s="185"/>
      <c r="I45" s="185"/>
      <c r="J45" s="185"/>
      <c r="K45" s="185"/>
      <c r="L45" s="185"/>
      <c r="M45" s="185"/>
      <c r="N45" s="185"/>
      <c r="O45" s="192"/>
      <c r="P45" s="3"/>
      <c r="Q45" s="5"/>
      <c r="T45" s="4"/>
      <c r="U45" s="4"/>
    </row>
    <row r="46" spans="1:21" ht="15" customHeight="1">
      <c r="A46" s="3"/>
      <c r="B46" s="3"/>
      <c r="C46" s="185"/>
      <c r="D46" s="185"/>
      <c r="E46" s="185"/>
      <c r="F46" s="185"/>
      <c r="G46" s="185"/>
      <c r="H46" s="185"/>
      <c r="I46" s="185"/>
      <c r="J46" s="185"/>
      <c r="K46" s="185"/>
      <c r="L46" s="185"/>
      <c r="M46" s="185"/>
      <c r="N46" s="185"/>
      <c r="O46" s="192"/>
      <c r="P46" s="3"/>
      <c r="U46" s="4"/>
    </row>
    <row r="47" spans="1:21" ht="15" customHeight="1">
      <c r="A47" s="3"/>
      <c r="B47" s="3"/>
      <c r="C47" s="185"/>
      <c r="D47" s="185"/>
      <c r="E47" s="185"/>
      <c r="F47" s="185"/>
      <c r="G47" s="185"/>
      <c r="H47" s="185"/>
      <c r="I47" s="185"/>
      <c r="J47" s="185"/>
      <c r="K47" s="185"/>
      <c r="L47" s="185"/>
      <c r="M47" s="185"/>
      <c r="N47" s="185"/>
      <c r="O47" s="192"/>
      <c r="P47" s="3"/>
      <c r="U47" s="4"/>
    </row>
    <row r="48" spans="1:21" ht="15" customHeight="1">
      <c r="A48" s="3"/>
      <c r="B48" s="3"/>
      <c r="C48" s="185"/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92"/>
      <c r="P48" s="3"/>
      <c r="Q48" s="3" t="s">
        <v>67</v>
      </c>
      <c r="U48" s="4"/>
    </row>
    <row r="49" spans="1:18" ht="15" customHeight="1">
      <c r="A49" s="3"/>
      <c r="B49" s="3"/>
      <c r="C49" s="185"/>
      <c r="D49" s="185"/>
      <c r="E49" s="185"/>
      <c r="F49" s="185"/>
      <c r="G49" s="185"/>
      <c r="H49" s="185"/>
      <c r="I49" s="185"/>
      <c r="J49" s="185"/>
      <c r="K49" s="185"/>
      <c r="L49" s="185"/>
      <c r="M49" s="185"/>
      <c r="N49" s="185"/>
      <c r="O49" s="192"/>
      <c r="P49" s="3"/>
    </row>
    <row r="50" spans="1:18" ht="15" customHeight="1">
      <c r="A50" s="3"/>
      <c r="B50" s="3"/>
      <c r="C50" s="185"/>
      <c r="D50" s="185"/>
      <c r="E50" s="185"/>
      <c r="F50" s="185"/>
      <c r="G50" s="185"/>
      <c r="H50" s="185"/>
      <c r="I50" s="185"/>
      <c r="J50" s="185"/>
      <c r="K50" s="185"/>
      <c r="L50" s="185"/>
      <c r="M50" s="185"/>
      <c r="N50" s="185"/>
      <c r="O50" s="192"/>
      <c r="P50" s="3"/>
    </row>
    <row r="51" spans="1:18" ht="15" customHeight="1">
      <c r="A51" s="3"/>
      <c r="B51" s="3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3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A3" sqref="A2:Q4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 ht="12" customHeight="1">
      <c r="A2" s="96"/>
      <c r="B2"/>
      <c r="C2"/>
      <c r="D2"/>
      <c r="E2"/>
      <c r="F2"/>
      <c r="G2"/>
      <c r="H2"/>
      <c r="I2" s="214"/>
      <c r="J2"/>
      <c r="K2"/>
      <c r="L2" s="213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CEB17851-2BD7-EF45-A1ED-DAC13FB84FFA}">
      <formula1>LISTE_MT_JOURNAL</formula1>
    </dataValidation>
    <dataValidation type="list" allowBlank="1" showErrorMessage="1" sqref="C2" xr:uid="{591689AB-599D-2C47-B8D9-E93EA33ADDFA}">
      <formula1>LISTE_JOUEURS_JOURNAL</formula1>
    </dataValidation>
    <dataValidation type="list" allowBlank="1" showErrorMessage="1" sqref="E2" xr:uid="{0454D2F0-3E49-014F-9DDE-18F62C7A74A8}">
      <formula1>LISTE_ACTIONS_JOURNAL</formula1>
    </dataValidation>
    <dataValidation type="list" allowBlank="1" showErrorMessage="1" sqref="G2" xr:uid="{5DADE9A4-5477-0644-87E8-E23B8B07DB1A}">
      <formula1>LISTE_EQUIPES_JOURNAL</formula1>
    </dataValidation>
    <dataValidation type="list" allowBlank="1" showErrorMessage="1" sqref="F2" xr:uid="{858AA66A-0959-C24E-8D70-87A295720815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27" workbookViewId="0">
      <selection activeCell="B63" sqref="B6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1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42"/>
      <c r="D3" s="242"/>
      <c r="E3" s="242"/>
      <c r="F3" s="242"/>
      <c r="G3" s="242"/>
      <c r="H3" s="242"/>
      <c r="I3" s="242"/>
      <c r="J3" s="242"/>
      <c r="K3" s="242"/>
      <c r="L3" s="242"/>
      <c r="M3" s="242"/>
      <c r="N3" s="242"/>
      <c r="O3" s="242"/>
      <c r="P3" s="242"/>
      <c r="Q3" s="242"/>
      <c r="R3" s="242"/>
      <c r="S3" s="242"/>
      <c r="T3" s="242"/>
    </row>
    <row r="4" spans="2:37" s="3" customFormat="1" ht="20" customHeight="1">
      <c r="B4" s="241"/>
      <c r="C4" s="242"/>
      <c r="D4" s="242"/>
      <c r="E4" s="242"/>
      <c r="F4" s="242"/>
      <c r="G4" s="242"/>
      <c r="H4" s="242"/>
      <c r="I4" s="242"/>
      <c r="J4" s="242"/>
      <c r="K4" s="242"/>
      <c r="L4" s="242"/>
      <c r="M4" s="242"/>
      <c r="N4" s="242"/>
      <c r="O4" s="242"/>
      <c r="P4" s="242"/>
      <c r="Q4" s="242"/>
      <c r="R4" s="242"/>
      <c r="S4" s="242"/>
      <c r="T4" s="242"/>
    </row>
    <row r="5" spans="2:37" s="3" customFormat="1"/>
    <row r="6" spans="2:37" ht="14" customHeight="1">
      <c r="B6" s="247" t="s">
        <v>14</v>
      </c>
      <c r="C6" s="249" t="str">
        <f>ACT_PL_NORMAL</f>
        <v>Plaquage normal</v>
      </c>
      <c r="D6" s="244"/>
      <c r="E6" s="249" t="str">
        <f>ACT_PL_OFF</f>
        <v>Plaquage offensif</v>
      </c>
      <c r="F6" s="244"/>
      <c r="G6" s="249" t="str">
        <f>ACT_PL_RATE</f>
        <v>Plaquage raté</v>
      </c>
      <c r="H6" s="244"/>
      <c r="I6" s="249" t="str">
        <f>ACT_PL_A2</f>
        <v>Plaquage à 2</v>
      </c>
      <c r="J6" s="243"/>
      <c r="K6" s="243" t="str">
        <f>ACT_PL_HAUT</f>
        <v>Plaquage haut</v>
      </c>
      <c r="L6" s="244"/>
      <c r="M6" s="243" t="str">
        <f>ACT_GRATTAGE</f>
        <v>Grattage</v>
      </c>
      <c r="N6" s="244"/>
      <c r="O6" s="243" t="str">
        <f>ACT_FRANCHISSEMENT</f>
        <v>Franchissement</v>
      </c>
      <c r="P6" s="244"/>
      <c r="Q6" s="243" t="str">
        <f>ACT_AVANCEE</f>
        <v>Avancée au contact</v>
      </c>
      <c r="R6" s="244"/>
      <c r="S6" s="243" t="str">
        <f>ACT_ATT_NULLE</f>
        <v>Recul ou sans progression</v>
      </c>
      <c r="T6" s="244"/>
      <c r="U6" s="274" t="s">
        <v>233</v>
      </c>
      <c r="V6" s="275"/>
      <c r="W6" s="275"/>
      <c r="X6" s="275"/>
      <c r="Y6" s="275"/>
      <c r="Z6" s="276"/>
      <c r="AF6"/>
      <c r="AG6"/>
    </row>
    <row r="7" spans="2:37" ht="13" customHeight="1">
      <c r="B7" s="248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 t="str">
        <f>IF(COUNTIFS(JournalActions[Joueur],$B8,JournalActions[Action],$C$6,JournalActions[Mi-temps],C$7)=0,"",COUNTIFS(JournalActions[Joueur],$B8,JournalActions[Action],$C$6,JournalActions[Mi-temps],C$7))</f>
        <v/>
      </c>
      <c r="D8" s="39" t="str">
        <f>IF(COUNTIFS(JournalActions[Joueur],$B8,JournalActions[Action],$C$6,JournalActions[Mi-temps],D$7)=0,"",COUNTIFS(JournalActions[Joueur],$B8,JournalActions[Action],$C$6,JournalActions[Mi-temps],D$7))</f>
        <v/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 t="str">
        <f>IF(COUNTIFS(JournalActions[Joueur],$B8,JournalActions[Action],$E$6,JournalActions[Mi-temps],F$7)=0,"",COUNTIFS(JournalActions[Joueur],$B8,JournalActions[Action],$E$6,JournalActions[Mi-temps],F$7))</f>
        <v/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 t="str">
        <f>IF(COUNTIFS(JournalActions[Joueur],$B8,JournalActions[Action],$G$6,JournalActions[Mi-temps],H$7)=0,"",COUNTIFS(JournalActions[Joueur],$B8,JournalActions[Action],$G$6,JournalActions[Mi-temps],H$7))</f>
        <v/>
      </c>
      <c r="I8" s="38" t="str">
        <f>IF(COUNTIFS(JournalActions[Joueur],$B8,JournalActions[Action],$I$6,JournalActions[Mi-temps],I$7)=0,"",COUNTIFS(JournalActions[Joueur],$B8,JournalActions[Action],$I$6,JournalActions[Mi-temps],I$7))</f>
        <v/>
      </c>
      <c r="J8" s="39" t="str">
        <f>IF(COUNTIFS(JournalActions[Joueur],$B8,JournalActions[Action],$I$6,JournalActions[Mi-temps],J$7)=0,"",COUNTIFS(JournalActions[Joueur],$B8,JournalActions[Action],$I$6,JournalActions[Mi-temps],J$7))</f>
        <v/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 t="str">
        <f>IF(COUNTIFS(JournalActions[Joueur],$B8,JournalActions[Action],$O$6,JournalActions[Mi-temps],P$7)=0,"",COUNTIFS(JournalActions[Joueur],$B8,JournalActions[Action],$O$6,JournalActions[Mi-temps],P$7))</f>
        <v/>
      </c>
      <c r="Q8" s="38" t="str">
        <f>IF(COUNTIFS(JournalActions[Joueur],$B8,JournalActions[Action],$Q$6,JournalActions[Mi-temps],Q$7)=0,"",COUNTIFS(JournalActions[Joueur],$B8,JournalActions[Action],$Q$6,JournalActions[Mi-temps],Q$7))</f>
        <v/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 t="str">
        <f>IF(COUNTIFS(JournalActions[Joueur],$B8,JournalActions[Action],$S$6,JournalActions[Mi-temps],S$7)=0,"",COUNTIFS(JournalActions[Joueur],$B8,JournalActions[Action],$S$6,JournalActions[Mi-temps],S$7))</f>
        <v/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 t="str">
        <f>IF(COUNTIFS(JournalActions[Joueur],$B9,JournalActions[Action],$S$6,JournalActions[Mi-temps],T$7)=0,"",COUNTIFS(JournalActions[Joueur],$B9,JournalActions[Action],$S$6,JournalActions[Mi-temps],T$7))</f>
        <v/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 t="str">
        <f>IF(COUNTIFS(JournalActions[Joueur],$B11,JournalActions[Action],$O$6,JournalActions[Mi-temps],O$7)=0,"",COUNTIFS(JournalActions[Joueur],$B11,JournalActions[Action],$O$6,JournalActions[Mi-temps],O$7))</f>
        <v/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 t="str">
        <f>IF(COUNTIFS(JournalActions[Joueur],$B11,JournalActions[Action],$Q$6,JournalActions[Mi-temps],Q$7)=0,"",COUNTIFS(JournalActions[Joueur],$B11,JournalActions[Action],$Q$6,JournalActions[Mi-temps],Q$7))</f>
        <v/>
      </c>
      <c r="R11" s="34" t="str">
        <f>IF(COUNTIFS(JournalActions[Joueur],$B11,JournalActions[Action],$Q$6,JournalActions[Mi-temps],R$7)=0,"",COUNTIFS(JournalActions[Joueur],$B11,JournalActions[Action],$Q$6,JournalActions[Mi-temps],R$7))</f>
        <v/>
      </c>
      <c r="S11" s="33" t="str">
        <f>IF(COUNTIFS(JournalActions[Joueur],$B11,JournalActions[Action],$S$6,JournalActions[Mi-temps],S$7)=0,"",COUNTIFS(JournalActions[Joueur],$B11,JournalActions[Action],$S$6,JournalActions[Mi-temps],S$7))</f>
        <v/>
      </c>
      <c r="T11" s="34" t="str">
        <f>IF(COUNTIFS(JournalActions[Joueur],$B11,JournalActions[Action],$S$6,JournalActions[Mi-temps],T$7)=0,"",COUNTIFS(JournalActions[Joueur],$B11,JournalActions[Action],$S$6,JournalActions[Mi-temps],T$7))</f>
        <v/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 t="str">
        <f>IF(COUNTIFS(JournalActions[Joueur],$B12,JournalActions[Action],$C$6,JournalActions[Mi-temps],C$7)=0,"",COUNTIFS(JournalActions[Joueur],$B12,JournalActions[Action],$C$6,JournalActions[Mi-temps],C$7))</f>
        <v/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 t="str">
        <f>IF(COUNTIFS(JournalActions[Joueur],$B12,JournalActions[Action],$Q$6,JournalActions[Mi-temps],Q$7)=0,"",COUNTIFS(JournalActions[Joueur],$B12,JournalActions[Action],$Q$6,JournalActions[Mi-temps],Q$7))</f>
        <v/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 t="str">
        <f>IF(COUNTIFS(JournalActions[Joueur],$B13,JournalActions[Action],$C$6,JournalActions[Mi-temps],C$7)=0,"",COUNTIFS(JournalActions[Joueur],$B13,JournalActions[Action],$C$6,JournalActions[Mi-temps],C$7))</f>
        <v/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 t="str">
        <f>IF(COUNTIFS(JournalActions[Joueur],$B13,JournalActions[Action],$G$6,JournalActions[Mi-temps],G$7)=0,"",COUNTIFS(JournalActions[Joueur],$B13,JournalActions[Action],$G$6,JournalActions[Mi-temps],G$7))</f>
        <v/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 t="str">
        <f>IF(COUNTIFS(JournalActions[Joueur],$B13,JournalActions[Action],$O$6,JournalActions[Mi-temps],O$7)=0,"",COUNTIFS(JournalActions[Joueur],$B13,JournalActions[Action],$O$6,JournalActions[Mi-temps],O$7))</f>
        <v/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 t="str">
        <f>IF(COUNTIFS(JournalActions[Joueur],$B13,JournalActions[Action],$Q$6,JournalActions[Mi-temps],Q$7)=0,"",COUNTIFS(JournalActions[Joueur],$B13,JournalActions[Action],$Q$6,JournalActions[Mi-temps],Q$7))</f>
        <v/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 t="str">
        <f>IF(COUNTIFS(JournalActions[Joueur],$B14,JournalActions[Action],$G$6,JournalActions[Mi-temps],G$7)=0,"",COUNTIFS(JournalActions[Joueur],$B14,JournalActions[Action],$G$6,JournalActions[Mi-temps],G$7))</f>
        <v/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 t="str">
        <f>IF(COUNTIFS(JournalActions[Joueur],$B14,JournalActions[Action],$Q$6,JournalActions[Mi-temps],R$7)=0,"",COUNTIFS(JournalActions[Joueur],$B14,JournalActions[Action],$Q$6,JournalActions[Mi-temps],R$7))</f>
        <v/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 t="str">
        <f>IF(COUNTIFS(JournalActions[Joueur],$B14,JournalActions[Action],$S$6,JournalActions[Mi-temps],T$7)=0,"",COUNTIFS(JournalActions[Joueur],$B14,JournalActions[Action],$S$6,JournalActions[Mi-temps],T$7))</f>
        <v/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 t="str">
        <f>IF(COUNTIFS(JournalActions[Joueur],$B15,JournalActions[Action],$O$6,JournalActions[Mi-temps],P$7)=0,"",COUNTIFS(JournalActions[Joueur],$B15,JournalActions[Action],$O$6,JournalActions[Mi-temps],P$7))</f>
        <v/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 t="str">
        <f>IF(COUNTIFS(JournalActions[Joueur],$B15,JournalActions[Action],$Q$6,JournalActions[Mi-temps],R$7)=0,"",COUNTIFS(JournalActions[Joueur],$B15,JournalActions[Action],$Q$6,JournalActions[Mi-temps],R$7))</f>
        <v/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 t="str">
        <f>IF(COUNTIFS(JournalActions[Joueur],$B16,JournalActions[Action],$C$6,JournalActions[Mi-temps],C$7)=0,"",COUNTIFS(JournalActions[Joueur],$B16,JournalActions[Action],$C$6,JournalActions[Mi-temps],C$7))</f>
        <v/>
      </c>
      <c r="D16" s="34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 t="str">
        <f>IF(COUNTIFS(JournalActions[Joueur],$B16,JournalActions[Action],$O$6,JournalActions[Mi-temps],O$7)=0,"",COUNTIFS(JournalActions[Joueur],$B16,JournalActions[Action],$O$6,JournalActions[Mi-temps],O$7))</f>
        <v/>
      </c>
      <c r="P16" s="34" t="str">
        <f>IF(COUNTIFS(JournalActions[Joueur],$B16,JournalActions[Action],$O$6,JournalActions[Mi-temps],P$7)=0,"",COUNTIFS(JournalActions[Joueur],$B16,JournalActions[Action],$O$6,JournalActions[Mi-temps],P$7))</f>
        <v/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 t="str">
        <f>IF(COUNTIFS(JournalActions[Joueur],$B17,JournalActions[Action],$Q$6,JournalActions[Mi-temps],R$7)=0,"",COUNTIFS(JournalActions[Joueur],$B17,JournalActions[Action],$Q$6,JournalActions[Mi-temps],R$7))</f>
        <v/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 t="str">
        <f>IF(COUNTIFS(JournalActions[Joueur],$B17,JournalActions[Action],$S$6,JournalActions[Mi-temps],T$7)=0,"",COUNTIFS(JournalActions[Joueur],$B17,JournalActions[Action],$S$6,JournalActions[Mi-temps],T$7))</f>
        <v/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 t="str">
        <f>IF(COUNTIFS(JournalActions[Joueur],$B18,JournalActions[Action],$C$6,JournalActions[Mi-temps],C$7)=0,"",COUNTIFS(JournalActions[Joueur],$B18,JournalActions[Action],$C$6,JournalActions[Mi-temps],C$7))</f>
        <v/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 t="str">
        <f>IF(COUNTIFS(JournalActions[Joueur],$B18,JournalActions[Action],$Q$6,JournalActions[Mi-temps],Q$7)=0,"",COUNTIFS(JournalActions[Joueur],$B18,JournalActions[Action],$Q$6,JournalActions[Mi-temps],Q$7))</f>
        <v/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 t="str">
        <f>IF(COUNTIFS(JournalActions[Joueur],$B20,JournalActions[Action],$Q$6,JournalActions[Mi-temps],Q$7)=0,"",COUNTIFS(JournalActions[Joueur],$B20,JournalActions[Action],$Q$6,JournalActions[Mi-temps],Q$7))</f>
        <v/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 t="str">
        <f>IF(COUNTIFS(JournalActions[Joueur],$B21,JournalActions[Action],$G$6,JournalActions[Mi-temps],G$7)=0,"",COUNTIFS(JournalActions[Joueur],$B21,JournalActions[Action],$G$6,JournalActions[Mi-temps],G$7))</f>
        <v/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 t="str">
        <f>IF(COUNTIFS(JournalActions[Joueur],$B21,JournalActions[Action],$O$6,JournalActions[Mi-temps],P$7)=0,"",COUNTIFS(JournalActions[Joueur],$B21,JournalActions[Action],$O$6,JournalActions[Mi-temps],P$7))</f>
        <v/>
      </c>
      <c r="Q21" s="33" t="str">
        <f>IF(COUNTIFS(JournalActions[Joueur],$B21,JournalActions[Action],$Q$6,JournalActions[Mi-temps],Q$7)=0,"",COUNTIFS(JournalActions[Joueur],$B21,JournalActions[Action],$Q$6,JournalActions[Mi-temps],Q$7))</f>
        <v/>
      </c>
      <c r="R21" s="34" t="str">
        <f>IF(COUNTIFS(JournalActions[Joueur],$B21,JournalActions[Action],$Q$6,JournalActions[Mi-temps],R$7)=0,"",COUNTIFS(JournalActions[Joueur],$B21,JournalActions[Action],$Q$6,JournalActions[Mi-temps],R$7))</f>
        <v/>
      </c>
      <c r="S21" s="33" t="str">
        <f>IF(COUNTIFS(JournalActions[Joueur],$B21,JournalActions[Action],$S$6,JournalActions[Mi-temps],S$7)=0,"",COUNTIFS(JournalActions[Joueur],$B21,JournalActions[Action],$S$6,JournalActions[Mi-temps],S$7))</f>
        <v/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 t="str">
        <f>IF(COUNTIFS(JournalActions[Joueur],$B22,JournalActions[Action],$C$6,JournalActions[Mi-temps],C$7)=0,"",COUNTIFS(JournalActions[Joueur],$B22,JournalActions[Action],$C$6,JournalActions[Mi-temps],C$7))</f>
        <v/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 t="str">
        <f>IF(COUNTIFS(JournalActions[Joueur],$B22,JournalActions[Action],$Q$6,JournalActions[Mi-temps],Q$7)=0,"",COUNTIFS(JournalActions[Joueur],$B22,JournalActions[Action],$Q$6,JournalActions[Mi-temps],Q$7))</f>
        <v/>
      </c>
      <c r="R22" s="34" t="str">
        <f>IF(COUNTIFS(JournalActions[Joueur],$B22,JournalActions[Action],$Q$6,JournalActions[Mi-temps],R$7)=0,"",COUNTIFS(JournalActions[Joueur],$B22,JournalActions[Action],$Q$6,JournalActions[Mi-temps],R$7))</f>
        <v/>
      </c>
      <c r="S22" s="33" t="str">
        <f>IF(COUNTIFS(JournalActions[Joueur],$B22,JournalActions[Action],$S$6,JournalActions[Mi-temps],S$7)=0,"",COUNTIFS(JournalActions[Joueur],$B22,JournalActions[Action],$S$6,JournalActions[Mi-temps],S$7))</f>
        <v/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 t="str">
        <f>IF(COUNTIFS(JournalActions[Joueur],$B24,JournalActions[Action],$C$6,JournalActions[Mi-temps],C$7)=0,"",COUNTIFS(JournalActions[Joueur],$B24,JournalActions[Action],$C$6,JournalActions[Mi-temps],C$7))</f>
        <v/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 t="str">
        <f>IF(COUNTIFS(JournalActions[Joueur],$B24,JournalActions[Action],$O$6,JournalActions[Mi-temps],O$7)=0,"",COUNTIFS(JournalActions[Joueur],$B24,JournalActions[Action],$O$6,JournalActions[Mi-temps],O$7))</f>
        <v/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 t="str">
        <f>IF(COUNTIFS(JournalActions[Joueur],$B25,JournalActions[Action],$C$6,JournalActions[Mi-temps],C$7)=0,"",COUNTIFS(JournalActions[Joueur],$B25,JournalActions[Action],$C$6,JournalActions[Mi-temps],C$7))</f>
        <v/>
      </c>
      <c r="D25" s="34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 t="str">
        <f>IF(COUNTIFS(JournalActions[Joueur],$B25,JournalActions[Action],$Q$6,JournalActions[Mi-temps],Q$7)=0,"",COUNTIFS(JournalActions[Joueur],$B25,JournalActions[Action],$Q$6,JournalActions[Mi-temps],Q$7))</f>
        <v/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 t="str">
        <f>IF(COUNTIFS(JournalActions[Joueur],$B26,JournalActions[Action],$O$6,JournalActions[Mi-temps],O$7)=0,"",COUNTIFS(JournalActions[Joueur],$B26,JournalActions[Action],$O$6,JournalActions[Mi-temps],O$7))</f>
        <v/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 t="str">
        <f>IF(COUNTIFS(JournalActions[Joueur],$B26,JournalActions[Action],$S$6,JournalActions[Mi-temps],S$7)=0,"",COUNTIFS(JournalActions[Joueur],$B26,JournalActions[Action],$S$6,JournalActions[Mi-temps],S$7))</f>
        <v/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 t="str">
        <f>IF(COUNTIFS(JournalActions[Joueur],$B27,JournalActions[Action],$Q$6,JournalActions[Mi-temps],Q$7)=0,"",COUNTIFS(JournalActions[Joueur],$B27,JournalActions[Action],$Q$6,JournalActions[Mi-temps],Q$7))</f>
        <v/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 t="str">
        <f>IF(COUNTIFS(JournalActions[Joueur],$B28,JournalActions[Action],$Q$6,JournalActions[Mi-temps],R$7)=0,"",COUNTIFS(JournalActions[Joueur],$B28,JournalActions[Action],$Q$6,JournalActions[Mi-temps],R$7))</f>
        <v/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 t="str">
        <f>IF(COUNTIFS(JournalActions[Joueur],$B28,JournalActions[Action],$S$6,JournalActions[Mi-temps],T$7)=0,"",COUNTIFS(JournalActions[Joueur],$B28,JournalActions[Action],$S$6,JournalActions[Mi-temps],T$7))</f>
        <v/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 t="str">
        <f>IF(COUNTIFS(JournalActions[Joueur],$B29,JournalActions[Action],$Q$6,JournalActions[Mi-temps],R$7)=0,"",COUNTIFS(JournalActions[Joueur],$B29,JournalActions[Action],$Q$6,JournalActions[Mi-temps],R$7))</f>
        <v/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0</v>
      </c>
      <c r="D32" s="59">
        <f t="shared" ref="D32:Z32" si="0">SUM(D8:D31)</f>
        <v>0</v>
      </c>
      <c r="E32" s="58">
        <f t="shared" si="0"/>
        <v>0</v>
      </c>
      <c r="F32" s="59">
        <f t="shared" si="0"/>
        <v>0</v>
      </c>
      <c r="G32" s="58">
        <f t="shared" si="0"/>
        <v>0</v>
      </c>
      <c r="H32" s="59">
        <f t="shared" si="0"/>
        <v>0</v>
      </c>
      <c r="I32" s="58">
        <f t="shared" si="0"/>
        <v>0</v>
      </c>
      <c r="J32" s="59">
        <f t="shared" si="0"/>
        <v>0</v>
      </c>
      <c r="K32" s="58">
        <f t="shared" si="0"/>
        <v>0</v>
      </c>
      <c r="L32" s="59">
        <f t="shared" si="0"/>
        <v>0</v>
      </c>
      <c r="M32" s="58">
        <f t="shared" si="0"/>
        <v>0</v>
      </c>
      <c r="N32" s="59">
        <f t="shared" si="0"/>
        <v>0</v>
      </c>
      <c r="O32" s="58">
        <f t="shared" ref="O32:P32" si="1">SUM(O8:O31)</f>
        <v>0</v>
      </c>
      <c r="P32" s="59">
        <f t="shared" si="1"/>
        <v>0</v>
      </c>
      <c r="Q32" s="58">
        <f t="shared" ref="Q32:T32" si="2">SUM(Q8:Q31)</f>
        <v>0</v>
      </c>
      <c r="R32" s="59">
        <f t="shared" si="2"/>
        <v>0</v>
      </c>
      <c r="S32" s="58">
        <f t="shared" si="2"/>
        <v>0</v>
      </c>
      <c r="T32" s="59">
        <f t="shared" si="2"/>
        <v>0</v>
      </c>
      <c r="U32" s="277">
        <f t="shared" si="0"/>
        <v>0</v>
      </c>
      <c r="V32" s="277">
        <f t="shared" si="0"/>
        <v>0</v>
      </c>
      <c r="W32" s="277">
        <f t="shared" si="0"/>
        <v>0</v>
      </c>
      <c r="X32" s="277">
        <f t="shared" si="0"/>
        <v>0</v>
      </c>
      <c r="Y32" s="277">
        <f t="shared" si="0"/>
        <v>0</v>
      </c>
      <c r="Z32" s="277">
        <f t="shared" si="0"/>
        <v>0</v>
      </c>
    </row>
    <row r="33" spans="2:33" s="46" customFormat="1" ht="25" customHeight="1">
      <c r="B33" s="60" t="s">
        <v>177</v>
      </c>
      <c r="C33" s="254">
        <f>C32+D32</f>
        <v>0</v>
      </c>
      <c r="D33" s="246"/>
      <c r="E33" s="245">
        <f t="shared" ref="E33" si="3">E32+F32</f>
        <v>0</v>
      </c>
      <c r="F33" s="245"/>
      <c r="G33" s="254">
        <f t="shared" ref="G33" si="4">G32+H32</f>
        <v>0</v>
      </c>
      <c r="H33" s="246"/>
      <c r="I33" s="254">
        <f>I32+J32</f>
        <v>0</v>
      </c>
      <c r="J33" s="246"/>
      <c r="K33" s="254">
        <f t="shared" ref="K33" si="5">K32+L32</f>
        <v>0</v>
      </c>
      <c r="L33" s="246"/>
      <c r="M33" s="245">
        <f t="shared" ref="M33" si="6">M32+N32</f>
        <v>0</v>
      </c>
      <c r="N33" s="246"/>
      <c r="O33" s="245">
        <f t="shared" ref="O33" si="7">O32+P32</f>
        <v>0</v>
      </c>
      <c r="P33" s="246"/>
      <c r="Q33" s="245">
        <f t="shared" ref="Q33" si="8">Q32+R32</f>
        <v>0</v>
      </c>
      <c r="R33" s="246"/>
      <c r="S33" s="245">
        <f t="shared" ref="S33" si="9">S32+T32</f>
        <v>0</v>
      </c>
      <c r="T33" s="246"/>
      <c r="U33" s="278"/>
      <c r="V33" s="278"/>
      <c r="W33" s="278"/>
      <c r="X33" s="278"/>
      <c r="Y33" s="278"/>
      <c r="Z33" s="278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2" t="s">
        <v>145</v>
      </c>
      <c r="E36" s="62" t="s">
        <v>481</v>
      </c>
      <c r="F36" s="3"/>
      <c r="G36" s="249" t="s">
        <v>172</v>
      </c>
      <c r="H36" s="244"/>
      <c r="J36" s="249" t="s">
        <v>28</v>
      </c>
      <c r="K36" s="249" t="s">
        <v>148</v>
      </c>
      <c r="L36" s="243"/>
      <c r="M36" s="244"/>
      <c r="N36" s="244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0">
        <f>COUNTIFS(JournalActions[Action],ACT_TO_NS_P,JournalActions[Mi-temps],"MT1")
+COUNTIFS(JournalActions[Action],ACT_TO_NS_PAS_DROIT,JournalActions[Mi-temps],"MT1")</f>
        <v>0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72"/>
      <c r="K37" s="75" t="s">
        <v>154</v>
      </c>
      <c r="L37" s="71" t="s">
        <v>171</v>
      </c>
      <c r="M37" s="76" t="s">
        <v>32</v>
      </c>
      <c r="N37" s="273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0</v>
      </c>
      <c r="D38" s="151">
        <f>COUNTIFS(JournalActions[Action],ACT_TO_ADV_VOLEE,JournalActions[Mi-temps],"MT1")
+COUNTIFS(JournalActions[Action],ACT_TO_ADV_PAS_DROIT,JournalActions[Mi-temps],"MT1")</f>
        <v>0</v>
      </c>
      <c r="E38" s="14">
        <f>COUNTIFS(JournalActions[Action],ACT_TO_ADV_PAS_DROIT,JournalActions[Mi-temps],"MT1")</f>
        <v>0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8" t="s">
        <v>47</v>
      </c>
      <c r="K38" s="73">
        <f>COUNTIFS(JournalActions[Action],ACT_PEN_CONTRE_NOUS,JournalActions[Mi-temps],"MT1",JournalActions[Groupe fautif],"Avant*")</f>
        <v>0</v>
      </c>
      <c r="L38" s="34">
        <f>COUNTIFS(JournalActions[Action],ACT_PEN_CONTRE_NOUS,JournalActions[Mi-temps],"MT1",JournalActions[Groupe fautif],"Trois-quarts*")</f>
        <v>0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9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0</v>
      </c>
      <c r="L39" s="14">
        <f>COUNTIFS(JournalActions[Action],ACT_PEN_CONTRE_NOUS,JournalActions[Mi-temps],"MT2",JournalActions[Groupe fautif],"Trois-quarts*")</f>
        <v>0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2" t="s">
        <v>145</v>
      </c>
      <c r="E40" s="62" t="s">
        <v>481</v>
      </c>
      <c r="F40" s="3"/>
      <c r="G40" s="249" t="s">
        <v>150</v>
      </c>
      <c r="H40" s="244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0</v>
      </c>
      <c r="D41" s="150">
        <f>COUNTIFS(JournalActions[Action],ACT_TO_NS_P,JournalActions[Mi-temps],"MT2")
+COUNTIFS(JournalActions[Action],ACT_TO_NS_PAS_DROIT,JournalActions[Mi-temps],"MT2")</f>
        <v>0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0</v>
      </c>
      <c r="D42" s="151">
        <f>COUNTIFS(JournalActions[Action],ACT_TO_ADV_VOLEE,JournalActions[Mi-temps],"MT2")
+COUNTIFS(JournalActions[Action],ACT_TO_ADV_PAS_DROIT,JournalActions[Mi-temps],"MT2")</f>
        <v>0</v>
      </c>
      <c r="E42" s="14">
        <f>COUNTIFS(JournalActions[Action],ACT_TO_ADV_PAS_DROIT,JournalActions[Mi-temps],"MT2")</f>
        <v>0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59" t="s">
        <v>1</v>
      </c>
      <c r="K42" s="260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57" t="s">
        <v>2</v>
      </c>
      <c r="K43" s="258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49" t="s">
        <v>238</v>
      </c>
      <c r="H44" s="244"/>
      <c r="I44" s="3"/>
      <c r="J44" s="259" t="s">
        <v>3</v>
      </c>
      <c r="K44" s="260"/>
      <c r="L44" s="43">
        <f>COUNTIFS(JournalActions[Action],ACT_PEN_CONTRE_NOUS,JournalActions[Motif penalite],ACT_PEN_HORS_JEU)</f>
        <v>0</v>
      </c>
      <c r="M44" s="43">
        <f>COUNTIFS(JournalActions[Action],ACT_PEN_CONTRE_ADV,JournalActions[Motif penalite],ACT_PEN_HORS_JEU)</f>
        <v>0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0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0</v>
      </c>
      <c r="I45" s="3"/>
      <c r="J45" s="257" t="s">
        <v>4</v>
      </c>
      <c r="K45" s="258"/>
      <c r="L45" s="15">
        <f>COUNTIFS(JournalActions[Action],ACT_PEN_CONTRE_NOUS,JournalActions[Motif penalite],ACT_PEN_PL_A_2)</f>
        <v>0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0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0</v>
      </c>
      <c r="I46" s="3"/>
      <c r="J46" s="259" t="s">
        <v>5</v>
      </c>
      <c r="K46" s="260"/>
      <c r="L46" s="43">
        <f>COUNTIFS(JournalActions[Action],ACT_PEN_CONTRE_NOUS,JournalActions[Motif penalite],ACT_PEN_PL_HAUT)</f>
        <v>0</v>
      </c>
      <c r="M46" s="43">
        <f>COUNTIFS(JournalActions[Action],ACT_PEN_CONTRE_ADV,JournalActions[Motif penalite],ACT_PEN_PL_HAUT)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0</v>
      </c>
      <c r="I47" s="3"/>
      <c r="J47" s="257" t="s">
        <v>168</v>
      </c>
      <c r="K47" s="258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0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0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1" t="s">
        <v>236</v>
      </c>
      <c r="C56" s="262"/>
      <c r="D56" s="262"/>
      <c r="E56" s="262"/>
      <c r="F56" s="262"/>
      <c r="G56" s="262"/>
      <c r="H56" s="262"/>
      <c r="I56" s="262"/>
      <c r="J56" s="262"/>
      <c r="K56" s="263"/>
    </row>
    <row r="57" spans="2:20" s="3" customFormat="1">
      <c r="B57" s="264"/>
      <c r="C57" s="265"/>
      <c r="D57" s="265"/>
      <c r="E57" s="265"/>
      <c r="F57" s="265"/>
      <c r="G57" s="265"/>
      <c r="H57" s="265"/>
      <c r="I57" s="265"/>
      <c r="J57" s="265"/>
      <c r="K57" s="266"/>
    </row>
    <row r="58" spans="2:20" s="3" customFormat="1" ht="14" thickBot="1">
      <c r="B58" s="267"/>
      <c r="C58" s="268"/>
      <c r="D58" s="268"/>
      <c r="E58" s="268"/>
      <c r="F58" s="268"/>
      <c r="G58" s="268"/>
      <c r="H58" s="268"/>
      <c r="I58" s="268"/>
      <c r="J58" s="268"/>
      <c r="K58" s="269"/>
    </row>
    <row r="59" spans="2:20" s="3" customFormat="1"/>
    <row r="60" spans="2:20" s="3" customFormat="1" ht="14">
      <c r="B60" s="247" t="s">
        <v>14</v>
      </c>
      <c r="C60" s="249" t="str">
        <f>ACT_TO_NS_G</f>
        <v>Touche à nous conservée</v>
      </c>
      <c r="D60" s="244"/>
      <c r="E60" s="249" t="str">
        <f>ACT_TO_ADV_VOLEE</f>
        <v>Touche à eux volée</v>
      </c>
      <c r="F60" s="244"/>
      <c r="H60" s="270" t="str">
        <f>ACT_TO_NS_P</f>
        <v>Touche à nous perdue</v>
      </c>
      <c r="I60" s="271"/>
      <c r="J60" s="270" t="str">
        <f>ACT_TO_NS_PAS_DROIT</f>
        <v>Touche à nous pas droite</v>
      </c>
      <c r="K60" s="271"/>
    </row>
    <row r="61" spans="2:20" s="3" customFormat="1" ht="14">
      <c r="B61" s="248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 t="str">
        <f>IF(COUNTIFS(JournalActions[Joueur],$B65,JournalActions[Action],$C$60,JournalActions[Mi-temps],D$61)=0,"",COUNTIFS(JournalActions[Joueur],$B65,JournalActions[Action],$C$60,JournalActions[Mi-temps],D$61))</f>
        <v/>
      </c>
      <c r="E65" s="33" t="str">
        <f>IF(COUNTIFS(JournalActions[Joueur],$B65,JournalActions[Action],$E$60,JournalActions[Mi-temps],E$61)=0,"",COUNTIFS(JournalActions[Joueur],$B65,JournalActions[Action],$E$60,JournalActions[Mi-temps],E$61))</f>
        <v/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 t="str">
        <f>IF(COUNTIFS(JournalActions[Joueur],$B65,JournalActions[Action],$H$60,JournalActions[Mi-temps],I$61)=0,"",COUNTIFS(JournalActions[Joueur],$B65,JournalActions[Action],$H$60,JournalActions[Mi-temps],I$61))</f>
        <v/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 t="str">
        <f>IF(COUNTIFS(JournalActions[Joueur],$B67,JournalActions[Action],$E$60,JournalActions[Mi-temps],E$61)=0,"",COUNTIFS(JournalActions[Joueur],$B67,JournalActions[Action],$E$60,JournalActions[Mi-temps],E$61))</f>
        <v/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 t="str">
        <f>IF(COUNTIFS(JournalActions[Joueur],$B67,JournalActions[Action],$H$60,JournalActions[Mi-temps],H$61)=0,"",COUNTIFS(JournalActions[Joueur],$B67,JournalActions[Action],$H$60,JournalActions[Mi-temps],H$61))</f>
        <v/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0</v>
      </c>
      <c r="E86" s="58">
        <f>SUM(E62:E85)</f>
        <v>0</v>
      </c>
      <c r="F86" s="59">
        <f t="shared" ref="F86" si="11">SUM(F62:F85)</f>
        <v>0</v>
      </c>
      <c r="H86" s="79">
        <f>SUM(H62:H85)</f>
        <v>0</v>
      </c>
      <c r="I86" s="80">
        <f>SUM(I62:I85)</f>
        <v>0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54">
        <f>C86+D86</f>
        <v>0</v>
      </c>
      <c r="D87" s="246"/>
      <c r="E87" s="254">
        <f>E86+F86</f>
        <v>0</v>
      </c>
      <c r="F87" s="246"/>
      <c r="H87" s="255">
        <f>H86+I86</f>
        <v>0</v>
      </c>
      <c r="I87" s="256"/>
      <c r="J87" s="255">
        <f>J86+K86</f>
        <v>0</v>
      </c>
      <c r="K87" s="256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52" t="s">
        <v>394</v>
      </c>
      <c r="G92" s="253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50" t="s">
        <v>240</v>
      </c>
      <c r="G93" s="251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50" t="s">
        <v>241</v>
      </c>
      <c r="G94" s="251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50" t="s">
        <v>242</v>
      </c>
      <c r="G95" s="251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50" t="s">
        <v>243</v>
      </c>
      <c r="G96" s="251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50" t="s">
        <v>395</v>
      </c>
      <c r="G97" s="251"/>
      <c r="H97" s="88">
        <v>0</v>
      </c>
      <c r="I97" s="88">
        <v>0</v>
      </c>
      <c r="J97" s="88">
        <v>0</v>
      </c>
    </row>
    <row r="98" spans="2:10" s="3" customFormat="1" ht="17" thickTop="1">
      <c r="F98" s="250" t="s">
        <v>396</v>
      </c>
      <c r="G98" s="251"/>
      <c r="H98" s="88">
        <v>0</v>
      </c>
      <c r="I98" s="88">
        <v>0</v>
      </c>
      <c r="J98" s="88">
        <v>0</v>
      </c>
    </row>
    <row r="99" spans="2:10" s="3" customFormat="1" ht="16">
      <c r="F99" s="250" t="s">
        <v>397</v>
      </c>
      <c r="G99" s="251"/>
      <c r="H99" s="88">
        <v>0</v>
      </c>
      <c r="I99" s="88">
        <v>0</v>
      </c>
      <c r="J99" s="88">
        <v>0</v>
      </c>
    </row>
    <row r="100" spans="2:10" s="3" customFormat="1" ht="16">
      <c r="F100" s="250" t="s">
        <v>398</v>
      </c>
      <c r="G100" s="251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17" priority="6" stopIfTrue="1">
      <formula>ISEVEN(ROW())</formula>
    </cfRule>
  </conditionalFormatting>
  <conditionalFormatting sqref="B62:B85">
    <cfRule type="expression" dxfId="16" priority="5" stopIfTrue="1">
      <formula>ISEVEN(ROW())</formula>
    </cfRule>
  </conditionalFormatting>
  <conditionalFormatting sqref="C62:D85">
    <cfRule type="expression" dxfId="15" priority="4" stopIfTrue="1">
      <formula>ISEVEN(ROW())</formula>
    </cfRule>
  </conditionalFormatting>
  <conditionalFormatting sqref="H62:I85">
    <cfRule type="expression" dxfId="14" priority="3" stopIfTrue="1">
      <formula>ISEVEN(ROW())</formula>
    </cfRule>
  </conditionalFormatting>
  <conditionalFormatting sqref="J62:K85">
    <cfRule type="expression" dxfId="13" priority="2" stopIfTrue="1">
      <formula>ISEVEN(ROW())</formula>
    </cfRule>
  </conditionalFormatting>
  <conditionalFormatting sqref="E62:F85">
    <cfRule type="expression" dxfId="1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2"/>
  <sheetViews>
    <sheetView tabSelected="1" workbookViewId="0">
      <selection activeCell="H32" sqref="H32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452</v>
      </c>
      <c r="L1" s="140" t="s">
        <v>462</v>
      </c>
      <c r="W1" t="s">
        <v>417</v>
      </c>
      <c r="X1" t="s">
        <v>420</v>
      </c>
      <c r="Y1" t="s">
        <v>424</v>
      </c>
      <c r="Z1" t="s">
        <v>425</v>
      </c>
      <c r="AA1" t="s">
        <v>431</v>
      </c>
      <c r="AB1" t="s">
        <v>434</v>
      </c>
      <c r="AC1" t="s">
        <v>446</v>
      </c>
      <c r="AD1" t="s">
        <v>448</v>
      </c>
      <c r="AE1" t="s">
        <v>468</v>
      </c>
      <c r="AF1" t="s">
        <v>477</v>
      </c>
    </row>
    <row r="2" spans="1:32">
      <c r="A2" t="s">
        <v>453</v>
      </c>
      <c r="B2" t="s">
        <v>7</v>
      </c>
      <c r="C2" t="s">
        <v>454</v>
      </c>
      <c r="D2" t="s">
        <v>455</v>
      </c>
      <c r="E2" t="s">
        <v>456</v>
      </c>
      <c r="F2" t="s">
        <v>457</v>
      </c>
      <c r="G2" t="s">
        <v>458</v>
      </c>
      <c r="H2" t="s">
        <v>459</v>
      </c>
      <c r="I2" t="s">
        <v>460</v>
      </c>
      <c r="J2" t="s">
        <v>461</v>
      </c>
      <c r="L2" t="s">
        <v>453</v>
      </c>
      <c r="M2" t="s">
        <v>7</v>
      </c>
      <c r="N2" t="s">
        <v>480</v>
      </c>
      <c r="O2" t="s">
        <v>455</v>
      </c>
      <c r="P2" t="s">
        <v>463</v>
      </c>
      <c r="Q2" t="s">
        <v>464</v>
      </c>
      <c r="R2" t="s">
        <v>465</v>
      </c>
      <c r="S2" t="s">
        <v>466</v>
      </c>
      <c r="T2" t="s">
        <v>467</v>
      </c>
      <c r="U2" t="s">
        <v>461</v>
      </c>
      <c r="W2" t="s">
        <v>418</v>
      </c>
      <c r="X2" t="s">
        <v>421</v>
      </c>
      <c r="Y2" t="s">
        <v>421</v>
      </c>
      <c r="Z2" t="s">
        <v>426</v>
      </c>
      <c r="AA2" t="s">
        <v>432</v>
      </c>
      <c r="AB2" t="s">
        <v>435</v>
      </c>
      <c r="AC2">
        <v>2</v>
      </c>
      <c r="AD2" t="s">
        <v>449</v>
      </c>
      <c r="AE2" t="s">
        <v>469</v>
      </c>
      <c r="AF2" t="s">
        <v>478</v>
      </c>
    </row>
    <row r="3" spans="1:32">
      <c r="A3" s="149"/>
      <c r="L3" s="149"/>
      <c r="R3" s="138"/>
      <c r="S3" s="138"/>
      <c r="T3" s="138"/>
      <c r="W3" t="s">
        <v>419</v>
      </c>
      <c r="X3" t="s">
        <v>422</v>
      </c>
      <c r="Y3" t="s">
        <v>422</v>
      </c>
      <c r="Z3" t="s">
        <v>427</v>
      </c>
      <c r="AA3" t="s">
        <v>433</v>
      </c>
      <c r="AB3" t="s">
        <v>436</v>
      </c>
      <c r="AC3">
        <v>3</v>
      </c>
      <c r="AD3" t="s">
        <v>450</v>
      </c>
      <c r="AE3" s="141" t="s">
        <v>171</v>
      </c>
      <c r="AF3" t="s">
        <v>479</v>
      </c>
    </row>
    <row r="4" spans="1:32">
      <c r="X4" t="s">
        <v>423</v>
      </c>
      <c r="Z4" t="s">
        <v>428</v>
      </c>
      <c r="AB4" t="s">
        <v>437</v>
      </c>
      <c r="AC4">
        <v>4</v>
      </c>
      <c r="AD4" t="s">
        <v>451</v>
      </c>
      <c r="AE4" t="s">
        <v>470</v>
      </c>
    </row>
    <row r="5" spans="1:32">
      <c r="A5" s="155" t="s">
        <v>223</v>
      </c>
      <c r="B5" s="156" t="s">
        <v>212</v>
      </c>
      <c r="C5" s="156" t="s">
        <v>145</v>
      </c>
      <c r="D5" s="156" t="s">
        <v>481</v>
      </c>
      <c r="L5" s="159" t="s">
        <v>482</v>
      </c>
      <c r="M5" s="160" t="s">
        <v>212</v>
      </c>
      <c r="N5" s="160" t="s">
        <v>145</v>
      </c>
      <c r="Z5" t="s">
        <v>429</v>
      </c>
      <c r="AB5" t="s">
        <v>438</v>
      </c>
      <c r="AC5">
        <v>5</v>
      </c>
    </row>
    <row r="6" spans="1:32">
      <c r="A6" s="157" t="s">
        <v>143</v>
      </c>
      <c r="B6" s="158">
        <f>COUNTIFS(DetailTouches[Lance pour],"N",DetailTouches[Issue],"G")</f>
        <v>0</v>
      </c>
      <c r="C6" s="158">
        <f>COUNTIFS(DetailTouches[Lance pour],"N",DetailTouches[Issue],"P")</f>
        <v>0</v>
      </c>
      <c r="D6" s="158">
        <f>COUNTIFS(DetailTouches[Lance pour],"N",DetailTouches[Issue],"ND")</f>
        <v>0</v>
      </c>
      <c r="L6" s="161" t="s">
        <v>143</v>
      </c>
      <c r="M6" s="162">
        <f>COUNTIFS(DetailMelees[Introduction pour],"N",DetailMelees[Issue],"G")</f>
        <v>0</v>
      </c>
      <c r="N6" s="162">
        <f>COUNTIFS(DetailMelees[Introduction pour],"N",DetailMelees[Issue],"P")</f>
        <v>0</v>
      </c>
      <c r="Z6" t="s">
        <v>430</v>
      </c>
      <c r="AB6" t="s">
        <v>439</v>
      </c>
      <c r="AC6">
        <v>6</v>
      </c>
    </row>
    <row r="7" spans="1:32">
      <c r="A7" s="153" t="s">
        <v>174</v>
      </c>
      <c r="B7" s="154">
        <f>COUNTIFS(DetailTouches[Lance pour],"E",DetailTouches[Issue],"P")</f>
        <v>0</v>
      </c>
      <c r="C7" s="154">
        <f>COUNTIFS(DetailTouches[Lance pour],"E",DetailTouches[Issue],"G")</f>
        <v>0</v>
      </c>
      <c r="D7" s="154">
        <f>COUNTIFS(DetailTouches[Lance pour],"E",DetailTouches[Issue],"ND")</f>
        <v>0</v>
      </c>
      <c r="L7" s="153" t="s">
        <v>174</v>
      </c>
      <c r="M7" s="154">
        <f>COUNTIFS(DetailMelees[Introduction pour],"E",DetailMelees[Issue],"P")</f>
        <v>0</v>
      </c>
      <c r="N7" s="154">
        <f>COUNTIFS(DetailMelees[Introduction pour],"E",DetailMelees[Issue],"G")</f>
        <v>0</v>
      </c>
      <c r="AB7" t="s">
        <v>440</v>
      </c>
      <c r="AC7" t="s">
        <v>447</v>
      </c>
    </row>
    <row r="8" spans="1:32">
      <c r="AB8" t="s">
        <v>441</v>
      </c>
    </row>
    <row r="9" spans="1:32">
      <c r="L9" s="215" t="s">
        <v>595</v>
      </c>
      <c r="M9" s="215"/>
      <c r="AB9" t="s">
        <v>442</v>
      </c>
    </row>
    <row r="10" spans="1:32">
      <c r="L10" s="215"/>
      <c r="M10" s="215"/>
      <c r="AB10" t="s">
        <v>443</v>
      </c>
    </row>
    <row r="11" spans="1:32">
      <c r="AB11" t="s">
        <v>444</v>
      </c>
    </row>
    <row r="12" spans="1:32">
      <c r="AB12" t="s">
        <v>445</v>
      </c>
    </row>
  </sheetData>
  <mergeCells count="1">
    <mergeCell ref="L9:M10"/>
  </mergeCells>
  <conditionalFormatting sqref="D3">
    <cfRule type="expression" dxfId="9" priority="7" stopIfTrue="1">
      <formula>($C3&amp;$D3)="NP"</formula>
    </cfRule>
    <cfRule type="expression" dxfId="8" priority="8" stopIfTrue="1">
      <formula>($C3&amp;$D3)="EG"</formula>
    </cfRule>
  </conditionalFormatting>
  <conditionalFormatting sqref="G3">
    <cfRule type="expression" dxfId="7" priority="9" stopIfTrue="1">
      <formula>$G3="F"</formula>
    </cfRule>
    <cfRule type="expression" dxfId="6" priority="10" stopIfTrue="1">
      <formula>$G3="C"</formula>
    </cfRule>
  </conditionalFormatting>
  <conditionalFormatting sqref="A3:J3">
    <cfRule type="expression" dxfId="5" priority="11" stopIfTrue="1">
      <formula>$C3="N"</formula>
    </cfRule>
    <cfRule type="expression" dxfId="4" priority="12" stopIfTrue="1">
      <formula>$C3&lt;&gt;""</formula>
    </cfRule>
  </conditionalFormatting>
  <conditionalFormatting sqref="O3">
    <cfRule type="expression" dxfId="3" priority="13" stopIfTrue="1">
      <formula>($N3&amp;$O3)="NP"</formula>
    </cfRule>
    <cfRule type="expression" dxfId="2" priority="14" stopIfTrue="1">
      <formula>($N3&amp;$O3)="EG"</formula>
    </cfRule>
  </conditionalFormatting>
  <conditionalFormatting sqref="L3:U3">
    <cfRule type="expression" dxfId="1" priority="15" stopIfTrue="1">
      <formula>$N3="N"</formula>
    </cfRule>
    <cfRule type="expression" dxfId="0" priority="16" stopIfTrue="1">
      <formula>$N3&lt;&gt;""</formula>
    </cfRule>
  </conditionalFormatting>
  <dataValidations count="8">
    <dataValidation type="list" allowBlank="1" showInputMessage="1" showErrorMessage="1" sqref="N3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P3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O3" xr:uid="{A6C13FE2-5239-9B4C-9CE1-DC572AA10432}">
      <formula1>$Y$2:$Y$3</formula1>
    </dataValidation>
    <dataValidation type="list" allowBlank="1" showInputMessage="1" showErrorMessage="1" sqref="Q3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491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211" t="s">
        <v>488</v>
      </c>
      <c r="N2" t="s">
        <v>154</v>
      </c>
      <c r="Q2" s="20" t="s">
        <v>79</v>
      </c>
      <c r="R2" s="20" t="s">
        <v>8</v>
      </c>
      <c r="AA2" t="s">
        <v>488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211" t="s">
        <v>500</v>
      </c>
      <c r="N3" t="s">
        <v>170</v>
      </c>
      <c r="Q3" s="23" t="s">
        <v>80</v>
      </c>
      <c r="R3" s="23" t="s">
        <v>58</v>
      </c>
      <c r="AA3" t="s">
        <v>503</v>
      </c>
    </row>
    <row r="4" spans="1:27" ht="30" customHeight="1">
      <c r="C4" s="21" t="s">
        <v>190</v>
      </c>
      <c r="D4" s="21"/>
      <c r="F4" s="19" t="s">
        <v>103</v>
      </c>
      <c r="G4" s="7"/>
      <c r="K4" s="211" t="s">
        <v>490</v>
      </c>
      <c r="Q4" s="20" t="s">
        <v>81</v>
      </c>
      <c r="R4" s="20" t="s">
        <v>9</v>
      </c>
      <c r="AA4" t="s">
        <v>492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211" t="s">
        <v>517</v>
      </c>
      <c r="Q5" s="23" t="s">
        <v>82</v>
      </c>
      <c r="R5" s="23" t="s">
        <v>83</v>
      </c>
      <c r="AA5" t="s">
        <v>490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211" t="s">
        <v>491</v>
      </c>
      <c r="Q6" s="20" t="s">
        <v>84</v>
      </c>
      <c r="R6" s="20" t="s">
        <v>85</v>
      </c>
      <c r="AA6" t="s">
        <v>501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211" t="s">
        <v>530</v>
      </c>
      <c r="Q7" s="23" t="s">
        <v>86</v>
      </c>
      <c r="R7" s="23" t="s">
        <v>61</v>
      </c>
      <c r="AA7" t="s">
        <v>495</v>
      </c>
    </row>
    <row r="8" spans="1:27" ht="30" customHeight="1">
      <c r="C8" s="21" t="s">
        <v>192</v>
      </c>
      <c r="D8" s="21"/>
      <c r="F8" s="19" t="s">
        <v>107</v>
      </c>
      <c r="G8" s="2"/>
      <c r="K8" s="211" t="s">
        <v>501</v>
      </c>
      <c r="Q8" s="20" t="s">
        <v>87</v>
      </c>
      <c r="R8" s="20" t="s">
        <v>59</v>
      </c>
      <c r="AA8" t="s">
        <v>502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211" t="s">
        <v>492</v>
      </c>
      <c r="Q9" s="23" t="s">
        <v>88</v>
      </c>
      <c r="R9" s="23" t="s">
        <v>62</v>
      </c>
      <c r="AA9" s="17" t="s">
        <v>494</v>
      </c>
    </row>
    <row r="10" spans="1:27" ht="30" customHeight="1">
      <c r="C10" s="21" t="s">
        <v>392</v>
      </c>
      <c r="D10" s="21"/>
      <c r="F10" s="19" t="s">
        <v>109</v>
      </c>
      <c r="G10" s="166"/>
      <c r="I10" s="50" t="s">
        <v>215</v>
      </c>
      <c r="K10" s="211" t="s">
        <v>493</v>
      </c>
      <c r="Q10" s="20" t="s">
        <v>89</v>
      </c>
      <c r="R10" s="20" t="s">
        <v>60</v>
      </c>
      <c r="AA10" t="s">
        <v>489</v>
      </c>
    </row>
    <row r="11" spans="1:27" s="17" customFormat="1" ht="30" customHeight="1">
      <c r="D11" s="21"/>
      <c r="F11" s="22" t="s">
        <v>247</v>
      </c>
      <c r="G11" s="97"/>
      <c r="K11" s="211" t="s">
        <v>494</v>
      </c>
      <c r="Q11" s="23" t="s">
        <v>90</v>
      </c>
      <c r="R11" s="23" t="s">
        <v>63</v>
      </c>
      <c r="AA11" s="17" t="s">
        <v>517</v>
      </c>
    </row>
    <row r="12" spans="1:27" ht="30" customHeight="1">
      <c r="C12" s="21" t="s">
        <v>194</v>
      </c>
      <c r="D12" s="21"/>
      <c r="F12" s="19" t="s">
        <v>248</v>
      </c>
      <c r="G12" s="98"/>
      <c r="K12" s="211" t="s">
        <v>495</v>
      </c>
      <c r="Q12" s="23" t="s">
        <v>221</v>
      </c>
      <c r="R12" s="23" t="s">
        <v>222</v>
      </c>
      <c r="AA12" t="s">
        <v>535</v>
      </c>
    </row>
    <row r="13" spans="1:27" s="17" customFormat="1" ht="30" customHeight="1">
      <c r="C13" s="21" t="s">
        <v>181</v>
      </c>
      <c r="D13" s="21"/>
      <c r="F13" s="22" t="s">
        <v>249</v>
      </c>
      <c r="G13" s="167"/>
      <c r="K13" s="211" t="s">
        <v>496</v>
      </c>
      <c r="Q13" s="22" t="s">
        <v>176</v>
      </c>
      <c r="R13" s="70" t="s">
        <v>161</v>
      </c>
      <c r="AA13" s="17" t="s">
        <v>498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211" t="s">
        <v>497</v>
      </c>
      <c r="Q14" s="22" t="s">
        <v>175</v>
      </c>
      <c r="R14" s="70" t="s">
        <v>162</v>
      </c>
      <c r="AA14" t="s">
        <v>497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211" t="s">
        <v>498</v>
      </c>
      <c r="Q15" s="22" t="s">
        <v>91</v>
      </c>
      <c r="R15" s="70" t="s">
        <v>53</v>
      </c>
      <c r="AA15" s="17" t="s">
        <v>496</v>
      </c>
    </row>
    <row r="16" spans="1:27" ht="30" customHeight="1">
      <c r="C16" s="21"/>
      <c r="D16" s="21"/>
      <c r="I16" s="17" t="s">
        <v>121</v>
      </c>
      <c r="K16" s="211" t="s">
        <v>499</v>
      </c>
      <c r="Q16" s="22" t="s">
        <v>92</v>
      </c>
      <c r="R16" s="70" t="s">
        <v>64</v>
      </c>
      <c r="AA16" t="s">
        <v>487</v>
      </c>
    </row>
    <row r="17" spans="3:27" s="17" customFormat="1" ht="30" customHeight="1">
      <c r="C17" s="21" t="s">
        <v>203</v>
      </c>
      <c r="D17" s="21"/>
      <c r="F17" s="17" t="s">
        <v>485</v>
      </c>
      <c r="G17" s="164"/>
      <c r="I17" s="17" t="s">
        <v>122</v>
      </c>
      <c r="K17" s="211" t="s">
        <v>489</v>
      </c>
      <c r="Q17" s="22" t="s">
        <v>93</v>
      </c>
      <c r="R17" s="70" t="s">
        <v>65</v>
      </c>
      <c r="AA17" s="17" t="s">
        <v>493</v>
      </c>
    </row>
    <row r="18" spans="3:27" ht="30" customHeight="1">
      <c r="C18" s="21" t="s">
        <v>204</v>
      </c>
      <c r="D18" s="21"/>
      <c r="F18" s="17" t="s">
        <v>486</v>
      </c>
      <c r="G18" s="165"/>
      <c r="I18" s="17" t="s">
        <v>123</v>
      </c>
      <c r="K18" s="211" t="s">
        <v>535</v>
      </c>
      <c r="Q18" s="22" t="s">
        <v>94</v>
      </c>
      <c r="R18" s="70" t="s">
        <v>66</v>
      </c>
      <c r="AA18" t="s">
        <v>530</v>
      </c>
    </row>
    <row r="19" spans="3:27" ht="30" customHeight="1">
      <c r="C19" s="21" t="s">
        <v>205</v>
      </c>
      <c r="D19" s="21"/>
      <c r="F19" s="17"/>
      <c r="I19" s="17" t="s">
        <v>217</v>
      </c>
      <c r="K19" s="211" t="s">
        <v>537</v>
      </c>
      <c r="Q19" s="22" t="s">
        <v>95</v>
      </c>
      <c r="R19" s="70" t="s">
        <v>57</v>
      </c>
      <c r="AA19" t="s">
        <v>500</v>
      </c>
    </row>
    <row r="20" spans="3:27" ht="30" customHeight="1">
      <c r="C20" s="21" t="s">
        <v>206</v>
      </c>
      <c r="D20" s="21"/>
      <c r="I20" s="17" t="s">
        <v>218</v>
      </c>
      <c r="K20" s="211" t="s">
        <v>487</v>
      </c>
      <c r="Q20" s="22" t="s">
        <v>96</v>
      </c>
      <c r="R20" s="70" t="s">
        <v>54</v>
      </c>
      <c r="AA20" t="s">
        <v>499</v>
      </c>
    </row>
    <row r="21" spans="3:27" ht="30" customHeight="1">
      <c r="C21" s="21" t="s">
        <v>207</v>
      </c>
      <c r="D21" s="21"/>
      <c r="K21" s="211" t="s">
        <v>503</v>
      </c>
      <c r="Q21" s="22" t="s">
        <v>97</v>
      </c>
      <c r="R21" s="70" t="s">
        <v>55</v>
      </c>
      <c r="AA21" t="s">
        <v>542</v>
      </c>
    </row>
    <row r="22" spans="3:27" ht="30" customHeight="1">
      <c r="C22" s="21"/>
      <c r="D22" s="21"/>
      <c r="K22" s="211" t="s">
        <v>502</v>
      </c>
      <c r="Q22" s="22" t="s">
        <v>98</v>
      </c>
      <c r="R22" s="70" t="s">
        <v>50</v>
      </c>
      <c r="AA22" t="s">
        <v>537</v>
      </c>
    </row>
    <row r="23" spans="3:27" ht="30" customHeight="1">
      <c r="C23" s="21"/>
      <c r="D23" s="21"/>
      <c r="K23" s="211" t="s">
        <v>542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211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211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209" t="s">
        <v>508</v>
      </c>
      <c r="R55" s="209" t="s">
        <v>510</v>
      </c>
    </row>
    <row r="56" spans="17:18" ht="30" customHeight="1">
      <c r="Q56" s="210" t="s">
        <v>509</v>
      </c>
      <c r="R56" s="210" t="s">
        <v>511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9" t="s">
        <v>77</v>
      </c>
      <c r="D5" s="279"/>
      <c r="E5" s="279"/>
      <c r="F5" s="279"/>
      <c r="G5" s="279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471</v>
      </c>
    </row>
    <row r="4" spans="2:4">
      <c r="B4" s="144" t="s">
        <v>453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454</v>
      </c>
      <c r="C6" s="145"/>
    </row>
    <row r="7" spans="2:4">
      <c r="B7" s="144" t="s">
        <v>455</v>
      </c>
      <c r="C7" s="145"/>
    </row>
    <row r="9" spans="2:4">
      <c r="B9" s="143" t="s">
        <v>456</v>
      </c>
      <c r="C9" s="146"/>
    </row>
    <row r="10" spans="2:4">
      <c r="B10" s="143" t="s">
        <v>472</v>
      </c>
      <c r="C10" s="146"/>
    </row>
    <row r="11" spans="2:4">
      <c r="B11" s="143" t="s">
        <v>458</v>
      </c>
      <c r="C11" s="146"/>
    </row>
    <row r="12" spans="2:4">
      <c r="B12" s="143" t="s">
        <v>459</v>
      </c>
      <c r="C12" s="146"/>
    </row>
    <row r="13" spans="2:4">
      <c r="B13" s="143" t="s">
        <v>460</v>
      </c>
      <c r="C13" s="146"/>
    </row>
    <row r="14" spans="2:4">
      <c r="B14" s="143" t="s">
        <v>461</v>
      </c>
      <c r="C14" s="146"/>
    </row>
    <row r="16" spans="2:4" ht="24" customHeight="1">
      <c r="B16" s="147" t="s">
        <v>474</v>
      </c>
      <c r="C16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4" width="16.83203125" style="143" customWidth="1"/>
    <col min="5" max="16384" width="10.83203125" style="143"/>
  </cols>
  <sheetData>
    <row r="2" spans="2:4" ht="21">
      <c r="B2" s="142" t="s">
        <v>475</v>
      </c>
    </row>
    <row r="4" spans="2:4">
      <c r="B4" s="144" t="s">
        <v>453</v>
      </c>
      <c r="C4" s="145"/>
      <c r="D4" s="148" t="s">
        <v>11</v>
      </c>
    </row>
    <row r="5" spans="2:4">
      <c r="B5" s="144" t="s">
        <v>7</v>
      </c>
      <c r="C5" s="145"/>
    </row>
    <row r="6" spans="2:4">
      <c r="B6" s="144" t="s">
        <v>480</v>
      </c>
      <c r="C6" s="145"/>
    </row>
    <row r="7" spans="2:4">
      <c r="B7" s="144" t="s">
        <v>455</v>
      </c>
      <c r="C7" s="145"/>
    </row>
    <row r="9" spans="2:4">
      <c r="B9" s="143" t="s">
        <v>463</v>
      </c>
      <c r="C9" s="146"/>
    </row>
    <row r="10" spans="2:4">
      <c r="B10" s="143" t="s">
        <v>464</v>
      </c>
      <c r="C10" s="146"/>
    </row>
    <row r="11" spans="2:4">
      <c r="B11" s="143" t="s">
        <v>476</v>
      </c>
      <c r="C11" s="146"/>
    </row>
    <row r="12" spans="2:4">
      <c r="B12" s="143" t="s">
        <v>461</v>
      </c>
      <c r="C12" s="146"/>
    </row>
    <row r="14" spans="2:4" ht="24" customHeight="1">
      <c r="B14" s="147" t="s">
        <v>474</v>
      </c>
      <c r="C14" s="148" t="s">
        <v>473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546</v>
      </c>
    </row>
    <row r="4" spans="2:21" ht="14" customHeight="1">
      <c r="B4" s="144" t="s">
        <v>453</v>
      </c>
      <c r="C4" s="283"/>
      <c r="D4" s="283"/>
      <c r="E4" s="281" t="s">
        <v>11</v>
      </c>
      <c r="F4" s="281"/>
      <c r="K4" s="286" t="s">
        <v>547</v>
      </c>
      <c r="L4" s="286"/>
      <c r="M4" s="286"/>
      <c r="N4" s="286"/>
      <c r="O4" s="286"/>
      <c r="P4" s="286"/>
      <c r="Q4" s="286"/>
      <c r="R4" s="286"/>
      <c r="S4" s="286"/>
      <c r="T4" s="286"/>
      <c r="U4" s="286"/>
    </row>
    <row r="5" spans="2:21" ht="15" customHeight="1">
      <c r="B5" s="144" t="s">
        <v>7</v>
      </c>
      <c r="C5" s="283"/>
      <c r="D5" s="283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</row>
    <row r="6" spans="2:21">
      <c r="B6" s="144" t="s">
        <v>483</v>
      </c>
      <c r="C6" s="283"/>
      <c r="D6" s="283"/>
    </row>
    <row r="7" spans="2:21" ht="20" customHeight="1">
      <c r="K7" s="284" t="s">
        <v>573</v>
      </c>
      <c r="L7" s="285"/>
      <c r="M7" s="285"/>
      <c r="O7" s="284" t="s">
        <v>574</v>
      </c>
      <c r="P7" s="285"/>
      <c r="Q7" s="285"/>
      <c r="S7" s="284" t="s">
        <v>575</v>
      </c>
      <c r="T7" s="285"/>
      <c r="U7" s="285"/>
    </row>
    <row r="8" spans="2:21" ht="10" customHeight="1"/>
    <row r="9" spans="2:21" ht="20" customHeight="1">
      <c r="B9" s="282" t="s">
        <v>548</v>
      </c>
      <c r="C9" s="282"/>
      <c r="E9" s="282" t="s">
        <v>555</v>
      </c>
      <c r="F9" s="282"/>
      <c r="H9" s="282" t="s">
        <v>566</v>
      </c>
      <c r="I9" s="282"/>
      <c r="M9" s="284" t="s">
        <v>576</v>
      </c>
      <c r="N9" s="285"/>
      <c r="O9" s="285"/>
      <c r="Q9" s="284" t="s">
        <v>577</v>
      </c>
      <c r="R9" s="285"/>
      <c r="S9" s="285"/>
    </row>
    <row r="10" spans="2:21" ht="10" customHeight="1"/>
    <row r="11" spans="2:21" ht="20" customHeight="1">
      <c r="E11" s="282" t="s">
        <v>556</v>
      </c>
      <c r="F11" s="282"/>
      <c r="H11" s="282" t="s">
        <v>567</v>
      </c>
      <c r="I11" s="282"/>
      <c r="K11" s="284" t="s">
        <v>578</v>
      </c>
      <c r="L11" s="285"/>
      <c r="M11" s="285"/>
      <c r="O11" s="284" t="s">
        <v>579</v>
      </c>
      <c r="P11" s="285"/>
      <c r="Q11" s="285"/>
      <c r="S11" s="284" t="s">
        <v>580</v>
      </c>
      <c r="T11" s="285"/>
      <c r="U11" s="285"/>
    </row>
    <row r="12" spans="2:21" ht="10" customHeight="1"/>
    <row r="13" spans="2:21" ht="20" customHeight="1">
      <c r="B13" s="282" t="s">
        <v>549</v>
      </c>
      <c r="C13" s="282"/>
      <c r="E13" s="282" t="s">
        <v>557</v>
      </c>
      <c r="F13" s="282"/>
      <c r="H13" s="282" t="s">
        <v>568</v>
      </c>
      <c r="I13" s="282"/>
      <c r="M13" s="284" t="s">
        <v>581</v>
      </c>
      <c r="N13" s="285"/>
      <c r="O13" s="285"/>
    </row>
    <row r="14" spans="2:21" ht="10" customHeight="1"/>
    <row r="15" spans="2:21" ht="20" customHeight="1">
      <c r="B15" s="282" t="s">
        <v>550</v>
      </c>
      <c r="C15" s="282"/>
      <c r="E15" s="282" t="s">
        <v>558</v>
      </c>
      <c r="F15" s="282"/>
      <c r="H15" s="282" t="s">
        <v>569</v>
      </c>
      <c r="I15" s="282"/>
      <c r="P15" s="284" t="s">
        <v>582</v>
      </c>
      <c r="Q15" s="285"/>
      <c r="R15" s="285"/>
    </row>
    <row r="16" spans="2:21" ht="10" customHeight="1"/>
    <row r="17" spans="2:21" ht="20" customHeight="1">
      <c r="B17" s="282" t="s">
        <v>551</v>
      </c>
      <c r="C17" s="282"/>
      <c r="E17" s="282" t="s">
        <v>559</v>
      </c>
      <c r="F17" s="282"/>
      <c r="H17" s="282" t="s">
        <v>570</v>
      </c>
      <c r="I17" s="282"/>
      <c r="M17" s="284" t="s">
        <v>583</v>
      </c>
      <c r="N17" s="285"/>
      <c r="O17" s="285"/>
      <c r="Q17" s="284" t="s">
        <v>584</v>
      </c>
      <c r="R17" s="285"/>
      <c r="S17" s="285"/>
    </row>
    <row r="18" spans="2:21" ht="10" customHeight="1"/>
    <row r="19" spans="2:21" ht="20" customHeight="1">
      <c r="E19" s="282" t="s">
        <v>560</v>
      </c>
      <c r="F19" s="282"/>
      <c r="H19" s="282" t="s">
        <v>571</v>
      </c>
      <c r="I19" s="282"/>
      <c r="K19" s="284" t="s">
        <v>585</v>
      </c>
      <c r="L19" s="285"/>
      <c r="M19" s="285"/>
      <c r="O19" s="284" t="s">
        <v>586</v>
      </c>
      <c r="P19" s="285"/>
      <c r="Q19" s="285"/>
      <c r="S19" s="284" t="s">
        <v>587</v>
      </c>
      <c r="T19" s="285"/>
      <c r="U19" s="285"/>
    </row>
    <row r="20" spans="2:21" ht="10" customHeight="1"/>
    <row r="21" spans="2:21" ht="20" customHeight="1">
      <c r="B21" s="282" t="s">
        <v>552</v>
      </c>
      <c r="C21" s="282"/>
      <c r="E21" s="282" t="s">
        <v>561</v>
      </c>
      <c r="F21" s="282"/>
      <c r="K21" s="284" t="s">
        <v>588</v>
      </c>
      <c r="L21" s="285"/>
      <c r="M21" s="285"/>
      <c r="O21" s="284" t="s">
        <v>589</v>
      </c>
      <c r="P21" s="285"/>
      <c r="Q21" s="285"/>
      <c r="S21" s="284" t="s">
        <v>590</v>
      </c>
      <c r="T21" s="285"/>
      <c r="U21" s="285"/>
    </row>
    <row r="22" spans="2:21" ht="10" customHeight="1"/>
    <row r="23" spans="2:21" ht="20" customHeight="1">
      <c r="B23" s="282" t="s">
        <v>553</v>
      </c>
      <c r="C23" s="282"/>
      <c r="E23" s="282" t="s">
        <v>562</v>
      </c>
      <c r="F23" s="282"/>
      <c r="H23" s="282" t="s">
        <v>545</v>
      </c>
      <c r="I23" s="282"/>
      <c r="K23" s="284" t="s">
        <v>591</v>
      </c>
      <c r="L23" s="285"/>
      <c r="M23" s="285"/>
      <c r="O23" s="284" t="s">
        <v>592</v>
      </c>
      <c r="P23" s="285"/>
      <c r="Q23" s="285"/>
      <c r="S23" s="284" t="s">
        <v>593</v>
      </c>
      <c r="T23" s="285"/>
      <c r="U23" s="285"/>
    </row>
    <row r="24" spans="2:21" ht="10" customHeight="1"/>
    <row r="25" spans="2:21" ht="20" customHeight="1">
      <c r="B25" s="282" t="s">
        <v>554</v>
      </c>
      <c r="C25" s="282"/>
      <c r="E25" s="282" t="s">
        <v>563</v>
      </c>
      <c r="F25" s="282"/>
      <c r="H25" s="282" t="s">
        <v>157</v>
      </c>
      <c r="I25" s="282"/>
      <c r="O25" s="284" t="s">
        <v>594</v>
      </c>
      <c r="P25" s="285"/>
      <c r="Q25" s="285"/>
    </row>
    <row r="26" spans="2:21" ht="10" customHeight="1"/>
    <row r="27" spans="2:21" ht="20" customHeight="1">
      <c r="E27" s="282" t="s">
        <v>564</v>
      </c>
      <c r="F27" s="282"/>
      <c r="H27" s="282" t="s">
        <v>572</v>
      </c>
      <c r="I27" s="282"/>
      <c r="K27" s="284" t="s">
        <v>42</v>
      </c>
      <c r="L27" s="285"/>
      <c r="M27" s="285"/>
      <c r="S27" s="284" t="s">
        <v>32</v>
      </c>
      <c r="T27" s="285"/>
      <c r="U27" s="285"/>
    </row>
    <row r="28" spans="2:21" ht="10" customHeight="1"/>
    <row r="29" spans="2:21" ht="20" customHeight="1">
      <c r="E29" s="282" t="s">
        <v>565</v>
      </c>
      <c r="F29" s="282"/>
      <c r="H29" s="282" t="s">
        <v>168</v>
      </c>
      <c r="I29" s="282"/>
    </row>
    <row r="30" spans="2:21" ht="10" customHeight="1"/>
    <row r="31" spans="2:21" ht="9" customHeight="1"/>
    <row r="32" spans="2:21" ht="26" customHeight="1">
      <c r="B32" s="280" t="s">
        <v>474</v>
      </c>
      <c r="C32" s="280"/>
      <c r="D32" s="168"/>
      <c r="E32" s="281" t="s">
        <v>484</v>
      </c>
      <c r="F32" s="281"/>
      <c r="G32" s="281"/>
      <c r="H32" s="281"/>
      <c r="I32" s="168"/>
    </row>
  </sheetData>
  <mergeCells count="59"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5" width="16.83203125" style="143" customWidth="1"/>
    <col min="6" max="9" width="10.83203125" style="143"/>
    <col min="10" max="13" width="0" style="143" hidden="1" customWidth="1"/>
    <col min="14" max="16384" width="10.83203125" style="143"/>
  </cols>
  <sheetData>
    <row r="2" spans="2:5" ht="21">
      <c r="B2" s="142" t="s">
        <v>504</v>
      </c>
    </row>
    <row r="4" spans="2:5">
      <c r="B4" s="144" t="s">
        <v>453</v>
      </c>
      <c r="D4" s="145"/>
      <c r="E4" s="148" t="s">
        <v>11</v>
      </c>
    </row>
    <row r="5" spans="2:5">
      <c r="B5" s="163" t="s">
        <v>507</v>
      </c>
      <c r="D5" s="169"/>
    </row>
    <row r="7" spans="2:5">
      <c r="B7" s="163" t="s">
        <v>505</v>
      </c>
      <c r="D7" s="163" t="s">
        <v>506</v>
      </c>
    </row>
    <row r="8" spans="2:5">
      <c r="B8" s="170"/>
      <c r="D8" s="170"/>
    </row>
    <row r="9" spans="2:5">
      <c r="B9" s="170"/>
      <c r="D9" s="170"/>
    </row>
    <row r="10" spans="2:5">
      <c r="B10" s="170"/>
      <c r="D10" s="170"/>
    </row>
    <row r="11" spans="2:5">
      <c r="B11" s="170"/>
      <c r="D11" s="170"/>
    </row>
    <row r="12" spans="2:5">
      <c r="B12" s="170"/>
      <c r="D12" s="170"/>
    </row>
    <row r="14" spans="2:5" ht="26" customHeight="1">
      <c r="B14" s="147" t="s">
        <v>474</v>
      </c>
      <c r="C14" s="168"/>
      <c r="D14" s="148" t="s">
        <v>473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242</vt:i4>
      </vt:variant>
    </vt:vector>
  </HeadingPairs>
  <TitlesOfParts>
    <vt:vector size="254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2026-09-29T08:04:00Z</dcterms:modified>
</cp:coreProperties>
</file>