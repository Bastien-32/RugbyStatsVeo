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5865A09A-2AF8-3E4F-8DC4-1B5BB01369CE}" xr6:coauthVersionLast="47" xr6:coauthVersionMax="47" xr10:uidLastSave="{00000000-0000-0000-0000-000000000000}"/>
  <bookViews>
    <workbookView xWindow="0" yWindow="660" windowWidth="15800" windowHeight="21680" activeTab="3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ONTRE_RUCK">Paramètres!$R$30</definedName>
    <definedName name="ACT_EN_AVANT">Paramètres!$R$25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vidéo'!$J$18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E_G">'Saisie vidéo'!$F$14</definedName>
    <definedName name="BTN_ME_P">'Saisie vidéo'!$H$14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G">'Saisie vidéo'!$F$12</definedName>
    <definedName name="BTN_TO_P">'Saisie vidéo'!$H$12</definedName>
    <definedName name="BTN_TO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B3" i="12" l="1"/>
  <c r="B62" i="12" l="1" a="1"/>
  <c r="B62" i="12" s="1"/>
  <c r="B8" i="12" a="1"/>
  <c r="B8" i="12" s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H80" i="12" s="1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G22" i="12" s="1"/>
  <c r="E6" i="12"/>
  <c r="F30" i="12" s="1"/>
  <c r="C6" i="12"/>
  <c r="C1" i="2"/>
  <c r="J24" i="1"/>
  <c r="I24" i="1"/>
  <c r="H24" i="1"/>
  <c r="G24" i="1"/>
  <c r="F24" i="1"/>
  <c r="D24" i="1"/>
  <c r="C24" i="1"/>
  <c r="B24" i="1"/>
  <c r="O31" i="12" l="1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R8" i="12" l="1"/>
  <c r="R32" i="12" s="1"/>
  <c r="F8" i="12"/>
  <c r="F32" i="12" s="1"/>
  <c r="Q8" i="12"/>
  <c r="Q32" i="12" s="1"/>
  <c r="E8" i="12"/>
  <c r="E32" i="12" s="1"/>
  <c r="P8" i="12"/>
  <c r="P32" i="12" s="1"/>
  <c r="D8" i="12"/>
  <c r="D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G8" i="12"/>
  <c r="G32" i="12" s="1"/>
  <c r="H8" i="12"/>
  <c r="H32" i="12" s="1"/>
  <c r="L8" i="12"/>
  <c r="L32" i="12" s="1"/>
  <c r="T8" i="12"/>
  <c r="T32" i="12" s="1"/>
  <c r="S8" i="12"/>
  <c r="S32" i="12" s="1"/>
  <c r="M8" i="12"/>
  <c r="M32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D62" i="12"/>
  <c r="D86" i="12" s="1"/>
  <c r="C62" i="12"/>
  <c r="C86" i="12" s="1"/>
  <c r="H87" i="12" l="1"/>
  <c r="C87" i="12"/>
  <c r="G33" i="12"/>
  <c r="E33" i="12"/>
  <c r="J87" i="12"/>
  <c r="M33" i="12"/>
  <c r="K33" i="12"/>
  <c r="C33" i="12"/>
  <c r="I33" i="12"/>
  <c r="E87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<sst xmlns="http://schemas.openxmlformats.org/spreadsheetml/2006/main" count="5599" uniqueCount="381">
  <si>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</si>
  <si>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</si>
  <si>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</si>
  <si>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</si>
  <si>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</si>
  <si>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</si>
  <si>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</si>
  <si>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</si>
  <si>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</si>
  <si>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</si>
  <si>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</si>
  <si>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</si>
  <si>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</si>
  <si>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</si>
  <si>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</si>
  <si>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</si>
  <si>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</si>
  <si>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</si>
  <si>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</si>
  <si>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</si>
  <si>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</si>
  <si>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</si>
  <si>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</si>
  <si>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</si>
  <si>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</si>
  <si>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</si>
  <si>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</si>
  <si>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</si>
  <si>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</si>
  <si>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</si>
  <si>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</si>
  <si>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</si>
  <si>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</si>
  <si>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</si>
  <si>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</si>
  <si>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</si>
  <si>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</si>
  <si>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</si>
  <si>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</si>
  <si>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</si>
  <si>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</si>
  <si>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</si>
  <si>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</si>
  <si>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</si>
  <si>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</si>
  <si>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</si>
  <si>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</si>
  <si>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</si>
  <si>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</si>
  <si>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</si>
  <si>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</si>
  <si>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</si>
  <si>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</si>
  <si>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</si>
  <si>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</si>
  <si>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</si>
  <si>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</si>
  <si>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</si>
  <si>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</si>
  <si>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</si>
  <si>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</si>
  <si>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</si>
  <si>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</si>
  <si>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</si>
  <si>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</si>
  <si>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</si>
  <si>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</si>
  <si>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</si>
  <si>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</si>
  <si>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</si>
  <si>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</si>
  <si>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</si>
  <si>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</si>
  <si>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</si>
  <si>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</si>
  <si>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</si>
  <si>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</si>
  <si>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</si>
  <si>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</si>
  <si>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</si>
  <si>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</si>
  <si>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</si>
  <si>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</si>
  <si>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</si>
  <si>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</si>
  <si>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</si>
  <si>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</si>
  <si>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</si>
  <si>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</si>
  <si>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</si>
  <si>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</si>
  <si>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</si>
  <si>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</si>
  <si>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</si>
  <si>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</si>
  <si>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</si>
  <si>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</si>
  <si>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</si>
  <si>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</si>
  <si>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</si>
  <si>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</si>
  <si>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</si>
  <si>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</si>
  <si>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</si>
  <si>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</si>
  <si>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</si>
  <si>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</si>
  <si>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</si>
  <si>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</si>
  <si>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</si>
  <si>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</si>
  <si>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</si>
  <si>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</si>
  <si>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</si>
  <si>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</si>
  <si>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</si>
  <si>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</si>
  <si>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</si>
  <si>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</si>
  <si>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</si>
  <si>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</si>
  <si>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</si>
  <si>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</si>
  <si>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</si>
  <si>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</si>
  <si>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</si>
  <si>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</si>
  <si>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</si>
  <si>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</si>
  <si>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</si>
  <si>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</si>
  <si>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</si>
  <si>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</si>
  <si>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</si>
  <si>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</si>
  <si>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</si>
  <si>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</si>
  <si>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</si>
  <si>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</si>
  <si>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</si>
  <si>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</si>
  <si>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</si>
  <si>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</si>
  <si>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</si>
  <si>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</si>
  <si>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</si>
  <si>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</si>
  <si>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</si>
  <si>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</si>
  <si>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</si>
  <si>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</si>
  <si>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</si>
  <si>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</si>
  <si>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</si>
  <si>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</si>
  <si>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</si>
  <si>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</si>
  <si>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</si>
  <si>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</si>
  <si>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</si>
  <si>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</si>
  <si>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</si>
  <si>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</si>
  <si>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</si>
  <si>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</si>
  <si>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</si>
  <si>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</si>
  <si>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</si>
  <si>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</si>
  <si>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</si>
  <si>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</si>
  <si>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</si>
  <si>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</si>
  <si>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</si>
  <si>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</si>
  <si>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</si>
  <si>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</si>
  <si>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</si>
  <si>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</si>
  <si>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</si>
  <si>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</si>
  <si>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</si>
  <si>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</si>
  <si>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</si>
  <si>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</si>
  <si>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</si>
  <si>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</si>
  <si>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</si>
  <si>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</si>
  <si>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</si>
  <si>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</si>
  <si>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</si>
  <si>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</si>
  <si>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</si>
  <si>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</si>
  <si>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</si>
  <si>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</si>
  <si>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</si>
  <si>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</si>
  <si>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</si>
  <si>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</si>
  <si>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</si>
  <si>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</si>
  <si>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</si>
  <si>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</si>
  <si>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</si>
  <si>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</si>
  <si>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</si>
  <si>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</si>
  <si>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</si>
  <si>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</si>
  <si>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</si>
  <si>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</si>
  <si>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</si>
  <si>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</si>
  <si>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</si>
  <si>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</si>
  <si>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</si>
  <si>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</si>
  <si>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</si>
  <si>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</si>
  <si>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</si>
  <si>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</si>
  <si>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</si>
  <si>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</si>
  <si>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</si>
  <si>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</si>
  <si>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</si>
  <si>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</si>
  <si>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</si>
  <si>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</si>
  <si>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</si>
  <si>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</si>
  <si>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</si>
  <si>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</si>
  <si>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</si>
  <si>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</si>
  <si>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</si>
  <si>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</si>
  <si>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</si>
  <si>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</si>
  <si>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</si>
  <si>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</si>
  <si>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</si>
  <si>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</si>
  <si>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</si>
  <si>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</si>
  <si>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</si>
  <si>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</si>
  <si>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</si>
  <si>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</si>
  <si>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</si>
  <si>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</si>
  <si>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</si>
  <si>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</si>
  <si>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</si>
  <si>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</si>
  <si>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</si>
  <si>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</si>
  <si>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</si>
  <si>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</si>
  <si>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</si>
  <si>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</si>
  <si>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</si>
  <si>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</si>
  <si>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</si>
  <si>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</si>
  <si>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</si>
  <si>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</si>
  <si>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</si>
  <si>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</si>
  <si>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</si>
  <si>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</si>
  <si>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</si>
  <si>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</si>
  <si>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</si>
  <si>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</si>
  <si>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</si>
  <si>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</si>
  <si>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</si>
  <si>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</si>
  <si>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</si>
  <si>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</si>
  <si>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</si>
  <si>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</si>
  <si>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</si>
  <si>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</si>
  <si>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</si>
  <si>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</si>
  <si>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</si>
  <si>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</si>
  <si>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</si>
  <si>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</si>
  <si>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</si>
  <si>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</si>
  <si>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</si>
  <si>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</si>
  <si>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</si>
  <si>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</si>
  <si>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</si>
  <si>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</si>
  <si>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</si>
  <si>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</si>
  <si>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</si>
  <si>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</si>
  <si>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</si>
  <si>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</si>
  <si>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</si>
  <si>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</si>
  <si>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</si>
  <si>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</si>
  <si>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</si>
  <si>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</si>
  <si>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</si>
  <si>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</si>
  <si>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</si>
  <si>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</si>
  <si>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</si>
  <si>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</si>
  <si>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</si>
  <si>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</si>
  <si>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</si>
  <si>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</si>
  <si>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</si>
  <si>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</si>
  <si>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</si>
  <si>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</si>
  <si>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</si>
  <si>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</si>
  <si>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</si>
  <si>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</si>
  <si>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</si>
  <si>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</si>
  <si>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</si>
  <si>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</si>
  <si>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</si>
  <si>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</si>
  <si>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</si>
  <si>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</si>
  <si>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</si>
  <si>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</si>
  <si>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</si>
  <si>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</si>
  <si>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</si>
  <si>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Julian</t>
  </si>
  <si>
    <t>Maxime</t>
  </si>
  <si>
    <t>Mathis</t>
  </si>
  <si>
    <t>MULLIER</t>
  </si>
  <si>
    <t>Martin</t>
  </si>
  <si>
    <t>RICHIARDONNE</t>
  </si>
  <si>
    <t>Gregory</t>
  </si>
  <si>
    <t>LOUREIRO LABAZUY</t>
  </si>
  <si>
    <t>Antonio</t>
  </si>
  <si>
    <t>MOUDENS</t>
  </si>
  <si>
    <t>Alexis</t>
  </si>
  <si>
    <t>BOUTELOUP</t>
  </si>
  <si>
    <t>Romain</t>
  </si>
  <si>
    <t>Temps de jeu effectif</t>
  </si>
  <si>
    <t>Total</t>
  </si>
  <si>
    <t>26-27_A8eme de finale_Rabastens-Coufouleux_Première_EXT</t>
  </si>
  <si>
    <t>Rabastens-Coufouleux</t>
  </si>
  <si>
    <t>8eme de finale</t>
  </si>
  <si>
    <t>LAUDET Jean-Baptiste</t>
  </si>
  <si>
    <t>BAQUE Lucas</t>
  </si>
  <si>
    <t>MICHELIN Paul</t>
  </si>
  <si>
    <t>RICHIARDONNE Gregory</t>
  </si>
  <si>
    <t>BARATGIN Julian</t>
  </si>
  <si>
    <t>SALLES Dorian</t>
  </si>
  <si>
    <t>ABADIE  Emeric</t>
  </si>
  <si>
    <t>DALLA ROSA Jonah</t>
  </si>
  <si>
    <t>FAULONG Marius</t>
  </si>
  <si>
    <t>KAPFER Bastien</t>
  </si>
  <si>
    <t>DASTUGUE Thomas</t>
  </si>
  <si>
    <t>MOUDENS Alexis</t>
  </si>
  <si>
    <t>ROUSSEL Mathis</t>
  </si>
  <si>
    <t>BOURREC Anthony</t>
  </si>
  <si>
    <t>MONLOR Yohan</t>
  </si>
  <si>
    <t>BOUTELOUP Romain</t>
  </si>
  <si>
    <t>BAUP Bastien</t>
  </si>
  <si>
    <t>PIQUEMIL Maxime</t>
  </si>
  <si>
    <t>MULLIER Martin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</si>
</sst>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37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</fills>
  <borders count="5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19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2" fillId="17" borderId="0" xfId="0" applyFont="1" applyFill="1"/>
    <xf numFmtId="14" fontId="0" fillId="17" borderId="0" xfId="0" applyNumberFormat="1" applyFill="1" applyAlignment="1">
      <alignment horizontal="left"/>
    </xf>
    <xf numFmtId="0" fontId="26" fillId="0" borderId="50" xfId="0" applyFont="1" applyBorder="1" applyAlignment="1">
      <alignment horizontal="left" vertical="center" wrapText="1"/>
    </xf>
    <xf numFmtId="0" fontId="26" fillId="21" borderId="35" xfId="0" applyFont="1" applyFill="1" applyBorder="1" applyAlignment="1">
      <alignment horizontal="left" vertical="center" wrapText="1"/>
    </xf>
    <xf numFmtId="0" fontId="27" fillId="24" borderId="25" xfId="0" applyFont="1" applyFill="1" applyBorder="1" applyAlignment="1">
      <alignment horizontal="center" vertical="center"/>
    </xf>
    <xf numFmtId="0" fontId="27" fillId="13" borderId="25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5" xfId="0" applyBorder="1"/>
    <xf numFmtId="0" fontId="27" fillId="24" borderId="21" xfId="0" applyFont="1" applyFill="1" applyBorder="1" applyAlignment="1">
      <alignment horizontal="center" vertical="center"/>
    </xf>
    <xf numFmtId="0" fontId="27" fillId="24" borderId="23" xfId="0" applyFont="1" applyFill="1" applyBorder="1" applyAlignment="1">
      <alignment horizontal="center" vertical="center"/>
    </xf>
    <xf numFmtId="0" fontId="27" fillId="28" borderId="21" xfId="0" applyFont="1" applyFill="1" applyBorder="1" applyAlignment="1">
      <alignment horizontal="center" vertical="center"/>
    </xf>
    <xf numFmtId="0" fontId="27" fillId="28" borderId="23" xfId="0" applyFont="1" applyFill="1" applyBorder="1" applyAlignment="1">
      <alignment horizontal="center" vertical="center"/>
    </xf>
    <xf numFmtId="0" fontId="29" fillId="28" borderId="38" xfId="0" applyFont="1" applyFill="1" applyBorder="1" applyAlignment="1">
      <alignment horizontal="center" vertical="center"/>
    </xf>
    <xf numFmtId="0" fontId="29" fillId="28" borderId="18" xfId="0" applyFont="1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26" fillId="0" borderId="34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165" fontId="0" fillId="25" borderId="20" xfId="0" applyNumberFormat="1" applyFill="1" applyBorder="1"/>
    <xf numFmtId="165" fontId="0" fillId="17" borderId="23" xfId="0" applyNumberFormat="1" applyFill="1" applyBorder="1"/>
    <xf numFmtId="0" fontId="36" fillId="24" borderId="36" xfId="0" applyFont="1" applyFill="1" applyBorder="1"/>
    <xf numFmtId="165" fontId="36" fillId="24" borderId="37" xfId="0" applyNumberFormat="1" applyFont="1" applyFill="1" applyBorder="1"/>
    <xf numFmtId="46" fontId="0" fillId="17" borderId="0" xfId="0" applyNumberFormat="1" applyFill="1"/>
    <xf numFmtId="22" fontId="0" fillId="17" borderId="0" xfId="0" applyNumberFormat="1" applyFill="1"/>
    <xf numFmtId="14" fontId="0" fillId="17" borderId="0" xfId="0" applyNumberFormat="1" applyFill="1"/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1" fillId="24" borderId="39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31" fillId="28" borderId="39" xfId="0" applyFont="1" applyFill="1" applyBorder="1" applyAlignment="1">
      <alignment horizontal="center" vertical="center"/>
    </xf>
    <xf numFmtId="0" fontId="31" fillId="28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  <xf numFmtId="0" fontId="35" fillId="17" borderId="42" xfId="0" applyFont="1" applyFill="1" applyBorder="1" applyAlignment="1">
      <alignment horizontal="center" vertical="center"/>
    </xf>
    <xf numFmtId="0" fontId="35" fillId="17" borderId="43" xfId="0" applyFont="1" applyFill="1" applyBorder="1" applyAlignment="1">
      <alignment horizontal="center" vertical="center"/>
    </xf>
    <xf numFmtId="0" fontId="35" fillId="17" borderId="44" xfId="0" applyFont="1" applyFill="1" applyBorder="1" applyAlignment="1">
      <alignment horizontal="center" vertical="center"/>
    </xf>
    <xf numFmtId="0" fontId="35" fillId="17" borderId="45" xfId="0" applyFont="1" applyFill="1" applyBorder="1" applyAlignment="1">
      <alignment horizontal="center" vertical="center"/>
    </xf>
    <xf numFmtId="0" fontId="35" fillId="17" borderId="0" xfId="0" applyFont="1" applyFill="1" applyAlignment="1">
      <alignment horizontal="center" vertical="center"/>
    </xf>
    <xf numFmtId="0" fontId="35" fillId="17" borderId="46" xfId="0" applyFont="1" applyFill="1" applyBorder="1" applyAlignment="1">
      <alignment horizontal="center" vertical="center"/>
    </xf>
    <xf numFmtId="0" fontId="35" fillId="17" borderId="47" xfId="0" applyFont="1" applyFill="1" applyBorder="1" applyAlignment="1">
      <alignment horizontal="center" vertical="center"/>
    </xf>
    <xf numFmtId="0" fontId="35" fillId="17" borderId="48" xfId="0" applyFont="1" applyFill="1" applyBorder="1" applyAlignment="1">
      <alignment horizontal="center" vertical="center"/>
    </xf>
    <xf numFmtId="0" fontId="35" fillId="17" borderId="4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8" borderId="16" xfId="0" applyFont="1" applyFill="1" applyBorder="1" applyAlignment="1">
      <alignment horizontal="center" vertical="center"/>
    </xf>
    <xf numFmtId="0" fontId="27" fillId="28" borderId="18" xfId="0" applyFont="1" applyFill="1" applyBorder="1" applyAlignment="1">
      <alignment horizontal="center" vertical="center"/>
    </xf>
    <xf numFmtId="0" fontId="31" fillId="24" borderId="41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center" vertical="center"/>
    </xf>
    <xf numFmtId="0" fontId="27" fillId="13" borderId="17" xfId="0" applyFont="1" applyFill="1" applyBorder="1" applyAlignment="1">
      <alignment horizontal="center" vertical="center"/>
    </xf>
    <xf numFmtId="0" fontId="27" fillId="13" borderId="18" xfId="0" applyFont="1" applyFill="1" applyBorder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8"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520700</xdr:colOff>
      <xdr:row>51</xdr:row>
      <xdr:rowOff>25400</xdr:rowOff>
    </xdr:from>
    <xdr:to>
      <xdr:col>8</xdr:col>
      <xdr:colOff>368300</xdr:colOff>
      <xdr:row>54</xdr:row>
      <xdr:rowOff>38100</xdr:rowOff>
    </xdr:to>
    <xdr:sp macro="[0]!RecalculerTempsJeuEffecti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914900" y="8801100"/>
          <a:ext cx="2425700" cy="508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11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97" totalsRowShown="0">
  <autoFilter ref="A1:Q497" xr:uid="{274E98FB-BCE1-0347-AD79-C8025C407DEC}"/>
  <tableColumns count="17">
    <tableColumn id="1" xr3:uid="{1C6F1113-17EB-A449-86BF-30B1CE9CAC0A}" name="temps video" dataDxfId="10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9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31" totalsRowShown="0">
  <autoFilter ref="A1:E31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1">
      <calculatedColumnFormula>LstEffectif[[#This Row],[prenom]] &amp; " " &amp;LstEffectif[[#This Row],[nom]]</calculatedColumnFormula>
    </tableColumn>
    <tableColumn id="5" xr3:uid="{EB017694-E6D2-7440-91BF-61113926AB7D}" name="NOM Prénom" dataDxfId="0">
      <calculatedColumnFormula>LstEffectif[[#This Row],[nom]]&amp; " " &amp;LstEffectif[[#This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41" totalsRowShown="0" headerRowDxfId="47" dataDxfId="45" headerRowBorderDxfId="46" tableBorderDxfId="44" totalsRowBorderDxfId="43">
  <autoFilter ref="Q1:R41" xr:uid="{6D1F5F0A-5FD5-AC4E-A195-33A78A5E0E58}"/>
  <tableColumns count="2">
    <tableColumn id="1" xr3:uid="{8A0D5429-5616-B849-BD27-167A576FE99E}" name="Nom de cellule à créer" dataDxfId="42"/>
    <tableColumn id="2" xr3:uid="{19545507-672A-9F40-8818-E4C9060AA52B}" name="Libellé" dataDxfId="4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0" headerRowBorderDxfId="39" tableBorderDxfId="38" totalsRowBorderDxfId="37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6" headerRowBorderDxfId="35" tableBorderDxfId="34" totalsRowBorderDxfId="33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2" dataDxfId="31">
  <autoFilter ref="I14:I20" xr:uid="{CC940AF9-E81A-F746-8EAD-392809C3CFBE}"/>
  <tableColumns count="1">
    <tableColumn id="1" xr3:uid="{816CA1DF-3681-2948-A622-26353E2B9A97}" name="LISTE_LECTEUR_VIDEO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9" dataDxfId="28">
  <autoFilter ref="C1:C4" xr:uid="{61FC7709-08E5-D048-A38B-441B18CF5D35}"/>
  <tableColumns count="1">
    <tableColumn id="1" xr3:uid="{C41B523D-40DA-AF48-A2C2-015B04960B0A}" name="LIEU_MATCH" dataDxfId="2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26" dataDxfId="25">
  <autoFilter ref="C6:C9" xr:uid="{86EA01CF-5567-6445-9906-AD2B60CA0A8A}"/>
  <tableColumns count="1">
    <tableColumn id="1" xr3:uid="{B57F8324-6F25-7B40-9B20-1BFDF9708631}" name="PHASE" dataDxfId="2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23" dataDxfId="22">
  <autoFilter ref="C11:C14" xr:uid="{DAA9B017-78F0-D447-B788-CF8333AEAC38}"/>
  <tableColumns count="1">
    <tableColumn id="1" xr3:uid="{C5E86C3D-762A-054E-B864-5A67DBB9A8CA}" name="RESULTAT" dataDxfId="2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0" dataDxfId="19">
  <autoFilter ref="C16:C20" xr:uid="{F661D9E2-619C-DA44-92C5-8A09E8E281AC}"/>
  <tableColumns count="1">
    <tableColumn id="1" xr3:uid="{ADD3AF05-089E-D149-9728-7C2A6F62FA22}" name="EQUIPE_NIV" dataDxfId="1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17" dataDxfId="15" headerRowBorderDxfId="16" tableBorderDxfId="14" totalsRowBorderDxfId="13">
  <autoFilter ref="K1:K3" xr:uid="{391966D0-8F83-3948-82BB-835638F7D3FE}"/>
  <tableColumns count="1">
    <tableColumn id="1" xr3:uid="{F45BF991-6668-F741-B07C-7905B99AC752}" name="LISTE_JOUEURS_JOURNAL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>
      <selection activeCell="F35" sqref="F35"/>
    </sheetView>
  </sheetViews>
  <sheetFormatPr baseColWidth="10" defaultRowHeight="13"/>
  <cols>
    <col min="1" max="1" width="8.33203125" style="138" bestFit="1" customWidth="1"/>
    <col min="2" max="2" width="17.83203125" customWidth="1"/>
    <col min="3" max="3" width="24.83203125" customWidth="1"/>
    <col min="4" max="4" width="14.1640625" style="138" bestFit="1" customWidth="1"/>
    <col min="5" max="5" width="8.33203125" bestFit="1" customWidth="1"/>
    <col min="6" max="6" width="19.1640625" bestFit="1" customWidth="1"/>
    <col min="7" max="7" width="13.83203125" bestFit="1" customWidth="1"/>
    <col min="8" max="8" width="14.1640625" bestFit="1" customWidth="1"/>
    <col min="9" max="417" width="10.83203125" style="29"/>
  </cols>
  <sheetData>
    <row r="1" spans="1:8" s="29" customFormat="1" ht="14" thickBot="1">
      <c r="A1" s="138"/>
      <c r="D1" s="138"/>
    </row>
    <row r="2" spans="1:8" ht="19" customHeight="1">
      <c r="B2" s="163" t="s">
        <v>304</v>
      </c>
      <c r="C2" s="163"/>
      <c r="E2" s="164" t="s">
        <v>305</v>
      </c>
      <c r="F2" s="165"/>
      <c r="G2" s="165"/>
      <c r="H2" s="166"/>
    </row>
    <row r="3" spans="1:8" ht="19" customHeight="1">
      <c r="B3" s="163"/>
      <c r="C3" s="163"/>
      <c r="E3" s="167"/>
      <c r="F3" s="168"/>
      <c r="G3" s="168"/>
      <c r="H3" s="169"/>
    </row>
    <row r="4" spans="1:8" ht="19" customHeight="1" thickBot="1">
      <c r="B4" s="163"/>
      <c r="C4" s="163"/>
      <c r="E4" s="170"/>
      <c r="F4" s="171"/>
      <c r="G4" s="171"/>
      <c r="H4" s="172"/>
    </row>
    <row r="5" spans="1:8" s="29" customFormat="1">
      <c r="A5" s="138"/>
      <c r="D5" s="138"/>
    </row>
    <row r="6" spans="1:8">
      <c r="B6" s="107" t="s">
        <v>275</v>
      </c>
      <c r="C6" s="108" t="s">
        <v>274</v>
      </c>
      <c r="E6" t="s">
        <v>137</v>
      </c>
      <c r="F6" t="s">
        <v>138</v>
      </c>
      <c r="G6" t="s">
        <v>242</v>
      </c>
      <c r="H6" t="s">
        <v>241</v>
      </c>
    </row>
    <row r="7" spans="1:8">
      <c r="B7" s="29"/>
      <c r="C7" s="29"/>
      <c r="E7">
        <v>1</v>
      </c>
      <c r="G7" t="s">
        <v>244</v>
      </c>
    </row>
    <row r="8" spans="1:8">
      <c r="B8" s="107" t="s">
        <v>313</v>
      </c>
      <c r="C8" s="108">
        <v>46290</v>
      </c>
      <c r="E8">
        <v>2</v>
      </c>
      <c r="G8" t="s">
        <v>244</v>
      </c>
    </row>
    <row r="9" spans="1:8">
      <c r="B9" s="29"/>
      <c r="C9" s="29"/>
      <c r="E9">
        <v>3</v>
      </c>
      <c r="G9" t="s">
        <v>244</v>
      </c>
    </row>
    <row r="10" spans="1:8">
      <c r="B10" s="107" t="s">
        <v>276</v>
      </c>
      <c r="C10" s="108" t="s">
        <v>287</v>
      </c>
      <c r="E10">
        <v>4</v>
      </c>
      <c r="G10" t="s">
        <v>244</v>
      </c>
    </row>
    <row r="11" spans="1:8">
      <c r="B11" s="29"/>
      <c r="C11" s="29"/>
      <c r="E11">
        <v>5</v>
      </c>
      <c r="G11" t="s">
        <v>244</v>
      </c>
    </row>
    <row r="12" spans="1:8">
      <c r="B12" s="107" t="s">
        <v>312</v>
      </c>
      <c r="C12" s="108" t="s">
        <v>291</v>
      </c>
      <c r="E12">
        <v>6</v>
      </c>
      <c r="G12" t="s">
        <v>244</v>
      </c>
    </row>
    <row r="13" spans="1:8">
      <c r="B13" s="29"/>
      <c r="C13" s="29"/>
      <c r="E13">
        <v>7</v>
      </c>
      <c r="G13" t="s">
        <v>244</v>
      </c>
    </row>
    <row r="14" spans="1:8">
      <c r="B14" s="107" t="s">
        <v>277</v>
      </c>
      <c r="C14" s="108" t="s">
        <v>272</v>
      </c>
      <c r="E14">
        <v>8</v>
      </c>
      <c r="G14" t="s">
        <v>244</v>
      </c>
    </row>
    <row r="15" spans="1:8">
      <c r="B15" s="29"/>
      <c r="C15" s="139"/>
      <c r="E15" s="100">
        <v>9</v>
      </c>
      <c r="F15" s="100"/>
      <c r="G15" s="100" t="s">
        <v>262</v>
      </c>
      <c r="H15" s="100"/>
    </row>
    <row r="16" spans="1:8">
      <c r="B16" s="107" t="s">
        <v>278</v>
      </c>
      <c r="C16" s="109">
        <v>1</v>
      </c>
      <c r="E16">
        <v>10</v>
      </c>
      <c r="G16" t="s">
        <v>262</v>
      </c>
    </row>
    <row r="17" spans="1:8">
      <c r="B17" s="29"/>
      <c r="C17" s="29"/>
      <c r="E17">
        <v>11</v>
      </c>
      <c r="G17" t="s">
        <v>262</v>
      </c>
    </row>
    <row r="18" spans="1:8">
      <c r="B18" s="107" t="s">
        <v>279</v>
      </c>
      <c r="C18" s="108" t="s">
        <v>296</v>
      </c>
      <c r="E18">
        <v>12</v>
      </c>
      <c r="G18" t="s">
        <v>262</v>
      </c>
    </row>
    <row r="19" spans="1:8">
      <c r="B19" s="29"/>
      <c r="C19" s="139"/>
      <c r="E19">
        <v>13</v>
      </c>
      <c r="G19" t="s">
        <v>262</v>
      </c>
    </row>
    <row r="20" spans="1:8">
      <c r="B20" s="107" t="s">
        <v>311</v>
      </c>
      <c r="C20" s="108" t="s">
        <v>307</v>
      </c>
      <c r="E20">
        <v>14</v>
      </c>
      <c r="G20" t="s">
        <v>262</v>
      </c>
    </row>
    <row r="21" spans="1:8">
      <c r="B21" s="29"/>
      <c r="C21" s="29"/>
      <c r="E21" s="95">
        <v>15</v>
      </c>
      <c r="F21" s="95"/>
      <c r="G21" s="95" t="s">
        <v>262</v>
      </c>
      <c r="H21" s="95"/>
    </row>
    <row r="22" spans="1:8">
      <c r="B22" s="29"/>
      <c r="C22" s="29"/>
      <c r="E22">
        <v>16</v>
      </c>
    </row>
    <row r="23" spans="1:8">
      <c r="B23" s="29"/>
      <c r="C23" s="29"/>
      <c r="E23">
        <v>17</v>
      </c>
    </row>
    <row r="24" spans="1:8">
      <c r="B24" s="29"/>
      <c r="C24" s="29"/>
      <c r="E24">
        <v>18</v>
      </c>
    </row>
    <row r="25" spans="1:8">
      <c r="B25" s="29"/>
      <c r="C25" s="29"/>
      <c r="E25">
        <v>19</v>
      </c>
    </row>
    <row r="26" spans="1:8">
      <c r="B26" s="29"/>
      <c r="C26" s="29"/>
      <c r="E26">
        <v>20</v>
      </c>
    </row>
    <row r="27" spans="1:8">
      <c r="B27" s="29"/>
      <c r="C27" s="29"/>
      <c r="E27">
        <v>21</v>
      </c>
    </row>
    <row r="28" spans="1:8">
      <c r="B28" s="29"/>
      <c r="C28" s="29"/>
      <c r="E28">
        <v>22</v>
      </c>
    </row>
    <row r="29" spans="1:8" s="29" customFormat="1">
      <c r="A29" s="138"/>
      <c r="D29" s="138"/>
    </row>
    <row r="30" spans="1:8" s="29" customFormat="1">
      <c r="A30" s="138"/>
      <c r="D30" s="138"/>
    </row>
    <row r="31" spans="1:8" s="29" customFormat="1">
      <c r="A31" s="138"/>
      <c r="D31" s="138"/>
    </row>
    <row r="32" spans="1:8" s="29" customFormat="1">
      <c r="A32" s="138"/>
      <c r="D32" s="138"/>
    </row>
    <row r="33" spans="1:4" s="29" customFormat="1">
      <c r="A33" s="138"/>
      <c r="D33" s="138"/>
    </row>
    <row r="34" spans="1:4" s="29" customFormat="1">
      <c r="A34" s="138"/>
      <c r="D34" s="138"/>
    </row>
    <row r="35" spans="1:4" s="29" customFormat="1">
      <c r="A35" s="138"/>
      <c r="D35" s="138"/>
    </row>
    <row r="36" spans="1:4" s="29" customFormat="1">
      <c r="A36" s="138"/>
      <c r="D36" s="138"/>
    </row>
    <row r="37" spans="1:4" s="29" customFormat="1">
      <c r="A37" s="138"/>
      <c r="D37" s="138"/>
    </row>
    <row r="38" spans="1:4" s="29" customFormat="1">
      <c r="A38" s="138"/>
      <c r="D38" s="138"/>
    </row>
    <row r="39" spans="1:4" s="29" customFormat="1">
      <c r="A39" s="138"/>
      <c r="D39" s="138"/>
    </row>
    <row r="40" spans="1:4" s="29" customFormat="1">
      <c r="A40" s="138"/>
      <c r="D40" s="138"/>
    </row>
    <row r="41" spans="1:4" s="29" customFormat="1">
      <c r="A41" s="138"/>
      <c r="D41" s="138"/>
    </row>
    <row r="42" spans="1:4" s="29" customFormat="1">
      <c r="A42" s="138"/>
      <c r="D42" s="138"/>
    </row>
    <row r="43" spans="1:4" s="29" customFormat="1">
      <c r="A43" s="138"/>
      <c r="D43" s="138"/>
    </row>
    <row r="44" spans="1:4" s="29" customFormat="1">
      <c r="A44" s="138"/>
      <c r="D44" s="138"/>
    </row>
    <row r="45" spans="1:4" s="29" customFormat="1">
      <c r="A45" s="138"/>
      <c r="D45" s="138"/>
    </row>
    <row r="46" spans="1:4" s="29" customFormat="1">
      <c r="A46" s="138"/>
      <c r="D46" s="138"/>
    </row>
    <row r="47" spans="1:4" s="29" customFormat="1">
      <c r="A47" s="138"/>
      <c r="D47" s="138"/>
    </row>
    <row r="48" spans="1:4" s="29" customFormat="1">
      <c r="A48" s="138"/>
      <c r="D48" s="138"/>
    </row>
    <row r="49" spans="1:4" s="29" customFormat="1">
      <c r="A49" s="138"/>
      <c r="D49" s="138"/>
    </row>
    <row r="50" spans="1:4" s="29" customFormat="1">
      <c r="A50" s="138"/>
      <c r="D50" s="138"/>
    </row>
    <row r="51" spans="1:4" s="29" customFormat="1">
      <c r="A51" s="138"/>
      <c r="D51" s="138"/>
    </row>
    <row r="52" spans="1:4" s="29" customFormat="1">
      <c r="A52" s="138"/>
      <c r="D52" s="138"/>
    </row>
    <row r="53" spans="1:4" s="29" customFormat="1">
      <c r="A53" s="138"/>
      <c r="D53" s="138"/>
    </row>
    <row r="54" spans="1:4" s="29" customFormat="1">
      <c r="A54" s="138"/>
      <c r="D54" s="138"/>
    </row>
    <row r="55" spans="1:4" s="29" customFormat="1">
      <c r="A55" s="138"/>
      <c r="D55" s="138"/>
    </row>
    <row r="56" spans="1:4" s="29" customFormat="1">
      <c r="A56" s="138"/>
      <c r="D56" s="138"/>
    </row>
    <row r="57" spans="1:4" s="29" customFormat="1">
      <c r="A57" s="138"/>
      <c r="D57" s="138"/>
    </row>
    <row r="58" spans="1:4" s="29" customFormat="1">
      <c r="A58" s="138"/>
      <c r="D58" s="138"/>
    </row>
    <row r="59" spans="1:4" s="29" customFormat="1" hidden="1">
      <c r="A59" s="138"/>
      <c r="B59" s="29" t="s">
        <v>280</v>
      </c>
      <c r="C59" s="29" t="s">
        <v>325</v>
      </c>
      <c r="D59" s="138"/>
    </row>
    <row r="60" spans="1:4" s="29" customFormat="1">
      <c r="A60" s="138"/>
      <c r="D60" s="138"/>
    </row>
    <row r="61" spans="1:4" s="29" customFormat="1">
      <c r="A61" s="138"/>
      <c r="D61" s="138"/>
    </row>
    <row r="62" spans="1:4" s="29" customFormat="1">
      <c r="A62" s="138"/>
      <c r="D62" s="138"/>
    </row>
    <row r="63" spans="1:4" s="29" customFormat="1">
      <c r="A63" s="138"/>
      <c r="D63" s="138"/>
    </row>
    <row r="64" spans="1:4" s="29" customFormat="1">
      <c r="A64" s="138"/>
      <c r="D64" s="138"/>
    </row>
    <row r="65" spans="1:4" s="29" customFormat="1">
      <c r="A65" s="138"/>
      <c r="D65" s="138"/>
    </row>
    <row r="66" spans="1:4" s="29" customFormat="1">
      <c r="A66" s="138"/>
      <c r="D66" s="138"/>
    </row>
    <row r="67" spans="1:4" s="29" customFormat="1">
      <c r="A67" s="138"/>
      <c r="D67" s="138"/>
    </row>
    <row r="68" spans="1:4" s="29" customFormat="1">
      <c r="A68" s="138"/>
      <c r="D68" s="138"/>
    </row>
    <row r="69" spans="1:4" s="29" customFormat="1">
      <c r="A69" s="138"/>
      <c r="D69" s="138"/>
    </row>
    <row r="70" spans="1:4" s="29" customFormat="1">
      <c r="A70" s="138"/>
      <c r="D70" s="138"/>
    </row>
    <row r="71" spans="1:4" s="29" customFormat="1">
      <c r="A71" s="138"/>
      <c r="D71" s="138"/>
    </row>
    <row r="72" spans="1:4" s="29" customFormat="1">
      <c r="A72" s="138"/>
      <c r="D72" s="138"/>
    </row>
    <row r="73" spans="1:4" s="29" customFormat="1">
      <c r="A73" s="138"/>
      <c r="D73" s="138"/>
    </row>
    <row r="74" spans="1:4" s="29" customFormat="1">
      <c r="A74" s="138"/>
      <c r="D74" s="138"/>
    </row>
    <row r="75" spans="1:4" s="29" customFormat="1">
      <c r="A75" s="138"/>
      <c r="D75" s="138"/>
    </row>
    <row r="76" spans="1:4" s="29" customFormat="1">
      <c r="A76" s="138"/>
      <c r="D76" s="138"/>
    </row>
    <row r="77" spans="1:4" s="29" customFormat="1">
      <c r="A77" s="138"/>
      <c r="D77" s="138"/>
    </row>
    <row r="78" spans="1:4" s="29" customFormat="1">
      <c r="A78" s="138"/>
      <c r="D78" s="138"/>
    </row>
    <row r="79" spans="1:4" s="29" customFormat="1">
      <c r="A79" s="138"/>
      <c r="D79" s="138"/>
    </row>
    <row r="80" spans="1:4" s="29" customFormat="1">
      <c r="A80" s="138"/>
      <c r="D80" s="138"/>
    </row>
    <row r="81" spans="1:4" s="29" customFormat="1">
      <c r="A81" s="138"/>
      <c r="D81" s="138"/>
    </row>
    <row r="82" spans="1:4" s="29" customFormat="1">
      <c r="A82" s="138"/>
      <c r="D82" s="138"/>
    </row>
    <row r="83" spans="1:4" s="29" customFormat="1">
      <c r="A83" s="138"/>
      <c r="D83" s="138"/>
    </row>
    <row r="84" spans="1:4" s="29" customFormat="1">
      <c r="A84" s="138"/>
      <c r="D84" s="138"/>
    </row>
    <row r="85" spans="1:4" s="29" customFormat="1">
      <c r="A85" s="138"/>
      <c r="D85" s="138"/>
    </row>
    <row r="86" spans="1:4" s="29" customFormat="1">
      <c r="A86" s="138"/>
      <c r="D86" s="138"/>
    </row>
    <row r="87" spans="1:4" s="29" customFormat="1">
      <c r="A87" s="138"/>
      <c r="D87" s="138"/>
    </row>
    <row r="88" spans="1:4" s="29" customFormat="1">
      <c r="A88" s="138"/>
      <c r="D88" s="138"/>
    </row>
    <row r="89" spans="1:4" s="29" customFormat="1">
      <c r="A89" s="138"/>
      <c r="D89" s="138"/>
    </row>
    <row r="90" spans="1:4" s="29" customFormat="1">
      <c r="A90" s="138"/>
      <c r="D90" s="138"/>
    </row>
    <row r="91" spans="1:4" s="29" customFormat="1">
      <c r="A91" s="138"/>
      <c r="D91" s="138"/>
    </row>
    <row r="92" spans="1:4" s="29" customFormat="1">
      <c r="A92" s="138"/>
      <c r="D92" s="138"/>
    </row>
    <row r="93" spans="1:4" s="29" customFormat="1">
      <c r="A93" s="138"/>
      <c r="D93" s="138"/>
    </row>
    <row r="94" spans="1:4" s="29" customFormat="1">
      <c r="A94" s="138"/>
      <c r="D94" s="138"/>
    </row>
    <row r="95" spans="1:4" s="29" customFormat="1">
      <c r="A95" s="138"/>
      <c r="D95" s="138"/>
    </row>
    <row r="96" spans="1:4" s="29" customFormat="1">
      <c r="A96" s="138"/>
      <c r="D96" s="138"/>
    </row>
    <row r="97" spans="1:4" s="29" customFormat="1">
      <c r="A97" s="138"/>
      <c r="D97" s="138"/>
    </row>
    <row r="98" spans="1:4" s="29" customFormat="1">
      <c r="A98" s="138"/>
      <c r="D98" s="138"/>
    </row>
    <row r="99" spans="1:4" s="29" customFormat="1">
      <c r="A99" s="138"/>
      <c r="D99" s="138"/>
    </row>
    <row r="100" spans="1:4" s="29" customFormat="1">
      <c r="A100" s="138"/>
      <c r="D100" s="138"/>
    </row>
    <row r="101" spans="1:4" s="29" customFormat="1">
      <c r="A101" s="138"/>
      <c r="D101" s="138"/>
    </row>
    <row r="102" spans="1:4" s="29" customFormat="1">
      <c r="A102" s="138"/>
      <c r="D102" s="138"/>
    </row>
    <row r="103" spans="1:4" s="29" customFormat="1">
      <c r="A103" s="138"/>
      <c r="D103" s="138"/>
    </row>
    <row r="104" spans="1:4" s="29" customFormat="1">
      <c r="A104" s="138"/>
      <c r="D104" s="138"/>
    </row>
    <row r="105" spans="1:4" s="29" customFormat="1">
      <c r="A105" s="138"/>
      <c r="D105" s="138"/>
    </row>
    <row r="106" spans="1:4" s="29" customFormat="1">
      <c r="A106" s="138"/>
      <c r="D106" s="138"/>
    </row>
    <row r="107" spans="1:4" s="29" customFormat="1">
      <c r="A107" s="138"/>
      <c r="D107" s="138"/>
    </row>
    <row r="108" spans="1:4" s="29" customFormat="1">
      <c r="A108" s="138"/>
      <c r="D108" s="138"/>
    </row>
    <row r="109" spans="1:4" s="29" customFormat="1">
      <c r="A109" s="138"/>
      <c r="D109" s="138"/>
    </row>
    <row r="110" spans="1:4" s="29" customFormat="1">
      <c r="A110" s="138"/>
      <c r="D110" s="138"/>
    </row>
    <row r="111" spans="1:4" s="29" customFormat="1">
      <c r="A111" s="138"/>
      <c r="D111" s="138"/>
    </row>
    <row r="112" spans="1:4" s="29" customFormat="1">
      <c r="A112" s="138"/>
      <c r="D112" s="138"/>
    </row>
    <row r="113" spans="1:4" s="29" customFormat="1">
      <c r="A113" s="138"/>
      <c r="D113" s="138"/>
    </row>
    <row r="114" spans="1:4" s="29" customFormat="1">
      <c r="A114" s="138"/>
      <c r="D114" s="138"/>
    </row>
    <row r="115" spans="1:4" s="29" customFormat="1">
      <c r="A115" s="138"/>
      <c r="D115" s="138"/>
    </row>
    <row r="116" spans="1:4" s="29" customFormat="1">
      <c r="A116" s="138"/>
      <c r="D116" s="138"/>
    </row>
    <row r="117" spans="1:4" s="29" customFormat="1">
      <c r="A117" s="138"/>
      <c r="D117" s="138"/>
    </row>
    <row r="118" spans="1:4" s="29" customFormat="1">
      <c r="A118" s="138"/>
      <c r="D118" s="138"/>
    </row>
    <row r="119" spans="1:4" s="29" customFormat="1">
      <c r="A119" s="138"/>
      <c r="D119" s="138"/>
    </row>
    <row r="120" spans="1:4" s="29" customFormat="1">
      <c r="A120" s="138"/>
      <c r="D120" s="138"/>
    </row>
    <row r="121" spans="1:4" s="29" customFormat="1">
      <c r="A121" s="138"/>
      <c r="D121" s="138"/>
    </row>
    <row r="122" spans="1:4" s="29" customFormat="1">
      <c r="A122" s="138"/>
      <c r="D122" s="138"/>
    </row>
    <row r="123" spans="1:4" s="29" customFormat="1">
      <c r="A123" s="138"/>
      <c r="D123" s="138"/>
    </row>
    <row r="124" spans="1:4" s="29" customFormat="1">
      <c r="A124" s="138"/>
      <c r="D124" s="138"/>
    </row>
    <row r="125" spans="1:4" s="29" customFormat="1">
      <c r="A125" s="138"/>
      <c r="D125" s="138"/>
    </row>
    <row r="126" spans="1:4" s="29" customFormat="1">
      <c r="A126" s="138"/>
      <c r="D126" s="138"/>
    </row>
    <row r="127" spans="1:4" s="29" customFormat="1">
      <c r="A127" s="138"/>
      <c r="D127" s="138"/>
    </row>
    <row r="128" spans="1:4" s="29" customFormat="1">
      <c r="A128" s="138"/>
      <c r="D128" s="138"/>
    </row>
    <row r="129" spans="1:4" s="29" customFormat="1">
      <c r="A129" s="138"/>
      <c r="D129" s="138"/>
    </row>
    <row r="130" spans="1:4" s="29" customFormat="1">
      <c r="A130" s="138"/>
      <c r="D130" s="138"/>
    </row>
    <row r="131" spans="1:4" s="29" customFormat="1">
      <c r="A131" s="138"/>
      <c r="D131" s="138"/>
    </row>
    <row r="132" spans="1:4" s="29" customFormat="1">
      <c r="A132" s="138"/>
      <c r="D132" s="138"/>
    </row>
    <row r="133" spans="1:4" s="29" customFormat="1">
      <c r="A133" s="138"/>
      <c r="D133" s="138"/>
    </row>
    <row r="134" spans="1:4" s="29" customFormat="1">
      <c r="A134" s="138"/>
      <c r="D134" s="138"/>
    </row>
    <row r="135" spans="1:4" s="29" customFormat="1">
      <c r="A135" s="138"/>
      <c r="D135" s="138"/>
    </row>
    <row r="136" spans="1:4" s="29" customFormat="1">
      <c r="A136" s="138"/>
      <c r="D136" s="138"/>
    </row>
    <row r="137" spans="1:4" s="29" customFormat="1">
      <c r="A137" s="138"/>
      <c r="D137" s="138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5"/>
  <sheetViews>
    <sheetView zoomScale="80" zoomScaleNormal="80" workbookViewId="0">
      <selection activeCell="N22" sqref="N22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style="29" customWidth="1"/>
    <col min="19" max="19" width="20" style="29" bestFit="1" customWidth="1"/>
    <col min="20" max="20" width="19.1640625" style="29" bestFit="1" customWidth="1"/>
    <col min="21" max="21" width="12.83203125" style="29" customWidth="1"/>
    <col min="22" max="22" width="15.5" style="29" bestFit="1" customWidth="1"/>
    <col min="23" max="23" width="18.5" style="29" bestFit="1" customWidth="1"/>
    <col min="24" max="24" width="7.33203125" style="29" customWidth="1"/>
    <col min="25" max="25" width="3.33203125" style="29" bestFit="1" customWidth="1"/>
    <col min="26" max="26" width="14.5" style="29" bestFit="1" customWidth="1"/>
    <col min="27" max="27" width="14.5" style="29" customWidth="1"/>
    <col min="28" max="28" width="10.83203125" style="29"/>
    <col min="29" max="29" width="26.5" style="29" bestFit="1" customWidth="1"/>
    <col min="30" max="695" width="10.83203125" style="29"/>
  </cols>
  <sheetData>
    <row r="1" spans="1:16" ht="39" customHeight="1">
      <c r="A1" s="29" t="s">
        <v>136</v>
      </c>
      <c r="C1" s="173" t="str">
        <f>"Match "&amp;IF('Compo'!C14="Aller","A",IF('Compo'!C14="Retour","R","PF"))&amp;'Compo'!C16&amp;IF('Compo'!C12="Extérieur"," : "&amp;'Compo'!C10&amp;" / MXV"," : MXV / "&amp;'Compo'!C10)</f>
        <v>Match A1 : MXV / US Eauze</v>
      </c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29"/>
    </row>
    <row r="2" spans="1:16" ht="10" customHeight="1" thickBot="1">
      <c r="A2" s="29"/>
      <c r="B2" s="29"/>
      <c r="C2" s="7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70"/>
      <c r="P2" s="29"/>
    </row>
    <row r="3" spans="1:16" ht="10" customHeight="1" thickTop="1">
      <c r="A3" s="29"/>
      <c r="B3" s="29"/>
      <c r="C3" s="71"/>
      <c r="D3" s="62"/>
      <c r="E3" s="62"/>
      <c r="F3" s="63"/>
      <c r="G3" s="63"/>
      <c r="H3" s="63"/>
      <c r="I3" s="63"/>
      <c r="J3" s="63"/>
      <c r="K3" s="63"/>
      <c r="L3" s="63"/>
      <c r="M3" s="63"/>
      <c r="N3" s="63"/>
      <c r="O3" s="72"/>
      <c r="P3" s="29"/>
    </row>
    <row r="4" spans="1:16" ht="42" customHeight="1">
      <c r="A4" s="29"/>
      <c r="B4" s="29"/>
      <c r="C4" s="73"/>
      <c r="D4" s="180" t="s">
        <v>215</v>
      </c>
      <c r="E4" s="180"/>
      <c r="F4" s="39" t="s">
        <v>90</v>
      </c>
      <c r="G4" s="65"/>
      <c r="H4" s="39" t="s">
        <v>125</v>
      </c>
      <c r="I4" s="30"/>
      <c r="J4" s="70"/>
      <c r="K4" s="70"/>
      <c r="L4" s="32" t="s">
        <v>112</v>
      </c>
      <c r="M4" s="70"/>
      <c r="N4" s="32" t="s">
        <v>113</v>
      </c>
      <c r="O4" s="74"/>
      <c r="P4" s="29"/>
    </row>
    <row r="5" spans="1:16" ht="10" customHeight="1" thickBot="1">
      <c r="A5" s="29"/>
      <c r="B5" s="29"/>
      <c r="C5" s="75"/>
      <c r="D5" s="66"/>
      <c r="E5" s="66"/>
      <c r="F5" s="67"/>
      <c r="G5" s="67"/>
      <c r="H5" s="67"/>
      <c r="I5" s="67"/>
      <c r="J5" s="67"/>
      <c r="K5" s="67"/>
      <c r="L5" s="67"/>
      <c r="M5" s="67"/>
      <c r="N5" s="67"/>
      <c r="O5" s="76"/>
      <c r="P5" s="29"/>
    </row>
    <row r="6" spans="1:16" ht="10" customHeight="1" thickTop="1" thickBot="1">
      <c r="A6" s="29"/>
      <c r="B6" s="29"/>
      <c r="C6" s="77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77"/>
      <c r="P6" s="29"/>
    </row>
    <row r="7" spans="1:16" ht="10" customHeight="1" thickTop="1">
      <c r="A7" s="29"/>
      <c r="B7" s="29" t="s">
        <v>114</v>
      </c>
      <c r="C7" s="78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80"/>
      <c r="P7" s="29"/>
    </row>
    <row r="8" spans="1:16" ht="15" customHeight="1">
      <c r="A8" s="29"/>
      <c r="B8" s="29"/>
      <c r="C8" s="81"/>
      <c r="D8" s="174" t="s">
        <v>70</v>
      </c>
      <c r="E8" s="174"/>
      <c r="F8" s="175"/>
      <c r="G8" s="175"/>
      <c r="H8" s="175"/>
      <c r="I8" s="175"/>
      <c r="J8" s="175"/>
      <c r="K8" s="175"/>
      <c r="L8" s="175"/>
      <c r="M8" s="175"/>
      <c r="N8" s="175"/>
      <c r="O8" s="82"/>
      <c r="P8" s="29"/>
    </row>
    <row r="9" spans="1:16">
      <c r="A9" s="29"/>
      <c r="B9" s="29"/>
      <c r="C9" s="81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82"/>
      <c r="P9" s="29"/>
    </row>
    <row r="10" spans="1:16" ht="42" customHeight="1">
      <c r="A10" s="29"/>
      <c r="B10" s="29"/>
      <c r="C10" s="81"/>
      <c r="D10" s="26" t="s">
        <v>69</v>
      </c>
      <c r="E10" s="25"/>
      <c r="F10" s="33" t="s">
        <v>73</v>
      </c>
      <c r="G10" s="25"/>
      <c r="H10" s="33" t="s">
        <v>71</v>
      </c>
      <c r="I10" s="25"/>
      <c r="J10" s="33" t="s">
        <v>74</v>
      </c>
      <c r="K10" s="25"/>
      <c r="L10" s="33" t="s">
        <v>75</v>
      </c>
      <c r="M10" s="25"/>
      <c r="N10" s="33" t="s">
        <v>72</v>
      </c>
      <c r="O10" s="82"/>
      <c r="P10" s="29"/>
    </row>
    <row r="11" spans="1:16" ht="10" customHeight="1">
      <c r="A11" s="29"/>
      <c r="B11" s="29"/>
      <c r="C11" s="81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82"/>
      <c r="P11" s="29"/>
    </row>
    <row r="12" spans="1:16" ht="42" customHeight="1">
      <c r="A12" s="29"/>
      <c r="B12" s="29"/>
      <c r="C12" s="81"/>
      <c r="D12" s="26" t="s">
        <v>330</v>
      </c>
      <c r="E12" s="25"/>
      <c r="F12" s="33" t="s">
        <v>76</v>
      </c>
      <c r="G12" s="25"/>
      <c r="H12" s="33" t="s">
        <v>77</v>
      </c>
      <c r="I12" s="28"/>
      <c r="J12" s="33" t="s">
        <v>115</v>
      </c>
      <c r="K12" s="31"/>
      <c r="L12" s="70"/>
      <c r="M12" s="70"/>
      <c r="N12" s="70"/>
      <c r="O12" s="74"/>
      <c r="P12" s="29"/>
    </row>
    <row r="13" spans="1:16" ht="10" customHeight="1">
      <c r="A13" s="29"/>
      <c r="B13" s="29"/>
      <c r="C13" s="81"/>
      <c r="D13" s="24"/>
      <c r="E13" s="24"/>
      <c r="F13" s="24"/>
      <c r="G13" s="24"/>
      <c r="H13" s="24"/>
      <c r="I13" s="24"/>
      <c r="J13" s="24"/>
      <c r="K13" s="68"/>
      <c r="L13" s="68"/>
      <c r="M13" s="68"/>
      <c r="N13" s="68"/>
      <c r="O13" s="74"/>
      <c r="P13" s="29"/>
    </row>
    <row r="14" spans="1:16" ht="42" customHeight="1">
      <c r="A14" s="29"/>
      <c r="B14" s="29"/>
      <c r="C14" s="81"/>
      <c r="D14" s="26" t="s">
        <v>331</v>
      </c>
      <c r="E14" s="25"/>
      <c r="F14" s="33" t="s">
        <v>76</v>
      </c>
      <c r="G14" s="25"/>
      <c r="H14" s="33" t="s">
        <v>77</v>
      </c>
      <c r="I14" s="28"/>
      <c r="J14" s="64"/>
      <c r="K14" s="31"/>
      <c r="L14" s="70"/>
      <c r="M14" s="70"/>
      <c r="N14" s="70"/>
      <c r="O14" s="74"/>
      <c r="P14" s="29"/>
    </row>
    <row r="15" spans="1:16" s="29" customFormat="1" ht="10" customHeight="1">
      <c r="C15" s="73"/>
      <c r="D15" s="31"/>
      <c r="E15" s="31"/>
      <c r="F15" s="88"/>
      <c r="G15" s="31"/>
      <c r="H15" s="88"/>
      <c r="I15" s="31"/>
      <c r="J15" s="89"/>
      <c r="K15" s="31"/>
      <c r="L15" s="70"/>
      <c r="M15" s="70"/>
      <c r="N15" s="70"/>
      <c r="O15" s="74"/>
    </row>
    <row r="16" spans="1:16" ht="42" customHeight="1">
      <c r="A16" s="29"/>
      <c r="B16" s="29"/>
      <c r="C16" s="81"/>
      <c r="D16" s="90" t="s">
        <v>216</v>
      </c>
      <c r="E16" s="65"/>
      <c r="F16" s="33" t="s">
        <v>217</v>
      </c>
      <c r="G16" s="65"/>
      <c r="H16" s="33" t="s">
        <v>218</v>
      </c>
      <c r="I16" s="65"/>
      <c r="J16" s="33" t="s">
        <v>219</v>
      </c>
      <c r="K16" s="65"/>
      <c r="L16" s="33" t="s">
        <v>220</v>
      </c>
      <c r="M16" s="70"/>
      <c r="N16" s="70"/>
      <c r="O16" s="74"/>
      <c r="P16" s="29"/>
    </row>
    <row r="17" spans="1:18" ht="10" customHeight="1">
      <c r="A17" s="29"/>
      <c r="B17" s="29"/>
      <c r="C17" s="81"/>
      <c r="D17" s="24"/>
      <c r="E17" s="24"/>
      <c r="F17" s="24"/>
      <c r="G17" s="24"/>
      <c r="H17" s="24"/>
      <c r="I17" s="24"/>
      <c r="J17" s="24"/>
      <c r="K17" s="68"/>
      <c r="L17" s="68"/>
      <c r="M17" s="68"/>
      <c r="N17" s="68"/>
      <c r="O17" s="74"/>
      <c r="P17" s="29"/>
    </row>
    <row r="18" spans="1:18" ht="42" customHeight="1">
      <c r="A18" s="29"/>
      <c r="B18" s="29"/>
      <c r="C18" s="81"/>
      <c r="D18" s="90" t="s">
        <v>216</v>
      </c>
      <c r="E18" s="65"/>
      <c r="F18" s="33" t="s">
        <v>60</v>
      </c>
      <c r="G18" s="65"/>
      <c r="H18" s="33" t="s">
        <v>78</v>
      </c>
      <c r="I18" s="65"/>
      <c r="J18" s="33" t="s">
        <v>327</v>
      </c>
      <c r="K18" s="65"/>
      <c r="L18" s="70"/>
      <c r="M18" s="70"/>
      <c r="N18" s="70"/>
      <c r="O18" s="74"/>
      <c r="P18" s="29"/>
    </row>
    <row r="19" spans="1:18" ht="10" customHeight="1">
      <c r="A19" s="29"/>
      <c r="B19" s="29"/>
      <c r="C19" s="81"/>
      <c r="D19" s="24"/>
      <c r="E19" s="24"/>
      <c r="F19" s="24"/>
      <c r="G19" s="24"/>
      <c r="H19" s="24"/>
      <c r="I19" s="24"/>
      <c r="J19" s="24"/>
      <c r="K19" s="68"/>
      <c r="L19" s="68"/>
      <c r="M19" s="68"/>
      <c r="N19" s="68"/>
      <c r="O19" s="74"/>
      <c r="P19" s="29"/>
    </row>
    <row r="20" spans="1:18" ht="42" customHeight="1">
      <c r="A20" s="29"/>
      <c r="B20" s="29"/>
      <c r="C20" s="81"/>
      <c r="D20" s="90" t="s">
        <v>135</v>
      </c>
      <c r="E20" s="25"/>
      <c r="F20" s="34" t="s">
        <v>250</v>
      </c>
      <c r="G20" s="25"/>
      <c r="H20" s="34" t="s">
        <v>251</v>
      </c>
      <c r="I20" s="28"/>
      <c r="J20" s="65"/>
      <c r="K20" s="64"/>
      <c r="L20" s="65"/>
      <c r="M20" s="65"/>
      <c r="N20" s="64"/>
      <c r="O20" s="82"/>
      <c r="P20" s="29"/>
    </row>
    <row r="21" spans="1:18" s="29" customFormat="1" ht="10" customHeight="1">
      <c r="C21" s="73"/>
      <c r="D21" s="31"/>
      <c r="E21" s="31"/>
      <c r="F21" s="88"/>
      <c r="G21" s="31"/>
      <c r="H21" s="88"/>
      <c r="I21" s="31"/>
      <c r="J21" s="31"/>
      <c r="K21" s="89"/>
      <c r="L21" s="31"/>
      <c r="M21" s="31"/>
      <c r="N21" s="89"/>
      <c r="O21" s="74"/>
    </row>
    <row r="22" spans="1:18" ht="42" customHeight="1">
      <c r="A22" s="29"/>
      <c r="B22" s="29"/>
      <c r="C22" s="81"/>
      <c r="D22" s="90" t="s">
        <v>245</v>
      </c>
      <c r="E22" s="65"/>
      <c r="F22" s="34" t="s">
        <v>246</v>
      </c>
      <c r="G22" s="65"/>
      <c r="H22" s="34" t="s">
        <v>247</v>
      </c>
      <c r="I22" s="65"/>
      <c r="J22" s="34" t="s">
        <v>248</v>
      </c>
      <c r="K22" s="64"/>
      <c r="L22" s="34" t="s">
        <v>249</v>
      </c>
      <c r="M22" s="65"/>
      <c r="N22" s="34" t="s">
        <v>175</v>
      </c>
      <c r="O22" s="82"/>
      <c r="P22" s="29"/>
    </row>
    <row r="23" spans="1:18" ht="10" customHeight="1">
      <c r="A23" s="29"/>
      <c r="B23" s="29"/>
      <c r="C23" s="81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82"/>
      <c r="P23" s="29"/>
    </row>
    <row r="24" spans="1:18" ht="42" customHeight="1">
      <c r="A24" s="29"/>
      <c r="B24" s="29"/>
      <c r="C24" s="81"/>
      <c r="D24" s="26" t="s">
        <v>89</v>
      </c>
      <c r="E24" s="25"/>
      <c r="F24" s="52" t="s">
        <v>80</v>
      </c>
      <c r="G24" s="25"/>
      <c r="H24" s="52" t="s">
        <v>121</v>
      </c>
      <c r="I24" s="25"/>
      <c r="J24" s="52" t="s">
        <v>232</v>
      </c>
      <c r="K24" s="25"/>
      <c r="L24" s="52" t="s">
        <v>81</v>
      </c>
      <c r="M24" s="25"/>
      <c r="N24" s="52" t="s">
        <v>82</v>
      </c>
      <c r="O24" s="82"/>
      <c r="P24" s="29"/>
      <c r="R24" s="29" t="s">
        <v>136</v>
      </c>
    </row>
    <row r="25" spans="1:18" ht="10" customHeight="1">
      <c r="A25" s="29"/>
      <c r="B25" s="29"/>
      <c r="C25" s="81"/>
      <c r="D25" s="65"/>
      <c r="E25" s="65"/>
      <c r="F25" s="69"/>
      <c r="G25" s="65"/>
      <c r="H25" s="69"/>
      <c r="I25" s="65"/>
      <c r="J25" s="69"/>
      <c r="K25" s="65"/>
      <c r="L25" s="69"/>
      <c r="M25" s="65"/>
      <c r="N25" s="69"/>
      <c r="O25" s="82"/>
      <c r="P25" s="29"/>
    </row>
    <row r="26" spans="1:18" ht="42" customHeight="1">
      <c r="A26" s="29"/>
      <c r="B26" s="29"/>
      <c r="C26" s="81"/>
      <c r="D26" s="26" t="s">
        <v>118</v>
      </c>
      <c r="E26" s="25"/>
      <c r="F26" s="35" t="s">
        <v>84</v>
      </c>
      <c r="G26" s="25"/>
      <c r="H26" s="35" t="s">
        <v>85</v>
      </c>
      <c r="I26" s="25"/>
      <c r="J26" s="35" t="s">
        <v>86</v>
      </c>
      <c r="K26" s="25"/>
      <c r="L26" s="35" t="s">
        <v>87</v>
      </c>
      <c r="M26" s="28"/>
      <c r="N26" s="27" t="s">
        <v>88</v>
      </c>
      <c r="O26" s="82"/>
      <c r="P26" s="29"/>
    </row>
    <row r="27" spans="1:18" ht="10" customHeight="1" thickBot="1">
      <c r="A27" s="29"/>
      <c r="B27" s="29"/>
      <c r="C27" s="75"/>
      <c r="D27" s="66"/>
      <c r="E27" s="66"/>
      <c r="F27" s="67"/>
      <c r="G27" s="67"/>
      <c r="H27" s="67"/>
      <c r="I27" s="67"/>
      <c r="J27" s="67"/>
      <c r="K27" s="67"/>
      <c r="L27" s="67"/>
      <c r="M27" s="67"/>
      <c r="N27" s="67"/>
      <c r="O27" s="76"/>
      <c r="P27" s="29"/>
    </row>
    <row r="28" spans="1:18" ht="10" customHeight="1" thickTop="1" thickBot="1">
      <c r="A28" s="29"/>
      <c r="B28" s="29"/>
      <c r="C28" s="70"/>
      <c r="D28" s="31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70"/>
      <c r="P28" s="29"/>
    </row>
    <row r="29" spans="1:18" ht="10" customHeight="1" thickTop="1">
      <c r="A29" s="29"/>
      <c r="B29" s="29"/>
      <c r="C29" s="71"/>
      <c r="D29" s="62"/>
      <c r="E29" s="62"/>
      <c r="F29" s="63"/>
      <c r="G29" s="63"/>
      <c r="H29" s="63"/>
      <c r="I29" s="63"/>
      <c r="J29" s="63"/>
      <c r="K29" s="63"/>
      <c r="L29" s="63"/>
      <c r="M29" s="63"/>
      <c r="N29" s="63"/>
      <c r="O29" s="72"/>
      <c r="P29" s="29"/>
    </row>
    <row r="30" spans="1:18" ht="15" customHeight="1">
      <c r="A30" s="29"/>
      <c r="B30" s="29"/>
      <c r="C30" s="110"/>
      <c r="D30" s="178" t="s">
        <v>68</v>
      </c>
      <c r="E30" s="178"/>
      <c r="F30" s="179"/>
      <c r="G30" s="179"/>
      <c r="H30" s="179"/>
      <c r="I30" s="179"/>
      <c r="J30" s="179"/>
      <c r="K30" s="179"/>
      <c r="L30" s="179"/>
      <c r="M30" s="179"/>
      <c r="N30" s="179"/>
      <c r="O30" s="111"/>
      <c r="P30" s="29"/>
    </row>
    <row r="31" spans="1:18" ht="13" customHeight="1">
      <c r="A31" s="29"/>
      <c r="B31" s="29"/>
      <c r="C31" s="110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111"/>
      <c r="P31" s="29"/>
    </row>
    <row r="32" spans="1:18" ht="42" customHeight="1">
      <c r="A32" s="29"/>
      <c r="B32" s="29"/>
      <c r="C32" s="110"/>
      <c r="D32" s="87">
        <v>1</v>
      </c>
      <c r="E32" s="86"/>
      <c r="F32" s="87">
        <v>2</v>
      </c>
      <c r="G32" s="86"/>
      <c r="H32" s="87">
        <v>3</v>
      </c>
      <c r="I32" s="86"/>
      <c r="J32" s="87">
        <v>4</v>
      </c>
      <c r="K32" s="86"/>
      <c r="L32" s="87">
        <v>5</v>
      </c>
      <c r="M32" s="86"/>
      <c r="N32" s="87">
        <v>6</v>
      </c>
      <c r="O32" s="111"/>
      <c r="P32" s="29"/>
    </row>
    <row r="33" spans="1:21" ht="10" customHeight="1">
      <c r="A33" s="29"/>
      <c r="B33" s="29"/>
      <c r="C33" s="110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111"/>
      <c r="P33" s="29"/>
    </row>
    <row r="34" spans="1:21" ht="42" customHeight="1">
      <c r="A34" s="29"/>
      <c r="B34" s="29"/>
      <c r="C34" s="110"/>
      <c r="D34" s="87">
        <v>7</v>
      </c>
      <c r="E34" s="86"/>
      <c r="F34" s="87">
        <v>8</v>
      </c>
      <c r="G34" s="86"/>
      <c r="H34" s="87">
        <v>9</v>
      </c>
      <c r="I34" s="86"/>
      <c r="J34" s="87">
        <v>10</v>
      </c>
      <c r="K34" s="86"/>
      <c r="L34" s="87">
        <v>11</v>
      </c>
      <c r="M34" s="86"/>
      <c r="N34" s="87">
        <v>12</v>
      </c>
      <c r="O34" s="111"/>
      <c r="P34" s="29"/>
    </row>
    <row r="35" spans="1:21" ht="10" customHeight="1">
      <c r="A35" s="29"/>
      <c r="B35" s="29"/>
      <c r="C35" s="110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111"/>
      <c r="P35" s="29"/>
    </row>
    <row r="36" spans="1:21" ht="42" customHeight="1">
      <c r="A36" s="29"/>
      <c r="B36" s="29"/>
      <c r="C36" s="110"/>
      <c r="D36" s="87">
        <v>13</v>
      </c>
      <c r="E36" s="86"/>
      <c r="F36" s="87">
        <v>14</v>
      </c>
      <c r="G36" s="86"/>
      <c r="H36" s="87">
        <v>15</v>
      </c>
      <c r="I36" s="86"/>
      <c r="J36" s="87">
        <v>16</v>
      </c>
      <c r="K36" s="86"/>
      <c r="L36" s="87">
        <v>17</v>
      </c>
      <c r="M36" s="86"/>
      <c r="N36" s="87">
        <v>18</v>
      </c>
      <c r="O36" s="111"/>
      <c r="P36" s="29"/>
      <c r="R36" s="30"/>
      <c r="S36" s="30"/>
    </row>
    <row r="37" spans="1:21" ht="10" customHeight="1">
      <c r="A37" s="29"/>
      <c r="B37" s="29"/>
      <c r="C37" s="110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111"/>
      <c r="P37" s="29"/>
      <c r="R37" s="30"/>
      <c r="S37" s="30"/>
    </row>
    <row r="38" spans="1:21" ht="42" customHeight="1">
      <c r="A38" s="29"/>
      <c r="B38" s="29"/>
      <c r="C38" s="110"/>
      <c r="D38" s="87">
        <v>19</v>
      </c>
      <c r="E38" s="86"/>
      <c r="F38" s="87">
        <v>20</v>
      </c>
      <c r="G38" s="86"/>
      <c r="H38" s="87">
        <v>21</v>
      </c>
      <c r="I38" s="86"/>
      <c r="J38" s="87">
        <v>22</v>
      </c>
      <c r="K38" s="86"/>
      <c r="L38" s="85" t="s">
        <v>93</v>
      </c>
      <c r="M38" s="86"/>
      <c r="N38" s="85" t="s">
        <v>83</v>
      </c>
      <c r="O38" s="111"/>
      <c r="P38" s="29"/>
    </row>
    <row r="39" spans="1:21" s="29" customFormat="1" ht="10" customHeight="1" thickBot="1">
      <c r="C39" s="112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4"/>
    </row>
    <row r="40" spans="1:21" ht="10" customHeight="1" thickTop="1" thickBot="1">
      <c r="A40" s="29"/>
      <c r="B40" s="29"/>
      <c r="C40" s="70"/>
      <c r="D40" s="31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70"/>
      <c r="P40" s="29"/>
    </row>
    <row r="41" spans="1:21" ht="10" customHeight="1" thickTop="1">
      <c r="A41" s="29"/>
      <c r="B41" s="29"/>
      <c r="C41" s="71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72"/>
      <c r="P41" s="29"/>
      <c r="Q41" s="31"/>
      <c r="T41" s="30"/>
      <c r="U41" s="30"/>
    </row>
    <row r="42" spans="1:21" ht="15" customHeight="1">
      <c r="A42" s="29"/>
      <c r="B42" s="29"/>
      <c r="C42" s="73"/>
      <c r="D42" s="174" t="s">
        <v>91</v>
      </c>
      <c r="E42" s="174"/>
      <c r="F42" s="175"/>
      <c r="G42" s="175"/>
      <c r="H42" s="175"/>
      <c r="I42" s="175"/>
      <c r="J42" s="175"/>
      <c r="K42" s="175"/>
      <c r="L42" s="175"/>
      <c r="M42" s="175"/>
      <c r="N42" s="175"/>
      <c r="O42" s="116"/>
      <c r="P42" s="29"/>
      <c r="U42" s="30"/>
    </row>
    <row r="43" spans="1:21" ht="11" customHeight="1">
      <c r="A43" s="29"/>
      <c r="B43" s="29"/>
      <c r="C43" s="73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4"/>
      <c r="P43" s="29"/>
      <c r="U43" s="30"/>
    </row>
    <row r="44" spans="1:21" ht="14">
      <c r="A44" s="29"/>
      <c r="B44" s="29"/>
      <c r="C44" s="73"/>
      <c r="D44" s="117" t="s">
        <v>92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4"/>
      <c r="P44" s="29"/>
      <c r="Q44" s="29" t="s">
        <v>136</v>
      </c>
      <c r="U44" s="30"/>
    </row>
    <row r="45" spans="1:21" ht="6" customHeight="1">
      <c r="A45" s="29"/>
      <c r="B45" s="29"/>
      <c r="C45" s="73"/>
      <c r="D45" s="70"/>
      <c r="E45" s="70"/>
      <c r="F45" s="70"/>
      <c r="G45" s="70"/>
      <c r="H45" s="70"/>
      <c r="I45" s="70"/>
      <c r="J45" s="70"/>
      <c r="K45" s="70"/>
      <c r="L45" s="118"/>
      <c r="M45" s="118"/>
      <c r="N45" s="70"/>
      <c r="O45" s="74"/>
      <c r="P45" s="29"/>
    </row>
    <row r="46" spans="1:21" ht="42" customHeight="1">
      <c r="A46" s="29"/>
      <c r="B46" s="29"/>
      <c r="C46" s="73"/>
      <c r="D46" s="176">
        <v>6.2051171527777779E-3</v>
      </c>
      <c r="E46" s="177"/>
      <c r="F46" s="177"/>
      <c r="G46" s="70"/>
      <c r="H46" s="40" t="s">
        <v>62</v>
      </c>
      <c r="J46" s="36" t="s">
        <v>61</v>
      </c>
      <c r="K46" s="70"/>
      <c r="L46" s="40" t="s">
        <v>209</v>
      </c>
      <c r="M46" s="118"/>
      <c r="N46" s="37" t="s">
        <v>63</v>
      </c>
      <c r="O46" s="74"/>
      <c r="P46" s="29"/>
    </row>
    <row r="47" spans="1:21" ht="93" customHeight="1" thickBot="1">
      <c r="A47" s="29"/>
      <c r="B47" s="29"/>
      <c r="C47" s="75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76"/>
      <c r="P47" s="29"/>
      <c r="R47" s="29" t="s">
        <v>136</v>
      </c>
    </row>
    <row r="48" spans="1:21" ht="14" thickTop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17:17" s="29" customFormat="1"/>
    <row r="50" spans="17:17" s="29" customFormat="1"/>
    <row r="51" spans="17:17" s="29" customFormat="1"/>
    <row r="52" spans="17:17" s="29" customFormat="1"/>
    <row r="53" spans="17:17" s="29" customFormat="1"/>
    <row r="54" spans="17:17" s="29" customFormat="1">
      <c r="Q54" s="29" t="s">
        <v>114</v>
      </c>
    </row>
    <row r="55" spans="17:17" s="29" customFormat="1"/>
    <row r="56" spans="17:17" s="29" customFormat="1"/>
    <row r="57" spans="17:17" s="29" customFormat="1"/>
    <row r="58" spans="17:17" s="29" customFormat="1"/>
    <row r="59" spans="17:17" s="29" customFormat="1"/>
    <row r="60" spans="17:17" s="29" customFormat="1"/>
    <row r="61" spans="17:17" s="29" customFormat="1"/>
    <row r="62" spans="17:17" s="29" customFormat="1"/>
    <row r="63" spans="17:17" s="29" customFormat="1"/>
    <row r="64" spans="17:17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>
      <c r="L409" s="122"/>
      <c r="M409" s="122"/>
    </row>
    <row r="410" spans="12:13" s="29" customFormat="1">
      <c r="L410" s="122"/>
      <c r="M410" s="122"/>
    </row>
    <row r="411" spans="12:13" s="29" customFormat="1">
      <c r="L411" s="122"/>
      <c r="M411" s="122"/>
    </row>
    <row r="412" spans="12:13" s="29" customFormat="1">
      <c r="L412" s="122"/>
      <c r="M412" s="122"/>
    </row>
    <row r="413" spans="12:13" s="29" customFormat="1">
      <c r="L413" s="122"/>
      <c r="M413" s="122"/>
    </row>
    <row r="414" spans="12:13" s="29" customFormat="1">
      <c r="L414" s="122"/>
      <c r="M414" s="122"/>
    </row>
    <row r="415" spans="12:13" s="29" customFormat="1">
      <c r="L415" s="122"/>
      <c r="M415" s="122"/>
    </row>
    <row r="416" spans="12:13" s="29" customFormat="1">
      <c r="L416" s="122"/>
      <c r="M416" s="122"/>
    </row>
    <row r="417" spans="12:29" s="29" customFormat="1">
      <c r="L417" s="122"/>
      <c r="M417" s="122"/>
    </row>
    <row r="418" spans="12:29" s="29" customFormat="1">
      <c r="L418" s="122"/>
      <c r="M418" s="122"/>
    </row>
    <row r="419" spans="12:29" s="29" customFormat="1">
      <c r="L419" s="122"/>
      <c r="M419" s="122"/>
    </row>
    <row r="420" spans="12:29" s="29" customFormat="1">
      <c r="L420" s="122"/>
      <c r="M420" s="122"/>
    </row>
    <row r="421" spans="12:29" s="29" customFormat="1">
      <c r="L421" s="122"/>
      <c r="M421" s="122"/>
    </row>
    <row r="422" spans="12:29" s="29" customFormat="1">
      <c r="L422" s="122"/>
      <c r="M422" s="122"/>
    </row>
    <row r="423" spans="12:29" s="29" customFormat="1">
      <c r="L423" s="122"/>
      <c r="M423" s="122"/>
    </row>
    <row r="424" spans="12:29" s="29" customFormat="1">
      <c r="L424" s="122"/>
      <c r="M424" s="122"/>
    </row>
    <row r="425" spans="12:29" s="29" customFormat="1">
      <c r="L425" s="122"/>
      <c r="M425" s="122"/>
    </row>
    <row r="426" spans="12:29" s="29" customFormat="1">
      <c r="L426" s="122"/>
      <c r="M426" s="122"/>
    </row>
    <row r="427" spans="12:29" s="29" customFormat="1">
      <c r="L427" s="122"/>
      <c r="M427" s="122"/>
      <c r="Y427" s="121"/>
      <c r="Z427" s="121"/>
      <c r="AA427" s="121"/>
      <c r="AC427" s="121"/>
    </row>
    <row r="428" spans="12:29" s="29" customFormat="1">
      <c r="L428" s="122"/>
      <c r="M428" s="122"/>
    </row>
    <row r="429" spans="12:29" s="29" customFormat="1">
      <c r="L429" s="122"/>
      <c r="M429" s="122"/>
    </row>
    <row r="430" spans="12:29" s="29" customFormat="1">
      <c r="L430" s="122"/>
      <c r="M430" s="122"/>
    </row>
    <row r="431" spans="12:29" s="29" customFormat="1">
      <c r="L431" s="122"/>
      <c r="M431" s="122"/>
    </row>
    <row r="432" spans="12:29" s="29" customFormat="1">
      <c r="L432" s="122"/>
      <c r="M432" s="122"/>
    </row>
    <row r="433" spans="12:13" s="29" customFormat="1">
      <c r="L433" s="122"/>
      <c r="M433" s="122"/>
    </row>
    <row r="434" spans="12:13" s="29" customFormat="1">
      <c r="L434" s="122"/>
      <c r="M434" s="122"/>
    </row>
    <row r="435" spans="12:13" s="29" customFormat="1">
      <c r="L435" s="122"/>
      <c r="M435" s="122"/>
    </row>
    <row r="436" spans="12:13" s="29" customFormat="1">
      <c r="L436" s="122"/>
      <c r="M436" s="122"/>
    </row>
    <row r="437" spans="12:13" s="29" customFormat="1">
      <c r="L437" s="122"/>
      <c r="M437" s="122"/>
    </row>
    <row r="438" spans="12:13" s="29" customFormat="1">
      <c r="L438" s="122"/>
      <c r="M438" s="122"/>
    </row>
    <row r="439" spans="12:13" s="29" customFormat="1">
      <c r="L439" s="122"/>
      <c r="M439" s="122"/>
    </row>
    <row r="440" spans="12:13" s="29" customFormat="1">
      <c r="L440" s="122"/>
      <c r="M440" s="122"/>
    </row>
    <row r="441" spans="12:13" s="29" customFormat="1">
      <c r="L441" s="122"/>
      <c r="M441" s="122"/>
    </row>
    <row r="442" spans="12:13" s="29" customFormat="1">
      <c r="L442" s="122"/>
      <c r="M442" s="122"/>
    </row>
    <row r="443" spans="12:13" s="29" customFormat="1">
      <c r="L443" s="122"/>
      <c r="M443" s="122"/>
    </row>
    <row r="444" spans="12:13" s="29" customFormat="1">
      <c r="L444" s="122"/>
      <c r="M444" s="122"/>
    </row>
    <row r="445" spans="12:13" s="29" customFormat="1">
      <c r="L445" s="122"/>
      <c r="M445" s="122"/>
    </row>
    <row r="446" spans="12:13" s="29" customFormat="1">
      <c r="L446" s="122"/>
      <c r="M446" s="122"/>
    </row>
    <row r="447" spans="12:13" s="29" customFormat="1">
      <c r="L447" s="122"/>
      <c r="M447" s="122"/>
    </row>
    <row r="448" spans="12:13" s="29" customFormat="1">
      <c r="L448" s="122"/>
      <c r="M448" s="122"/>
    </row>
    <row r="449" spans="12:13" s="29" customFormat="1">
      <c r="L449" s="122"/>
      <c r="M449" s="122"/>
    </row>
    <row r="450" spans="12:13" s="29" customFormat="1">
      <c r="L450" s="122"/>
      <c r="M450" s="122"/>
    </row>
    <row r="451" spans="12:13" s="29" customFormat="1">
      <c r="L451" s="122"/>
      <c r="M451" s="122"/>
    </row>
    <row r="452" spans="12:13" s="29" customFormat="1">
      <c r="L452" s="122"/>
      <c r="M452" s="122"/>
    </row>
    <row r="453" spans="12:13" s="29" customFormat="1">
      <c r="L453" s="122"/>
      <c r="M453" s="122"/>
    </row>
    <row r="454" spans="12:13" s="29" customFormat="1">
      <c r="L454" s="122"/>
      <c r="M454" s="122"/>
    </row>
    <row r="455" spans="12:13" s="29" customFormat="1">
      <c r="L455" s="122"/>
      <c r="M455" s="122"/>
    </row>
    <row r="456" spans="12:13" s="29" customFormat="1">
      <c r="L456" s="122"/>
      <c r="M456" s="122"/>
    </row>
    <row r="457" spans="12:13" s="29" customFormat="1">
      <c r="L457" s="122"/>
      <c r="M457" s="122"/>
    </row>
    <row r="458" spans="12:13" s="29" customFormat="1">
      <c r="L458" s="122"/>
      <c r="M458" s="122"/>
    </row>
    <row r="459" spans="12:13" s="29" customFormat="1">
      <c r="L459" s="122"/>
      <c r="M459" s="122"/>
    </row>
    <row r="460" spans="12:13" s="29" customFormat="1">
      <c r="L460" s="122"/>
      <c r="M460" s="122"/>
    </row>
    <row r="461" spans="12:13" s="29" customFormat="1">
      <c r="L461" s="122"/>
      <c r="M461" s="122"/>
    </row>
    <row r="462" spans="12:13" s="29" customFormat="1">
      <c r="L462" s="122"/>
      <c r="M462" s="122"/>
    </row>
    <row r="463" spans="12:13" s="29" customFormat="1">
      <c r="L463" s="122"/>
      <c r="M463" s="122"/>
    </row>
    <row r="464" spans="12:13" s="29" customFormat="1">
      <c r="L464" s="122"/>
      <c r="M464" s="122"/>
    </row>
    <row r="465" spans="12:13" s="29" customFormat="1">
      <c r="L465" s="122"/>
      <c r="M465" s="122"/>
    </row>
    <row r="466" spans="12:13" s="29" customFormat="1">
      <c r="L466" s="122"/>
      <c r="M466" s="122"/>
    </row>
    <row r="467" spans="12:13" s="29" customFormat="1">
      <c r="L467" s="122"/>
      <c r="M467" s="122"/>
    </row>
    <row r="468" spans="12:13" s="29" customFormat="1">
      <c r="L468" s="122"/>
      <c r="M468" s="122"/>
    </row>
    <row r="469" spans="12:13" s="29" customFormat="1">
      <c r="L469" s="122"/>
      <c r="M469" s="122"/>
    </row>
    <row r="470" spans="12:13" s="29" customFormat="1">
      <c r="L470" s="122"/>
      <c r="M470" s="122"/>
    </row>
    <row r="471" spans="12:13" s="29" customFormat="1">
      <c r="L471" s="122"/>
      <c r="M471" s="122"/>
    </row>
    <row r="472" spans="12:13" s="29" customFormat="1">
      <c r="L472" s="122"/>
      <c r="M472" s="122"/>
    </row>
    <row r="473" spans="12:13" s="29" customFormat="1">
      <c r="L473" s="122"/>
      <c r="M473" s="122"/>
    </row>
    <row r="474" spans="12:13" s="29" customFormat="1">
      <c r="L474" s="122"/>
      <c r="M474" s="122"/>
    </row>
    <row r="475" spans="12:13" s="29" customFormat="1">
      <c r="L475" s="122"/>
      <c r="M475" s="122"/>
    </row>
    <row r="476" spans="12:13" s="29" customFormat="1">
      <c r="L476" s="122"/>
      <c r="M476" s="122"/>
    </row>
    <row r="477" spans="12:13" s="29" customFormat="1">
      <c r="L477" s="122"/>
      <c r="M477" s="122"/>
    </row>
    <row r="478" spans="12:13" s="29" customFormat="1">
      <c r="L478" s="122"/>
      <c r="M478" s="122"/>
    </row>
    <row r="479" spans="12:13" s="29" customFormat="1">
      <c r="L479" s="122"/>
      <c r="M479" s="122"/>
    </row>
    <row r="480" spans="12:13" s="29" customFormat="1">
      <c r="L480" s="122"/>
      <c r="M480" s="122"/>
    </row>
    <row r="481" spans="12:13" s="29" customFormat="1">
      <c r="L481" s="122"/>
      <c r="M481" s="122"/>
    </row>
    <row r="482" spans="12:13" s="29" customFormat="1">
      <c r="L482" s="122"/>
      <c r="M482" s="122"/>
    </row>
    <row r="483" spans="12:13" s="29" customFormat="1">
      <c r="L483" s="122"/>
      <c r="M483" s="122"/>
    </row>
    <row r="484" spans="12:13" s="29" customFormat="1">
      <c r="L484" s="122"/>
      <c r="M484" s="122"/>
    </row>
    <row r="485" spans="12:13" s="29" customFormat="1">
      <c r="L485" s="122"/>
      <c r="M485" s="122"/>
    </row>
    <row r="486" spans="12:13" s="29" customFormat="1">
      <c r="L486" s="122"/>
      <c r="M486" s="122"/>
    </row>
    <row r="487" spans="12:13" s="29" customFormat="1">
      <c r="L487" s="122"/>
      <c r="M487" s="122"/>
    </row>
    <row r="488" spans="12:13" s="29" customFormat="1">
      <c r="L488" s="122"/>
      <c r="M488" s="122"/>
    </row>
    <row r="489" spans="12:13" s="29" customFormat="1">
      <c r="L489" s="122"/>
      <c r="M489" s="122"/>
    </row>
    <row r="490" spans="12:13">
      <c r="L490" s="23"/>
      <c r="M490" s="23"/>
    </row>
    <row r="491" spans="12:13">
      <c r="L491" s="23"/>
      <c r="M491" s="23"/>
    </row>
    <row r="492" spans="12:13">
      <c r="L492" s="23"/>
      <c r="M492" s="23"/>
    </row>
    <row r="493" spans="12:13">
      <c r="L493" s="23"/>
      <c r="M493" s="23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1229"/>
  <sheetViews>
    <sheetView workbookViewId="0">
      <selection activeCell="A2" sqref="A2:Q49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9"/>
  </cols>
  <sheetData>
    <row r="1" spans="1:17">
      <c r="A1" t="s">
        <v>319</v>
      </c>
      <c r="B1" t="s">
        <v>57</v>
      </c>
      <c r="C1" t="s">
        <v>64</v>
      </c>
      <c r="D1" t="s">
        <v>259</v>
      </c>
      <c r="E1" t="s">
        <v>65</v>
      </c>
      <c r="F1" t="s">
        <v>316</v>
      </c>
      <c r="G1" t="s">
        <v>234</v>
      </c>
      <c r="H1" t="s">
        <v>66</v>
      </c>
      <c r="I1" t="s">
        <v>67</v>
      </c>
      <c r="J1" t="s">
        <v>298</v>
      </c>
      <c r="K1" t="s">
        <v>299</v>
      </c>
      <c r="L1" t="s">
        <v>300</v>
      </c>
      <c r="M1" t="s">
        <v>125</v>
      </c>
      <c r="N1" t="s">
        <v>301</v>
      </c>
      <c r="O1" t="s">
        <v>302</v>
      </c>
      <c r="P1" t="s">
        <v>314</v>
      </c>
      <c r="Q1" t="s">
        <v>317</v>
      </c>
    </row>
    <row r="2" spans="1:17">
      <c r="A2" s="41">
        <v>6.8732580486111111E-2</v>
      </c>
      <c r="B2" t="s">
        <v>113</v>
      </c>
      <c r="E2" t="s">
        <v>88</v>
      </c>
      <c r="G2" t="s">
        <v>204</v>
      </c>
      <c r="I2" s="153">
        <v>46238.637662037036</v>
      </c>
      <c r="J2" t="s">
        <v>359</v>
      </c>
      <c r="K2" t="s">
        <v>274</v>
      </c>
      <c r="L2" s="152">
        <v>46173</v>
      </c>
      <c r="M2" t="s">
        <v>360</v>
      </c>
      <c r="N2" t="s">
        <v>291</v>
      </c>
      <c r="O2" t="s">
        <v>272</v>
      </c>
      <c r="P2" t="s">
        <v>361</v>
      </c>
      <c r="Q2" t="s">
        <v>273</v>
      </c>
    </row>
    <row r="3" spans="1:17" s="29" customFormat="1">
      <c r="A3" s="160">
        <v>6.8667916655092587E-2</v>
      </c>
      <c r="B3" s="29" t="s">
        <v>113</v>
      </c>
      <c r="E3" s="29" t="s">
        <v>224</v>
      </c>
      <c r="G3" s="29" t="s">
        <v>204</v>
      </c>
      <c r="I3" s="161">
        <v>46238.63758101852</v>
      </c>
      <c r="J3" s="29" t="s">
        <v>359</v>
      </c>
      <c r="K3" s="29" t="s">
        <v>274</v>
      </c>
      <c r="L3" s="162">
        <v>46173</v>
      </c>
      <c r="M3" s="29" t="s">
        <v>360</v>
      </c>
      <c r="N3" s="29" t="s">
        <v>291</v>
      </c>
      <c r="O3" s="29" t="s">
        <v>272</v>
      </c>
      <c r="P3" s="29" t="s">
        <v>361</v>
      </c>
      <c r="Q3" s="29" t="s">
        <v>273</v>
      </c>
    </row>
    <row r="4" spans="1:17" s="29" customFormat="1">
      <c r="A4" s="160">
        <v>6.8586749432870367E-2</v>
      </c>
      <c r="B4" s="29" t="s">
        <v>113</v>
      </c>
      <c r="C4" s="29" t="s">
        <v>362</v>
      </c>
      <c r="E4" s="29" t="s">
        <v>58</v>
      </c>
      <c r="G4" s="29" t="s">
        <v>204</v>
      </c>
      <c r="I4" s="161">
        <v>46238.637430555558</v>
      </c>
      <c r="J4" s="29" t="s">
        <v>359</v>
      </c>
      <c r="K4" s="29" t="s">
        <v>274</v>
      </c>
      <c r="L4" s="162">
        <v>46173</v>
      </c>
      <c r="M4" s="29" t="s">
        <v>360</v>
      </c>
      <c r="N4" s="29" t="s">
        <v>291</v>
      </c>
      <c r="O4" s="29" t="s">
        <v>272</v>
      </c>
      <c r="P4" s="29" t="s">
        <v>361</v>
      </c>
      <c r="Q4" s="29" t="s">
        <v>273</v>
      </c>
    </row>
    <row r="5" spans="1:17" s="29" customFormat="1">
      <c r="A5" s="160">
        <v>6.848829501157408E-2</v>
      </c>
      <c r="B5" s="29" t="s">
        <v>113</v>
      </c>
      <c r="C5" s="29" t="s">
        <v>363</v>
      </c>
      <c r="E5" s="29" t="s">
        <v>58</v>
      </c>
      <c r="G5" s="29" t="s">
        <v>204</v>
      </c>
      <c r="I5" s="161">
        <v>46238.63726851852</v>
      </c>
      <c r="J5" s="29" t="s">
        <v>359</v>
      </c>
      <c r="K5" s="29" t="s">
        <v>274</v>
      </c>
      <c r="L5" s="162">
        <v>46173</v>
      </c>
      <c r="M5" s="29" t="s">
        <v>360</v>
      </c>
      <c r="N5" s="29" t="s">
        <v>291</v>
      </c>
      <c r="O5" s="29" t="s">
        <v>272</v>
      </c>
      <c r="P5" s="29" t="s">
        <v>361</v>
      </c>
      <c r="Q5" s="29" t="s">
        <v>273</v>
      </c>
    </row>
    <row r="6" spans="1:17" s="29" customFormat="1">
      <c r="A6" s="160">
        <v>6.8479140729166665E-2</v>
      </c>
      <c r="B6" s="29" t="s">
        <v>113</v>
      </c>
      <c r="E6" s="29" t="s">
        <v>228</v>
      </c>
      <c r="G6" s="29" t="s">
        <v>204</v>
      </c>
      <c r="I6" s="161">
        <v>46238.637002314812</v>
      </c>
      <c r="J6" s="29" t="s">
        <v>359</v>
      </c>
      <c r="K6" s="29" t="s">
        <v>274</v>
      </c>
      <c r="L6" s="162">
        <v>46173</v>
      </c>
      <c r="M6" s="29" t="s">
        <v>360</v>
      </c>
      <c r="N6" s="29" t="s">
        <v>291</v>
      </c>
      <c r="O6" s="29" t="s">
        <v>272</v>
      </c>
      <c r="P6" s="29" t="s">
        <v>361</v>
      </c>
      <c r="Q6" s="29" t="s">
        <v>273</v>
      </c>
    </row>
    <row r="7" spans="1:17" s="29" customFormat="1">
      <c r="A7" s="160">
        <v>6.8411501712962966E-2</v>
      </c>
      <c r="B7" s="29" t="s">
        <v>113</v>
      </c>
      <c r="E7" s="29" t="s">
        <v>119</v>
      </c>
      <c r="G7" s="29" t="s">
        <v>204</v>
      </c>
      <c r="I7" s="161">
        <v>46238.636944444443</v>
      </c>
      <c r="J7" s="29" t="s">
        <v>359</v>
      </c>
      <c r="K7" s="29" t="s">
        <v>274</v>
      </c>
      <c r="L7" s="162">
        <v>46173</v>
      </c>
      <c r="M7" s="29" t="s">
        <v>360</v>
      </c>
      <c r="N7" s="29" t="s">
        <v>291</v>
      </c>
      <c r="O7" s="29" t="s">
        <v>272</v>
      </c>
      <c r="P7" s="29" t="s">
        <v>361</v>
      </c>
      <c r="Q7" s="29" t="s">
        <v>273</v>
      </c>
    </row>
    <row r="8" spans="1:17" s="29" customFormat="1">
      <c r="A8" s="160">
        <v>6.8168771979166667E-2</v>
      </c>
      <c r="B8" s="29" t="s">
        <v>113</v>
      </c>
      <c r="E8" s="29" t="s">
        <v>135</v>
      </c>
      <c r="G8" s="29" t="s">
        <v>204</v>
      </c>
      <c r="I8" s="161">
        <v>46238.636608796296</v>
      </c>
      <c r="J8" s="29" t="s">
        <v>359</v>
      </c>
      <c r="K8" s="29" t="s">
        <v>274</v>
      </c>
      <c r="L8" s="162">
        <v>46173</v>
      </c>
      <c r="M8" s="29" t="s">
        <v>360</v>
      </c>
      <c r="N8" s="29" t="s">
        <v>291</v>
      </c>
      <c r="O8" s="29" t="s">
        <v>272</v>
      </c>
      <c r="P8" s="29" t="s">
        <v>361</v>
      </c>
      <c r="Q8" s="29" t="s">
        <v>273</v>
      </c>
    </row>
    <row r="9" spans="1:17" s="29" customFormat="1">
      <c r="A9" s="160">
        <v>6.7495336597222219E-2</v>
      </c>
      <c r="B9" s="29" t="s">
        <v>113</v>
      </c>
      <c r="E9" s="29" t="s">
        <v>88</v>
      </c>
      <c r="G9" s="29" t="s">
        <v>204</v>
      </c>
      <c r="I9" s="161">
        <v>46238.635925925926</v>
      </c>
      <c r="J9" s="29" t="s">
        <v>359</v>
      </c>
      <c r="K9" s="29" t="s">
        <v>274</v>
      </c>
      <c r="L9" s="162">
        <v>46173</v>
      </c>
      <c r="M9" s="29" t="s">
        <v>360</v>
      </c>
      <c r="N9" s="29" t="s">
        <v>291</v>
      </c>
      <c r="O9" s="29" t="s">
        <v>272</v>
      </c>
      <c r="P9" s="29" t="s">
        <v>361</v>
      </c>
      <c r="Q9" s="29" t="s">
        <v>273</v>
      </c>
    </row>
    <row r="10" spans="1:17" s="29" customFormat="1">
      <c r="A10" s="160">
        <v>6.7495336597222219E-2</v>
      </c>
      <c r="B10" s="29" t="s">
        <v>113</v>
      </c>
      <c r="C10" s="29" t="s">
        <v>83</v>
      </c>
      <c r="D10" s="29" t="s">
        <v>83</v>
      </c>
      <c r="E10" s="29" t="s">
        <v>254</v>
      </c>
      <c r="F10" s="29" t="s">
        <v>247</v>
      </c>
      <c r="G10" s="29" t="s">
        <v>204</v>
      </c>
      <c r="I10" s="161">
        <v>46238.635914351849</v>
      </c>
      <c r="J10" s="29" t="s">
        <v>359</v>
      </c>
      <c r="K10" s="29" t="s">
        <v>274</v>
      </c>
      <c r="L10" s="162">
        <v>46173</v>
      </c>
      <c r="M10" s="29" t="s">
        <v>360</v>
      </c>
      <c r="N10" s="29" t="s">
        <v>291</v>
      </c>
      <c r="O10" s="29" t="s">
        <v>272</v>
      </c>
      <c r="P10" s="29" t="s">
        <v>361</v>
      </c>
      <c r="Q10" s="29" t="s">
        <v>273</v>
      </c>
    </row>
    <row r="11" spans="1:17" s="29" customFormat="1">
      <c r="A11" s="160">
        <v>6.7379545995370368E-2</v>
      </c>
      <c r="B11" s="29" t="s">
        <v>113</v>
      </c>
      <c r="C11" s="29" t="s">
        <v>83</v>
      </c>
      <c r="E11" s="29" t="s">
        <v>127</v>
      </c>
      <c r="G11" s="29" t="s">
        <v>204</v>
      </c>
      <c r="I11" s="161">
        <v>46238.635706018518</v>
      </c>
      <c r="J11" s="29" t="s">
        <v>359</v>
      </c>
      <c r="K11" s="29" t="s">
        <v>274</v>
      </c>
      <c r="L11" s="162">
        <v>46173</v>
      </c>
      <c r="M11" s="29" t="s">
        <v>360</v>
      </c>
      <c r="N11" s="29" t="s">
        <v>291</v>
      </c>
      <c r="O11" s="29" t="s">
        <v>272</v>
      </c>
      <c r="P11" s="29" t="s">
        <v>361</v>
      </c>
      <c r="Q11" s="29" t="s">
        <v>273</v>
      </c>
    </row>
    <row r="12" spans="1:17" s="29" customFormat="1">
      <c r="A12" s="160">
        <v>6.7371704166666671E-2</v>
      </c>
      <c r="B12" s="29" t="s">
        <v>113</v>
      </c>
      <c r="C12" s="29" t="s">
        <v>364</v>
      </c>
      <c r="E12" s="29" t="s">
        <v>59</v>
      </c>
      <c r="G12" s="29" t="s">
        <v>204</v>
      </c>
      <c r="I12" s="161">
        <v>46238.635138888887</v>
      </c>
      <c r="J12" s="29" t="s">
        <v>359</v>
      </c>
      <c r="K12" s="29" t="s">
        <v>274</v>
      </c>
      <c r="L12" s="162">
        <v>46173</v>
      </c>
      <c r="M12" s="29" t="s">
        <v>360</v>
      </c>
      <c r="N12" s="29" t="s">
        <v>291</v>
      </c>
      <c r="O12" s="29" t="s">
        <v>272</v>
      </c>
      <c r="P12" s="29" t="s">
        <v>361</v>
      </c>
      <c r="Q12" s="29" t="s">
        <v>273</v>
      </c>
    </row>
    <row r="13" spans="1:17" s="29" customFormat="1">
      <c r="A13" s="160">
        <v>6.7328072395833327E-2</v>
      </c>
      <c r="B13" s="29" t="s">
        <v>113</v>
      </c>
      <c r="C13" s="29" t="s">
        <v>365</v>
      </c>
      <c r="E13" s="29" t="s">
        <v>127</v>
      </c>
      <c r="G13" s="29" t="s">
        <v>204</v>
      </c>
      <c r="I13" s="161">
        <v>46238.63490740741</v>
      </c>
      <c r="J13" s="29" t="s">
        <v>359</v>
      </c>
      <c r="K13" s="29" t="s">
        <v>274</v>
      </c>
      <c r="L13" s="162">
        <v>46173</v>
      </c>
      <c r="M13" s="29" t="s">
        <v>360</v>
      </c>
      <c r="N13" s="29" t="s">
        <v>291</v>
      </c>
      <c r="O13" s="29" t="s">
        <v>272</v>
      </c>
      <c r="P13" s="29" t="s">
        <v>361</v>
      </c>
      <c r="Q13" s="29" t="s">
        <v>273</v>
      </c>
    </row>
    <row r="14" spans="1:17" s="29" customFormat="1">
      <c r="A14" s="160">
        <v>6.7301901747685189E-2</v>
      </c>
      <c r="B14" s="29" t="s">
        <v>113</v>
      </c>
      <c r="C14" s="29" t="s">
        <v>366</v>
      </c>
      <c r="E14" s="29" t="s">
        <v>127</v>
      </c>
      <c r="G14" s="29" t="s">
        <v>204</v>
      </c>
      <c r="I14" s="161">
        <v>46238.633692129632</v>
      </c>
      <c r="J14" s="29" t="s">
        <v>359</v>
      </c>
      <c r="K14" s="29" t="s">
        <v>274</v>
      </c>
      <c r="L14" s="162">
        <v>46173</v>
      </c>
      <c r="M14" s="29" t="s">
        <v>360</v>
      </c>
      <c r="N14" s="29" t="s">
        <v>291</v>
      </c>
      <c r="O14" s="29" t="s">
        <v>272</v>
      </c>
      <c r="P14" s="29" t="s">
        <v>361</v>
      </c>
      <c r="Q14" s="29" t="s">
        <v>273</v>
      </c>
    </row>
    <row r="15" spans="1:17" s="29" customFormat="1">
      <c r="A15" s="160">
        <v>6.7263353368055556E-2</v>
      </c>
      <c r="B15" s="29" t="s">
        <v>113</v>
      </c>
      <c r="E15" s="29" t="s">
        <v>339</v>
      </c>
      <c r="G15" s="29" t="s">
        <v>204</v>
      </c>
      <c r="I15" s="161">
        <v>46238.633506944447</v>
      </c>
      <c r="J15" s="29" t="s">
        <v>359</v>
      </c>
      <c r="K15" s="29" t="s">
        <v>274</v>
      </c>
      <c r="L15" s="162">
        <v>46173</v>
      </c>
      <c r="M15" s="29" t="s">
        <v>360</v>
      </c>
      <c r="N15" s="29" t="s">
        <v>291</v>
      </c>
      <c r="O15" s="29" t="s">
        <v>272</v>
      </c>
      <c r="P15" s="29" t="s">
        <v>361</v>
      </c>
      <c r="Q15" s="29" t="s">
        <v>273</v>
      </c>
    </row>
    <row r="16" spans="1:17" s="29" customFormat="1">
      <c r="A16" s="160">
        <v>6.7051197847222216E-2</v>
      </c>
      <c r="B16" s="29" t="s">
        <v>113</v>
      </c>
      <c r="E16" s="29" t="s">
        <v>124</v>
      </c>
      <c r="G16" s="29" t="s">
        <v>204</v>
      </c>
      <c r="I16" s="161">
        <v>46238.633298611108</v>
      </c>
      <c r="J16" s="29" t="s">
        <v>359</v>
      </c>
      <c r="K16" s="29" t="s">
        <v>274</v>
      </c>
      <c r="L16" s="162">
        <v>46173</v>
      </c>
      <c r="M16" s="29" t="s">
        <v>360</v>
      </c>
      <c r="N16" s="29" t="s">
        <v>291</v>
      </c>
      <c r="O16" s="29" t="s">
        <v>272</v>
      </c>
      <c r="P16" s="29" t="s">
        <v>361</v>
      </c>
      <c r="Q16" s="29" t="s">
        <v>273</v>
      </c>
    </row>
    <row r="17" spans="1:17" s="29" customFormat="1">
      <c r="A17" s="160">
        <v>6.6747897719907412E-2</v>
      </c>
      <c r="B17" s="29" t="s">
        <v>113</v>
      </c>
      <c r="E17" s="29" t="s">
        <v>88</v>
      </c>
      <c r="G17" s="29" t="s">
        <v>204</v>
      </c>
      <c r="I17" s="161">
        <v>46238.632974537039</v>
      </c>
      <c r="J17" s="29" t="s">
        <v>359</v>
      </c>
      <c r="K17" s="29" t="s">
        <v>274</v>
      </c>
      <c r="L17" s="162">
        <v>46173</v>
      </c>
      <c r="M17" s="29" t="s">
        <v>360</v>
      </c>
      <c r="N17" s="29" t="s">
        <v>291</v>
      </c>
      <c r="O17" s="29" t="s">
        <v>272</v>
      </c>
      <c r="P17" s="29" t="s">
        <v>361</v>
      </c>
      <c r="Q17" s="29" t="s">
        <v>273</v>
      </c>
    </row>
    <row r="18" spans="1:17" s="29" customFormat="1">
      <c r="A18" s="160">
        <v>6.6638004502314815E-2</v>
      </c>
      <c r="B18" s="29" t="s">
        <v>113</v>
      </c>
      <c r="C18" s="29" t="s">
        <v>362</v>
      </c>
      <c r="E18" s="29" t="s">
        <v>223</v>
      </c>
      <c r="G18" s="29" t="s">
        <v>117</v>
      </c>
      <c r="I18" s="161">
        <v>46238.632615740738</v>
      </c>
      <c r="J18" s="29" t="s">
        <v>359</v>
      </c>
      <c r="K18" s="29" t="s">
        <v>274</v>
      </c>
      <c r="L18" s="162">
        <v>46173</v>
      </c>
      <c r="M18" s="29" t="s">
        <v>360</v>
      </c>
      <c r="N18" s="29" t="s">
        <v>291</v>
      </c>
      <c r="O18" s="29" t="s">
        <v>272</v>
      </c>
      <c r="P18" s="29" t="s">
        <v>361</v>
      </c>
      <c r="Q18" s="29" t="s">
        <v>273</v>
      </c>
    </row>
    <row r="19" spans="1:17" s="29" customFormat="1">
      <c r="A19" s="160">
        <v>6.6616211203703701E-2</v>
      </c>
      <c r="B19" s="29" t="s">
        <v>113</v>
      </c>
      <c r="E19" s="29" t="s">
        <v>127</v>
      </c>
      <c r="G19" s="29" t="s">
        <v>117</v>
      </c>
      <c r="I19" s="161">
        <v>46238.632372685184</v>
      </c>
      <c r="J19" s="29" t="s">
        <v>359</v>
      </c>
      <c r="K19" s="29" t="s">
        <v>274</v>
      </c>
      <c r="L19" s="162">
        <v>46173</v>
      </c>
      <c r="M19" s="29" t="s">
        <v>360</v>
      </c>
      <c r="N19" s="29" t="s">
        <v>291</v>
      </c>
      <c r="O19" s="29" t="s">
        <v>272</v>
      </c>
      <c r="P19" s="29" t="s">
        <v>361</v>
      </c>
      <c r="Q19" s="29" t="s">
        <v>273</v>
      </c>
    </row>
    <row r="20" spans="1:17" s="29" customFormat="1">
      <c r="A20" s="160">
        <v>6.6588570798611108E-2</v>
      </c>
      <c r="B20" s="29" t="s">
        <v>113</v>
      </c>
      <c r="E20" s="29" t="s">
        <v>127</v>
      </c>
      <c r="G20" s="29" t="s">
        <v>117</v>
      </c>
      <c r="I20" s="161">
        <v>46238.632337962961</v>
      </c>
      <c r="J20" s="29" t="s">
        <v>359</v>
      </c>
      <c r="K20" s="29" t="s">
        <v>274</v>
      </c>
      <c r="L20" s="162">
        <v>46173</v>
      </c>
      <c r="M20" s="29" t="s">
        <v>360</v>
      </c>
      <c r="N20" s="29" t="s">
        <v>291</v>
      </c>
      <c r="O20" s="29" t="s">
        <v>272</v>
      </c>
      <c r="P20" s="29" t="s">
        <v>361</v>
      </c>
      <c r="Q20" s="29" t="s">
        <v>273</v>
      </c>
    </row>
    <row r="21" spans="1:17" s="29" customFormat="1">
      <c r="A21" s="160">
        <v>6.6545803530092595E-2</v>
      </c>
      <c r="B21" s="29" t="s">
        <v>113</v>
      </c>
      <c r="E21" s="29" t="s">
        <v>333</v>
      </c>
      <c r="G21" s="29" t="s">
        <v>117</v>
      </c>
      <c r="I21" s="161">
        <v>46238.632291666669</v>
      </c>
      <c r="J21" s="29" t="s">
        <v>359</v>
      </c>
      <c r="K21" s="29" t="s">
        <v>274</v>
      </c>
      <c r="L21" s="162">
        <v>46173</v>
      </c>
      <c r="M21" s="29" t="s">
        <v>360</v>
      </c>
      <c r="N21" s="29" t="s">
        <v>291</v>
      </c>
      <c r="O21" s="29" t="s">
        <v>272</v>
      </c>
      <c r="P21" s="29" t="s">
        <v>361</v>
      </c>
      <c r="Q21" s="29" t="s">
        <v>273</v>
      </c>
    </row>
    <row r="22" spans="1:17" s="29" customFormat="1">
      <c r="A22" s="160">
        <v>6.639651469907408E-2</v>
      </c>
      <c r="B22" s="29" t="s">
        <v>113</v>
      </c>
      <c r="E22" s="29" t="s">
        <v>124</v>
      </c>
      <c r="G22" s="29" t="s">
        <v>117</v>
      </c>
      <c r="I22" s="161">
        <v>46238.632048611114</v>
      </c>
      <c r="J22" s="29" t="s">
        <v>359</v>
      </c>
      <c r="K22" s="29" t="s">
        <v>274</v>
      </c>
      <c r="L22" s="162">
        <v>46173</v>
      </c>
      <c r="M22" s="29" t="s">
        <v>360</v>
      </c>
      <c r="N22" s="29" t="s">
        <v>291</v>
      </c>
      <c r="O22" s="29" t="s">
        <v>272</v>
      </c>
      <c r="P22" s="29" t="s">
        <v>361</v>
      </c>
      <c r="Q22" s="29" t="s">
        <v>273</v>
      </c>
    </row>
    <row r="23" spans="1:17" s="29" customFormat="1">
      <c r="A23" s="160">
        <v>6.6163534872685184E-2</v>
      </c>
      <c r="B23" s="29" t="s">
        <v>113</v>
      </c>
      <c r="E23" s="29" t="s">
        <v>88</v>
      </c>
      <c r="G23" s="29" t="s">
        <v>204</v>
      </c>
      <c r="I23" s="161">
        <v>46238.631724537037</v>
      </c>
      <c r="J23" s="29" t="s">
        <v>359</v>
      </c>
      <c r="K23" s="29" t="s">
        <v>274</v>
      </c>
      <c r="L23" s="162">
        <v>46173</v>
      </c>
      <c r="M23" s="29" t="s">
        <v>360</v>
      </c>
      <c r="N23" s="29" t="s">
        <v>291</v>
      </c>
      <c r="O23" s="29" t="s">
        <v>272</v>
      </c>
      <c r="P23" s="29" t="s">
        <v>361</v>
      </c>
      <c r="Q23" s="29" t="s">
        <v>273</v>
      </c>
    </row>
    <row r="24" spans="1:17" s="29" customFormat="1">
      <c r="A24" s="160">
        <v>6.6092829826388894E-2</v>
      </c>
      <c r="B24" s="29" t="s">
        <v>113</v>
      </c>
      <c r="C24" s="29" t="s">
        <v>83</v>
      </c>
      <c r="E24" s="29" t="s">
        <v>223</v>
      </c>
      <c r="G24" s="29" t="s">
        <v>204</v>
      </c>
      <c r="I24" s="161">
        <v>46238.631712962961</v>
      </c>
      <c r="J24" s="29" t="s">
        <v>359</v>
      </c>
      <c r="K24" s="29" t="s">
        <v>274</v>
      </c>
      <c r="L24" s="162">
        <v>46173</v>
      </c>
      <c r="M24" s="29" t="s">
        <v>360</v>
      </c>
      <c r="N24" s="29" t="s">
        <v>291</v>
      </c>
      <c r="O24" s="29" t="s">
        <v>272</v>
      </c>
      <c r="P24" s="29" t="s">
        <v>361</v>
      </c>
      <c r="Q24" s="29" t="s">
        <v>273</v>
      </c>
    </row>
    <row r="25" spans="1:17" s="29" customFormat="1">
      <c r="A25" s="160">
        <v>6.5976014988425924E-2</v>
      </c>
      <c r="B25" s="29" t="s">
        <v>113</v>
      </c>
      <c r="E25" s="29" t="s">
        <v>127</v>
      </c>
      <c r="G25" s="29" t="s">
        <v>117</v>
      </c>
      <c r="I25" s="161">
        <v>46238.631539351853</v>
      </c>
      <c r="J25" s="29" t="s">
        <v>359</v>
      </c>
      <c r="K25" s="29" t="s">
        <v>274</v>
      </c>
      <c r="L25" s="162">
        <v>46173</v>
      </c>
      <c r="M25" s="29" t="s">
        <v>360</v>
      </c>
      <c r="N25" s="29" t="s">
        <v>291</v>
      </c>
      <c r="O25" s="29" t="s">
        <v>272</v>
      </c>
      <c r="P25" s="29" t="s">
        <v>361</v>
      </c>
      <c r="Q25" s="29" t="s">
        <v>273</v>
      </c>
    </row>
    <row r="26" spans="1:17" s="29" customFormat="1">
      <c r="A26" s="160">
        <v>6.5920531053240736E-2</v>
      </c>
      <c r="B26" s="29" t="s">
        <v>113</v>
      </c>
      <c r="E26" s="29" t="s">
        <v>127</v>
      </c>
      <c r="G26" s="29" t="s">
        <v>117</v>
      </c>
      <c r="I26" s="161">
        <v>46238.631469907406</v>
      </c>
      <c r="J26" s="29" t="s">
        <v>359</v>
      </c>
      <c r="K26" s="29" t="s">
        <v>274</v>
      </c>
      <c r="L26" s="162">
        <v>46173</v>
      </c>
      <c r="M26" s="29" t="s">
        <v>360</v>
      </c>
      <c r="N26" s="29" t="s">
        <v>291</v>
      </c>
      <c r="O26" s="29" t="s">
        <v>272</v>
      </c>
      <c r="P26" s="29" t="s">
        <v>361</v>
      </c>
      <c r="Q26" s="29" t="s">
        <v>273</v>
      </c>
    </row>
    <row r="27" spans="1:17" s="29" customFormat="1">
      <c r="A27" s="160">
        <v>6.5868235567129632E-2</v>
      </c>
      <c r="B27" s="29" t="s">
        <v>113</v>
      </c>
      <c r="E27" s="29" t="s">
        <v>226</v>
      </c>
      <c r="G27" s="29" t="s">
        <v>117</v>
      </c>
      <c r="I27" s="161">
        <v>46238.63140046296</v>
      </c>
      <c r="J27" s="29" t="s">
        <v>359</v>
      </c>
      <c r="K27" s="29" t="s">
        <v>274</v>
      </c>
      <c r="L27" s="162">
        <v>46173</v>
      </c>
      <c r="M27" s="29" t="s">
        <v>360</v>
      </c>
      <c r="N27" s="29" t="s">
        <v>291</v>
      </c>
      <c r="O27" s="29" t="s">
        <v>272</v>
      </c>
      <c r="P27" s="29" t="s">
        <v>361</v>
      </c>
      <c r="Q27" s="29" t="s">
        <v>273</v>
      </c>
    </row>
    <row r="28" spans="1:17" s="29" customFormat="1">
      <c r="A28" s="160">
        <v>6.584027195601852E-2</v>
      </c>
      <c r="B28" s="29" t="s">
        <v>113</v>
      </c>
      <c r="E28" s="29" t="s">
        <v>224</v>
      </c>
      <c r="G28" s="29" t="s">
        <v>204</v>
      </c>
      <c r="I28" s="161">
        <v>46238.631365740737</v>
      </c>
      <c r="J28" s="29" t="s">
        <v>359</v>
      </c>
      <c r="K28" s="29" t="s">
        <v>274</v>
      </c>
      <c r="L28" s="162">
        <v>46173</v>
      </c>
      <c r="M28" s="29" t="s">
        <v>360</v>
      </c>
      <c r="N28" s="29" t="s">
        <v>291</v>
      </c>
      <c r="O28" s="29" t="s">
        <v>272</v>
      </c>
      <c r="P28" s="29" t="s">
        <v>361</v>
      </c>
      <c r="Q28" s="29" t="s">
        <v>273</v>
      </c>
    </row>
    <row r="29" spans="1:17" s="29" customFormat="1">
      <c r="A29" s="160">
        <v>6.577575282407408E-2</v>
      </c>
      <c r="B29" s="29" t="s">
        <v>113</v>
      </c>
      <c r="E29" s="29" t="s">
        <v>228</v>
      </c>
      <c r="G29" s="29" t="s">
        <v>204</v>
      </c>
      <c r="I29" s="161">
        <v>46238.631284722222</v>
      </c>
      <c r="J29" s="29" t="s">
        <v>359</v>
      </c>
      <c r="K29" s="29" t="s">
        <v>274</v>
      </c>
      <c r="L29" s="162">
        <v>46173</v>
      </c>
      <c r="M29" s="29" t="s">
        <v>360</v>
      </c>
      <c r="N29" s="29" t="s">
        <v>291</v>
      </c>
      <c r="O29" s="29" t="s">
        <v>272</v>
      </c>
      <c r="P29" s="29" t="s">
        <v>361</v>
      </c>
      <c r="Q29" s="29" t="s">
        <v>273</v>
      </c>
    </row>
    <row r="30" spans="1:17" s="29" customFormat="1">
      <c r="A30" s="160">
        <v>6.577575282407408E-2</v>
      </c>
      <c r="B30" s="29" t="s">
        <v>113</v>
      </c>
      <c r="E30" s="29" t="s">
        <v>224</v>
      </c>
      <c r="G30" s="29" t="s">
        <v>117</v>
      </c>
      <c r="I30" s="161">
        <v>46238.631273148145</v>
      </c>
      <c r="J30" s="29" t="s">
        <v>359</v>
      </c>
      <c r="K30" s="29" t="s">
        <v>274</v>
      </c>
      <c r="L30" s="162">
        <v>46173</v>
      </c>
      <c r="M30" s="29" t="s">
        <v>360</v>
      </c>
      <c r="N30" s="29" t="s">
        <v>291</v>
      </c>
      <c r="O30" s="29" t="s">
        <v>272</v>
      </c>
      <c r="P30" s="29" t="s">
        <v>361</v>
      </c>
      <c r="Q30" s="29" t="s">
        <v>273</v>
      </c>
    </row>
    <row r="31" spans="1:17" s="29" customFormat="1">
      <c r="A31" s="160">
        <v>6.4976055150462966E-2</v>
      </c>
      <c r="B31" s="29" t="s">
        <v>113</v>
      </c>
      <c r="E31" s="29" t="s">
        <v>88</v>
      </c>
      <c r="G31" s="29" t="s">
        <v>117</v>
      </c>
      <c r="I31" s="161">
        <v>46238.630358796298</v>
      </c>
      <c r="J31" s="29" t="s">
        <v>359</v>
      </c>
      <c r="K31" s="29" t="s">
        <v>274</v>
      </c>
      <c r="L31" s="162">
        <v>46173</v>
      </c>
      <c r="M31" s="29" t="s">
        <v>360</v>
      </c>
      <c r="N31" s="29" t="s">
        <v>291</v>
      </c>
      <c r="O31" s="29" t="s">
        <v>272</v>
      </c>
      <c r="P31" s="29" t="s">
        <v>361</v>
      </c>
      <c r="Q31" s="29" t="s">
        <v>273</v>
      </c>
    </row>
    <row r="32" spans="1:17" s="29" customFormat="1">
      <c r="A32" s="160">
        <v>6.4976055150462966E-2</v>
      </c>
      <c r="B32" s="29" t="s">
        <v>113</v>
      </c>
      <c r="E32" s="29" t="s">
        <v>253</v>
      </c>
      <c r="F32" s="29" t="s">
        <v>247</v>
      </c>
      <c r="G32" s="29" t="s">
        <v>117</v>
      </c>
      <c r="I32" s="161">
        <v>46238.630347222221</v>
      </c>
      <c r="J32" s="29" t="s">
        <v>359</v>
      </c>
      <c r="K32" s="29" t="s">
        <v>274</v>
      </c>
      <c r="L32" s="162">
        <v>46173</v>
      </c>
      <c r="M32" s="29" t="s">
        <v>360</v>
      </c>
      <c r="N32" s="29" t="s">
        <v>291</v>
      </c>
      <c r="O32" s="29" t="s">
        <v>272</v>
      </c>
      <c r="P32" s="29" t="s">
        <v>361</v>
      </c>
      <c r="Q32" s="29" t="s">
        <v>273</v>
      </c>
    </row>
    <row r="33" spans="1:17" s="29" customFormat="1">
      <c r="A33" s="160">
        <v>6.4842962013888894E-2</v>
      </c>
      <c r="B33" s="29" t="s">
        <v>113</v>
      </c>
      <c r="C33" s="29" t="s">
        <v>367</v>
      </c>
      <c r="E33" s="29" t="s">
        <v>58</v>
      </c>
      <c r="G33" s="29" t="s">
        <v>204</v>
      </c>
      <c r="I33" s="161">
        <v>46238.630127314813</v>
      </c>
      <c r="J33" s="29" t="s">
        <v>359</v>
      </c>
      <c r="K33" s="29" t="s">
        <v>274</v>
      </c>
      <c r="L33" s="162">
        <v>46173</v>
      </c>
      <c r="M33" s="29" t="s">
        <v>360</v>
      </c>
      <c r="N33" s="29" t="s">
        <v>291</v>
      </c>
      <c r="O33" s="29" t="s">
        <v>272</v>
      </c>
      <c r="P33" s="29" t="s">
        <v>361</v>
      </c>
      <c r="Q33" s="29" t="s">
        <v>273</v>
      </c>
    </row>
    <row r="34" spans="1:17" s="29" customFormat="1">
      <c r="A34" s="160">
        <v>6.4761878958333324E-2</v>
      </c>
      <c r="B34" s="29" t="s">
        <v>113</v>
      </c>
      <c r="C34" s="29" t="s">
        <v>83</v>
      </c>
      <c r="E34" s="29" t="s">
        <v>127</v>
      </c>
      <c r="G34" s="29" t="s">
        <v>204</v>
      </c>
      <c r="I34" s="161">
        <v>46238.629942129628</v>
      </c>
      <c r="J34" s="29" t="s">
        <v>359</v>
      </c>
      <c r="K34" s="29" t="s">
        <v>274</v>
      </c>
      <c r="L34" s="162">
        <v>46173</v>
      </c>
      <c r="M34" s="29" t="s">
        <v>360</v>
      </c>
      <c r="N34" s="29" t="s">
        <v>291</v>
      </c>
      <c r="O34" s="29" t="s">
        <v>272</v>
      </c>
      <c r="P34" s="29" t="s">
        <v>361</v>
      </c>
      <c r="Q34" s="29" t="s">
        <v>273</v>
      </c>
    </row>
    <row r="35" spans="1:17" s="29" customFormat="1">
      <c r="A35" s="160">
        <v>6.4721415069444441E-2</v>
      </c>
      <c r="B35" s="29" t="s">
        <v>113</v>
      </c>
      <c r="C35" s="29" t="s">
        <v>364</v>
      </c>
      <c r="E35" s="29" t="s">
        <v>127</v>
      </c>
      <c r="G35" s="29" t="s">
        <v>204</v>
      </c>
      <c r="I35" s="161">
        <v>46238.629872685182</v>
      </c>
      <c r="J35" s="29" t="s">
        <v>359</v>
      </c>
      <c r="K35" s="29" t="s">
        <v>274</v>
      </c>
      <c r="L35" s="162">
        <v>46173</v>
      </c>
      <c r="M35" s="29" t="s">
        <v>360</v>
      </c>
      <c r="N35" s="29" t="s">
        <v>291</v>
      </c>
      <c r="O35" s="29" t="s">
        <v>272</v>
      </c>
      <c r="P35" s="29" t="s">
        <v>361</v>
      </c>
      <c r="Q35" s="29" t="s">
        <v>273</v>
      </c>
    </row>
    <row r="36" spans="1:17" s="29" customFormat="1">
      <c r="A36" s="160">
        <v>6.4631132291666671E-2</v>
      </c>
      <c r="B36" s="29" t="s">
        <v>113</v>
      </c>
      <c r="C36" s="29" t="s">
        <v>368</v>
      </c>
      <c r="E36" s="29" t="s">
        <v>127</v>
      </c>
      <c r="G36" s="29" t="s">
        <v>204</v>
      </c>
      <c r="I36" s="161">
        <v>46238.629733796297</v>
      </c>
      <c r="J36" s="29" t="s">
        <v>359</v>
      </c>
      <c r="K36" s="29" t="s">
        <v>274</v>
      </c>
      <c r="L36" s="162">
        <v>46173</v>
      </c>
      <c r="M36" s="29" t="s">
        <v>360</v>
      </c>
      <c r="N36" s="29" t="s">
        <v>291</v>
      </c>
      <c r="O36" s="29" t="s">
        <v>272</v>
      </c>
      <c r="P36" s="29" t="s">
        <v>361</v>
      </c>
      <c r="Q36" s="29" t="s">
        <v>273</v>
      </c>
    </row>
    <row r="37" spans="1:17" s="29" customFormat="1">
      <c r="A37" s="160">
        <v>6.4491369791666669E-2</v>
      </c>
      <c r="B37" s="29" t="s">
        <v>113</v>
      </c>
      <c r="C37" s="29" t="s">
        <v>362</v>
      </c>
      <c r="E37" s="29" t="s">
        <v>127</v>
      </c>
      <c r="G37" s="29" t="s">
        <v>204</v>
      </c>
      <c r="I37" s="161">
        <v>46238.629467592589</v>
      </c>
      <c r="J37" s="29" t="s">
        <v>359</v>
      </c>
      <c r="K37" s="29" t="s">
        <v>274</v>
      </c>
      <c r="L37" s="162">
        <v>46173</v>
      </c>
      <c r="M37" s="29" t="s">
        <v>360</v>
      </c>
      <c r="N37" s="29" t="s">
        <v>291</v>
      </c>
      <c r="O37" s="29" t="s">
        <v>272</v>
      </c>
      <c r="P37" s="29" t="s">
        <v>361</v>
      </c>
      <c r="Q37" s="29" t="s">
        <v>273</v>
      </c>
    </row>
    <row r="38" spans="1:17" s="29" customFormat="1">
      <c r="A38" s="160">
        <v>6.44855617824074E-2</v>
      </c>
      <c r="B38" s="29" t="s">
        <v>113</v>
      </c>
      <c r="C38" s="29" t="s">
        <v>363</v>
      </c>
      <c r="E38" s="29" t="s">
        <v>127</v>
      </c>
      <c r="G38" s="29" t="s">
        <v>204</v>
      </c>
      <c r="I38" s="161">
        <v>46238.629386574074</v>
      </c>
      <c r="J38" s="29" t="s">
        <v>359</v>
      </c>
      <c r="K38" s="29" t="s">
        <v>274</v>
      </c>
      <c r="L38" s="162">
        <v>46173</v>
      </c>
      <c r="M38" s="29" t="s">
        <v>360</v>
      </c>
      <c r="N38" s="29" t="s">
        <v>291</v>
      </c>
      <c r="O38" s="29" t="s">
        <v>272</v>
      </c>
      <c r="P38" s="29" t="s">
        <v>361</v>
      </c>
      <c r="Q38" s="29" t="s">
        <v>273</v>
      </c>
    </row>
    <row r="39" spans="1:17" s="29" customFormat="1">
      <c r="A39" s="160">
        <v>6.4364031030092597E-2</v>
      </c>
      <c r="B39" s="29" t="s">
        <v>113</v>
      </c>
      <c r="C39" s="29" t="s">
        <v>83</v>
      </c>
      <c r="E39" s="29" t="s">
        <v>127</v>
      </c>
      <c r="G39" s="29" t="s">
        <v>204</v>
      </c>
      <c r="I39" s="161">
        <v>46238.629178240742</v>
      </c>
      <c r="J39" s="29" t="s">
        <v>359</v>
      </c>
      <c r="K39" s="29" t="s">
        <v>274</v>
      </c>
      <c r="L39" s="162">
        <v>46173</v>
      </c>
      <c r="M39" s="29" t="s">
        <v>360</v>
      </c>
      <c r="N39" s="29" t="s">
        <v>291</v>
      </c>
      <c r="O39" s="29" t="s">
        <v>272</v>
      </c>
      <c r="P39" s="29" t="s">
        <v>361</v>
      </c>
      <c r="Q39" s="29" t="s">
        <v>273</v>
      </c>
    </row>
    <row r="40" spans="1:17" s="29" customFormat="1">
      <c r="A40" s="160">
        <v>6.4364031030092597E-2</v>
      </c>
      <c r="B40" s="29" t="s">
        <v>113</v>
      </c>
      <c r="C40" s="29" t="s">
        <v>83</v>
      </c>
      <c r="E40" s="29" t="s">
        <v>127</v>
      </c>
      <c r="G40" s="29" t="s">
        <v>204</v>
      </c>
      <c r="I40" s="161">
        <v>46238.629131944443</v>
      </c>
      <c r="J40" s="29" t="s">
        <v>359</v>
      </c>
      <c r="K40" s="29" t="s">
        <v>274</v>
      </c>
      <c r="L40" s="162">
        <v>46173</v>
      </c>
      <c r="M40" s="29" t="s">
        <v>360</v>
      </c>
      <c r="N40" s="29" t="s">
        <v>291</v>
      </c>
      <c r="O40" s="29" t="s">
        <v>272</v>
      </c>
      <c r="P40" s="29" t="s">
        <v>361</v>
      </c>
      <c r="Q40" s="29" t="s">
        <v>273</v>
      </c>
    </row>
    <row r="41" spans="1:17" s="29" customFormat="1">
      <c r="A41" s="160">
        <v>6.4259868136574069E-2</v>
      </c>
      <c r="B41" s="29" t="s">
        <v>113</v>
      </c>
      <c r="C41" s="29" t="s">
        <v>83</v>
      </c>
      <c r="E41" s="29" t="s">
        <v>127</v>
      </c>
      <c r="G41" s="29" t="s">
        <v>204</v>
      </c>
      <c r="I41" s="161">
        <v>46238.628946759258</v>
      </c>
      <c r="J41" s="29" t="s">
        <v>359</v>
      </c>
      <c r="K41" s="29" t="s">
        <v>274</v>
      </c>
      <c r="L41" s="162">
        <v>46173</v>
      </c>
      <c r="M41" s="29" t="s">
        <v>360</v>
      </c>
      <c r="N41" s="29" t="s">
        <v>291</v>
      </c>
      <c r="O41" s="29" t="s">
        <v>272</v>
      </c>
      <c r="P41" s="29" t="s">
        <v>361</v>
      </c>
      <c r="Q41" s="29" t="s">
        <v>273</v>
      </c>
    </row>
    <row r="42" spans="1:17" s="29" customFormat="1">
      <c r="A42" s="160">
        <v>6.4209489004629625E-2</v>
      </c>
      <c r="B42" s="29" t="s">
        <v>113</v>
      </c>
      <c r="C42" s="29" t="s">
        <v>367</v>
      </c>
      <c r="E42" s="29" t="s">
        <v>130</v>
      </c>
      <c r="G42" s="29" t="s">
        <v>117</v>
      </c>
      <c r="I42" s="161">
        <v>46238.628518518519</v>
      </c>
      <c r="J42" s="29" t="s">
        <v>359</v>
      </c>
      <c r="K42" s="29" t="s">
        <v>274</v>
      </c>
      <c r="L42" s="162">
        <v>46173</v>
      </c>
      <c r="M42" s="29" t="s">
        <v>360</v>
      </c>
      <c r="N42" s="29" t="s">
        <v>291</v>
      </c>
      <c r="O42" s="29" t="s">
        <v>272</v>
      </c>
      <c r="P42" s="29" t="s">
        <v>361</v>
      </c>
      <c r="Q42" s="29" t="s">
        <v>273</v>
      </c>
    </row>
    <row r="43" spans="1:17" s="29" customFormat="1">
      <c r="A43" s="160">
        <v>6.4059648032407407E-2</v>
      </c>
      <c r="B43" s="29" t="s">
        <v>113</v>
      </c>
      <c r="E43" s="29" t="s">
        <v>123</v>
      </c>
      <c r="G43" s="29" t="s">
        <v>117</v>
      </c>
      <c r="I43" s="161">
        <v>46238.628206018519</v>
      </c>
      <c r="J43" s="29" t="s">
        <v>359</v>
      </c>
      <c r="K43" s="29" t="s">
        <v>274</v>
      </c>
      <c r="L43" s="162">
        <v>46173</v>
      </c>
      <c r="M43" s="29" t="s">
        <v>360</v>
      </c>
      <c r="N43" s="29" t="s">
        <v>291</v>
      </c>
      <c r="O43" s="29" t="s">
        <v>272</v>
      </c>
      <c r="P43" s="29" t="s">
        <v>361</v>
      </c>
      <c r="Q43" s="29" t="s">
        <v>273</v>
      </c>
    </row>
    <row r="44" spans="1:17" s="29" customFormat="1">
      <c r="A44" s="160">
        <v>6.3786021006944443E-2</v>
      </c>
      <c r="B44" s="29" t="s">
        <v>113</v>
      </c>
      <c r="E44" s="29" t="s">
        <v>88</v>
      </c>
      <c r="G44" s="29" t="s">
        <v>117</v>
      </c>
      <c r="I44" s="161">
        <v>46238.627928240741</v>
      </c>
      <c r="J44" s="29" t="s">
        <v>359</v>
      </c>
      <c r="K44" s="29" t="s">
        <v>274</v>
      </c>
      <c r="L44" s="162">
        <v>46173</v>
      </c>
      <c r="M44" s="29" t="s">
        <v>360</v>
      </c>
      <c r="N44" s="29" t="s">
        <v>291</v>
      </c>
      <c r="O44" s="29" t="s">
        <v>272</v>
      </c>
      <c r="P44" s="29" t="s">
        <v>361</v>
      </c>
      <c r="Q44" s="29" t="s">
        <v>273</v>
      </c>
    </row>
    <row r="45" spans="1:17" s="29" customFormat="1">
      <c r="A45" s="160">
        <v>6.361382512731481E-2</v>
      </c>
      <c r="B45" s="29" t="s">
        <v>113</v>
      </c>
      <c r="E45" s="29" t="s">
        <v>253</v>
      </c>
      <c r="F45" s="29" t="s">
        <v>247</v>
      </c>
      <c r="G45" s="29" t="s">
        <v>117</v>
      </c>
      <c r="I45" s="161">
        <v>46238.627800925926</v>
      </c>
      <c r="J45" s="29" t="s">
        <v>359</v>
      </c>
      <c r="K45" s="29" t="s">
        <v>274</v>
      </c>
      <c r="L45" s="162">
        <v>46173</v>
      </c>
      <c r="M45" s="29" t="s">
        <v>360</v>
      </c>
      <c r="N45" s="29" t="s">
        <v>291</v>
      </c>
      <c r="O45" s="29" t="s">
        <v>272</v>
      </c>
      <c r="P45" s="29" t="s">
        <v>361</v>
      </c>
      <c r="Q45" s="29" t="s">
        <v>273</v>
      </c>
    </row>
    <row r="46" spans="1:17" s="29" customFormat="1">
      <c r="A46" s="160">
        <v>6.361382512731481E-2</v>
      </c>
      <c r="B46" s="29" t="s">
        <v>113</v>
      </c>
      <c r="E46" s="29" t="s">
        <v>88</v>
      </c>
      <c r="G46" s="29" t="s">
        <v>204</v>
      </c>
      <c r="I46" s="161">
        <v>46238.62771990741</v>
      </c>
      <c r="J46" s="29" t="s">
        <v>359</v>
      </c>
      <c r="K46" s="29" t="s">
        <v>274</v>
      </c>
      <c r="L46" s="162">
        <v>46173</v>
      </c>
      <c r="M46" s="29" t="s">
        <v>360</v>
      </c>
      <c r="N46" s="29" t="s">
        <v>291</v>
      </c>
      <c r="O46" s="29" t="s">
        <v>272</v>
      </c>
      <c r="P46" s="29" t="s">
        <v>361</v>
      </c>
      <c r="Q46" s="29" t="s">
        <v>273</v>
      </c>
    </row>
    <row r="47" spans="1:17" s="29" customFormat="1">
      <c r="A47" s="160">
        <v>6.3568781840277783E-2</v>
      </c>
      <c r="B47" s="29" t="s">
        <v>113</v>
      </c>
      <c r="C47" s="29" t="s">
        <v>369</v>
      </c>
      <c r="E47" s="29" t="s">
        <v>127</v>
      </c>
      <c r="G47" s="29" t="s">
        <v>204</v>
      </c>
      <c r="I47" s="161">
        <v>46238.627557870372</v>
      </c>
      <c r="J47" s="29" t="s">
        <v>359</v>
      </c>
      <c r="K47" s="29" t="s">
        <v>274</v>
      </c>
      <c r="L47" s="162">
        <v>46173</v>
      </c>
      <c r="M47" s="29" t="s">
        <v>360</v>
      </c>
      <c r="N47" s="29" t="s">
        <v>291</v>
      </c>
      <c r="O47" s="29" t="s">
        <v>272</v>
      </c>
      <c r="P47" s="29" t="s">
        <v>361</v>
      </c>
      <c r="Q47" s="29" t="s">
        <v>273</v>
      </c>
    </row>
    <row r="48" spans="1:17" s="29" customFormat="1">
      <c r="A48" s="160">
        <v>6.3523888506944445E-2</v>
      </c>
      <c r="B48" s="29" t="s">
        <v>113</v>
      </c>
      <c r="C48" s="29" t="s">
        <v>367</v>
      </c>
      <c r="E48" s="29" t="s">
        <v>59</v>
      </c>
      <c r="G48" s="29" t="s">
        <v>204</v>
      </c>
      <c r="I48" s="161">
        <v>46238.627233796295</v>
      </c>
      <c r="J48" s="29" t="s">
        <v>359</v>
      </c>
      <c r="K48" s="29" t="s">
        <v>274</v>
      </c>
      <c r="L48" s="162">
        <v>46173</v>
      </c>
      <c r="M48" s="29" t="s">
        <v>360</v>
      </c>
      <c r="N48" s="29" t="s">
        <v>291</v>
      </c>
      <c r="O48" s="29" t="s">
        <v>272</v>
      </c>
      <c r="P48" s="29" t="s">
        <v>361</v>
      </c>
      <c r="Q48" s="29" t="s">
        <v>273</v>
      </c>
    </row>
    <row r="49" spans="1:17" s="29" customFormat="1">
      <c r="A49" s="160">
        <v>6.3476890000000008E-2</v>
      </c>
      <c r="B49" s="29" t="s">
        <v>113</v>
      </c>
      <c r="E49" s="29" t="s">
        <v>228</v>
      </c>
      <c r="G49" s="29" t="s">
        <v>204</v>
      </c>
      <c r="I49" s="161">
        <v>46238.626944444448</v>
      </c>
      <c r="J49" s="29" t="s">
        <v>359</v>
      </c>
      <c r="K49" s="29" t="s">
        <v>274</v>
      </c>
      <c r="L49" s="162">
        <v>46173</v>
      </c>
      <c r="M49" s="29" t="s">
        <v>360</v>
      </c>
      <c r="N49" s="29" t="s">
        <v>291</v>
      </c>
      <c r="O49" s="29" t="s">
        <v>272</v>
      </c>
      <c r="P49" s="29" t="s">
        <v>361</v>
      </c>
      <c r="Q49" s="29" t="s">
        <v>273</v>
      </c>
    </row>
    <row r="50" spans="1:17" s="29" customFormat="1">
      <c r="A50" s="160">
        <v>6.337848886574074E-2</v>
      </c>
      <c r="B50" s="29" t="s">
        <v>113</v>
      </c>
      <c r="E50" s="29" t="s">
        <v>119</v>
      </c>
      <c r="G50" s="29" t="s">
        <v>117</v>
      </c>
      <c r="I50" s="161">
        <v>46238.626851851855</v>
      </c>
      <c r="J50" s="29" t="s">
        <v>359</v>
      </c>
      <c r="K50" s="29" t="s">
        <v>274</v>
      </c>
      <c r="L50" s="162">
        <v>46173</v>
      </c>
      <c r="M50" s="29" t="s">
        <v>360</v>
      </c>
      <c r="N50" s="29" t="s">
        <v>291</v>
      </c>
      <c r="O50" s="29" t="s">
        <v>272</v>
      </c>
      <c r="P50" s="29" t="s">
        <v>361</v>
      </c>
      <c r="Q50" s="29" t="s">
        <v>273</v>
      </c>
    </row>
    <row r="51" spans="1:17" s="29" customFormat="1">
      <c r="A51" s="160">
        <v>6.3031123773148151E-2</v>
      </c>
      <c r="B51" s="29" t="s">
        <v>113</v>
      </c>
      <c r="E51" s="29" t="s">
        <v>88</v>
      </c>
      <c r="G51" s="29" t="s">
        <v>117</v>
      </c>
      <c r="I51" s="161">
        <v>46238.626504629632</v>
      </c>
      <c r="J51" s="29" t="s">
        <v>359</v>
      </c>
      <c r="K51" s="29" t="s">
        <v>274</v>
      </c>
      <c r="L51" s="162">
        <v>46173</v>
      </c>
      <c r="M51" s="29" t="s">
        <v>360</v>
      </c>
      <c r="N51" s="29" t="s">
        <v>291</v>
      </c>
      <c r="O51" s="29" t="s">
        <v>272</v>
      </c>
      <c r="P51" s="29" t="s">
        <v>361</v>
      </c>
      <c r="Q51" s="29" t="s">
        <v>273</v>
      </c>
    </row>
    <row r="52" spans="1:17" s="29" customFormat="1">
      <c r="A52" s="160">
        <v>6.2878193368055557E-2</v>
      </c>
      <c r="B52" s="29" t="s">
        <v>113</v>
      </c>
      <c r="C52" s="29" t="s">
        <v>83</v>
      </c>
      <c r="E52" s="29" t="s">
        <v>134</v>
      </c>
      <c r="G52" s="29" t="s">
        <v>117</v>
      </c>
      <c r="I52" s="161">
        <v>46238.626493055555</v>
      </c>
      <c r="J52" s="29" t="s">
        <v>359</v>
      </c>
      <c r="K52" s="29" t="s">
        <v>274</v>
      </c>
      <c r="L52" s="162">
        <v>46173</v>
      </c>
      <c r="M52" s="29" t="s">
        <v>360</v>
      </c>
      <c r="N52" s="29" t="s">
        <v>291</v>
      </c>
      <c r="O52" s="29" t="s">
        <v>272</v>
      </c>
      <c r="P52" s="29" t="s">
        <v>361</v>
      </c>
      <c r="Q52" s="29" t="s">
        <v>273</v>
      </c>
    </row>
    <row r="53" spans="1:17" s="29" customFormat="1">
      <c r="A53" s="160">
        <v>6.2430212939814822E-2</v>
      </c>
      <c r="B53" s="29" t="s">
        <v>113</v>
      </c>
      <c r="E53" s="29" t="s">
        <v>88</v>
      </c>
      <c r="G53" s="29" t="s">
        <v>117</v>
      </c>
      <c r="I53" s="161">
        <v>46238.626238425924</v>
      </c>
      <c r="J53" s="29" t="s">
        <v>359</v>
      </c>
      <c r="K53" s="29" t="s">
        <v>274</v>
      </c>
      <c r="L53" s="162">
        <v>46173</v>
      </c>
      <c r="M53" s="29" t="s">
        <v>360</v>
      </c>
      <c r="N53" s="29" t="s">
        <v>291</v>
      </c>
      <c r="O53" s="29" t="s">
        <v>272</v>
      </c>
      <c r="P53" s="29" t="s">
        <v>361</v>
      </c>
      <c r="Q53" s="29" t="s">
        <v>273</v>
      </c>
    </row>
    <row r="54" spans="1:17" s="29" customFormat="1">
      <c r="A54" s="160">
        <v>6.2391533958333335E-2</v>
      </c>
      <c r="B54" s="29" t="s">
        <v>113</v>
      </c>
      <c r="C54" s="29" t="s">
        <v>370</v>
      </c>
      <c r="E54" s="29" t="s">
        <v>122</v>
      </c>
      <c r="G54" s="29" t="s">
        <v>117</v>
      </c>
      <c r="I54" s="161">
        <v>46238.62605324074</v>
      </c>
      <c r="J54" s="29" t="s">
        <v>359</v>
      </c>
      <c r="K54" s="29" t="s">
        <v>274</v>
      </c>
      <c r="L54" s="162">
        <v>46173</v>
      </c>
      <c r="M54" s="29" t="s">
        <v>360</v>
      </c>
      <c r="N54" s="29" t="s">
        <v>291</v>
      </c>
      <c r="O54" s="29" t="s">
        <v>272</v>
      </c>
      <c r="P54" s="29" t="s">
        <v>361</v>
      </c>
      <c r="Q54" s="29" t="s">
        <v>273</v>
      </c>
    </row>
    <row r="55" spans="1:17" s="29" customFormat="1">
      <c r="A55" s="160">
        <v>6.2345186261574079E-2</v>
      </c>
      <c r="B55" s="29" t="s">
        <v>113</v>
      </c>
      <c r="E55" s="29" t="s">
        <v>59</v>
      </c>
      <c r="G55" s="29" t="s">
        <v>117</v>
      </c>
      <c r="I55" s="161">
        <v>46238.625601851854</v>
      </c>
      <c r="J55" s="29" t="s">
        <v>359</v>
      </c>
      <c r="K55" s="29" t="s">
        <v>274</v>
      </c>
      <c r="L55" s="162">
        <v>46173</v>
      </c>
      <c r="M55" s="29" t="s">
        <v>360</v>
      </c>
      <c r="N55" s="29" t="s">
        <v>291</v>
      </c>
      <c r="O55" s="29" t="s">
        <v>272</v>
      </c>
      <c r="P55" s="29" t="s">
        <v>361</v>
      </c>
      <c r="Q55" s="29" t="s">
        <v>273</v>
      </c>
    </row>
    <row r="56" spans="1:17" s="29" customFormat="1">
      <c r="A56" s="160">
        <v>6.2299308472222217E-2</v>
      </c>
      <c r="B56" s="29" t="s">
        <v>113</v>
      </c>
      <c r="E56" s="29" t="s">
        <v>224</v>
      </c>
      <c r="G56" s="29" t="s">
        <v>204</v>
      </c>
      <c r="I56" s="161">
        <v>46238.625289351854</v>
      </c>
      <c r="J56" s="29" t="s">
        <v>359</v>
      </c>
      <c r="K56" s="29" t="s">
        <v>274</v>
      </c>
      <c r="L56" s="162">
        <v>46173</v>
      </c>
      <c r="M56" s="29" t="s">
        <v>360</v>
      </c>
      <c r="N56" s="29" t="s">
        <v>291</v>
      </c>
      <c r="O56" s="29" t="s">
        <v>272</v>
      </c>
      <c r="P56" s="29" t="s">
        <v>361</v>
      </c>
      <c r="Q56" s="29" t="s">
        <v>273</v>
      </c>
    </row>
    <row r="57" spans="1:17" s="29" customFormat="1">
      <c r="A57" s="160">
        <v>6.2277185081018517E-2</v>
      </c>
      <c r="B57" s="29" t="s">
        <v>113</v>
      </c>
      <c r="E57" s="29" t="s">
        <v>339</v>
      </c>
      <c r="G57" s="29" t="s">
        <v>204</v>
      </c>
      <c r="I57" s="161">
        <v>46238.625231481485</v>
      </c>
      <c r="J57" s="29" t="s">
        <v>359</v>
      </c>
      <c r="K57" s="29" t="s">
        <v>274</v>
      </c>
      <c r="L57" s="162">
        <v>46173</v>
      </c>
      <c r="M57" s="29" t="s">
        <v>360</v>
      </c>
      <c r="N57" s="29" t="s">
        <v>291</v>
      </c>
      <c r="O57" s="29" t="s">
        <v>272</v>
      </c>
      <c r="P57" s="29" t="s">
        <v>361</v>
      </c>
      <c r="Q57" s="29" t="s">
        <v>273</v>
      </c>
    </row>
    <row r="58" spans="1:17" s="29" customFormat="1">
      <c r="A58" s="160">
        <v>6.1828387685185185E-2</v>
      </c>
      <c r="B58" s="29" t="s">
        <v>113</v>
      </c>
      <c r="E58" s="29" t="s">
        <v>124</v>
      </c>
      <c r="G58" s="29" t="s">
        <v>204</v>
      </c>
      <c r="I58" s="161">
        <v>46238.624780092592</v>
      </c>
      <c r="J58" s="29" t="s">
        <v>359</v>
      </c>
      <c r="K58" s="29" t="s">
        <v>274</v>
      </c>
      <c r="L58" s="162">
        <v>46173</v>
      </c>
      <c r="M58" s="29" t="s">
        <v>360</v>
      </c>
      <c r="N58" s="29" t="s">
        <v>291</v>
      </c>
      <c r="O58" s="29" t="s">
        <v>272</v>
      </c>
      <c r="P58" s="29" t="s">
        <v>361</v>
      </c>
      <c r="Q58" s="29" t="s">
        <v>273</v>
      </c>
    </row>
    <row r="59" spans="1:17" s="29" customFormat="1">
      <c r="A59" s="160">
        <v>6.1571255115740742E-2</v>
      </c>
      <c r="B59" s="29" t="s">
        <v>113</v>
      </c>
      <c r="E59" s="29" t="s">
        <v>88</v>
      </c>
      <c r="G59" s="29" t="s">
        <v>204</v>
      </c>
      <c r="I59" s="161">
        <v>46238.624502314815</v>
      </c>
      <c r="J59" s="29" t="s">
        <v>359</v>
      </c>
      <c r="K59" s="29" t="s">
        <v>274</v>
      </c>
      <c r="L59" s="162">
        <v>46173</v>
      </c>
      <c r="M59" s="29" t="s">
        <v>360</v>
      </c>
      <c r="N59" s="29" t="s">
        <v>291</v>
      </c>
      <c r="O59" s="29" t="s">
        <v>272</v>
      </c>
      <c r="P59" s="29" t="s">
        <v>361</v>
      </c>
      <c r="Q59" s="29" t="s">
        <v>273</v>
      </c>
    </row>
    <row r="60" spans="1:17" s="29" customFormat="1">
      <c r="A60" s="160">
        <v>6.1462032962962959E-2</v>
      </c>
      <c r="B60" s="29" t="s">
        <v>113</v>
      </c>
      <c r="C60" s="29" t="s">
        <v>83</v>
      </c>
      <c r="E60" s="29" t="s">
        <v>223</v>
      </c>
      <c r="G60" s="29" t="s">
        <v>117</v>
      </c>
      <c r="I60" s="161">
        <v>46238.624108796299</v>
      </c>
      <c r="J60" s="29" t="s">
        <v>359</v>
      </c>
      <c r="K60" s="29" t="s">
        <v>274</v>
      </c>
      <c r="L60" s="162">
        <v>46173</v>
      </c>
      <c r="M60" s="29" t="s">
        <v>360</v>
      </c>
      <c r="N60" s="29" t="s">
        <v>291</v>
      </c>
      <c r="O60" s="29" t="s">
        <v>272</v>
      </c>
      <c r="P60" s="29" t="s">
        <v>361</v>
      </c>
      <c r="Q60" s="29" t="s">
        <v>273</v>
      </c>
    </row>
    <row r="61" spans="1:17" s="29" customFormat="1">
      <c r="A61" s="160">
        <v>6.1398913483796294E-2</v>
      </c>
      <c r="B61" s="29" t="s">
        <v>113</v>
      </c>
      <c r="E61" s="29" t="s">
        <v>127</v>
      </c>
      <c r="G61" s="29" t="s">
        <v>117</v>
      </c>
      <c r="I61" s="161">
        <v>46238.623935185184</v>
      </c>
      <c r="J61" s="29" t="s">
        <v>359</v>
      </c>
      <c r="K61" s="29" t="s">
        <v>274</v>
      </c>
      <c r="L61" s="162">
        <v>46173</v>
      </c>
      <c r="M61" s="29" t="s">
        <v>360</v>
      </c>
      <c r="N61" s="29" t="s">
        <v>291</v>
      </c>
      <c r="O61" s="29" t="s">
        <v>272</v>
      </c>
      <c r="P61" s="29" t="s">
        <v>361</v>
      </c>
      <c r="Q61" s="29" t="s">
        <v>273</v>
      </c>
    </row>
    <row r="62" spans="1:17" s="29" customFormat="1">
      <c r="A62" s="160">
        <v>6.13220777199074E-2</v>
      </c>
      <c r="B62" s="29" t="s">
        <v>113</v>
      </c>
      <c r="E62" s="29" t="s">
        <v>127</v>
      </c>
      <c r="G62" s="29" t="s">
        <v>117</v>
      </c>
      <c r="I62" s="161">
        <v>46238.623854166668</v>
      </c>
      <c r="J62" s="29" t="s">
        <v>359</v>
      </c>
      <c r="K62" s="29" t="s">
        <v>274</v>
      </c>
      <c r="L62" s="162">
        <v>46173</v>
      </c>
      <c r="M62" s="29" t="s">
        <v>360</v>
      </c>
      <c r="N62" s="29" t="s">
        <v>291</v>
      </c>
      <c r="O62" s="29" t="s">
        <v>272</v>
      </c>
      <c r="P62" s="29" t="s">
        <v>361</v>
      </c>
      <c r="Q62" s="29" t="s">
        <v>273</v>
      </c>
    </row>
    <row r="63" spans="1:17" s="29" customFormat="1">
      <c r="A63" s="160">
        <v>6.1254435127314821E-2</v>
      </c>
      <c r="B63" s="29" t="s">
        <v>113</v>
      </c>
      <c r="E63" s="29" t="s">
        <v>127</v>
      </c>
      <c r="G63" s="29" t="s">
        <v>117</v>
      </c>
      <c r="I63" s="161">
        <v>46238.623784722222</v>
      </c>
      <c r="J63" s="29" t="s">
        <v>359</v>
      </c>
      <c r="K63" s="29" t="s">
        <v>274</v>
      </c>
      <c r="L63" s="162">
        <v>46173</v>
      </c>
      <c r="M63" s="29" t="s">
        <v>360</v>
      </c>
      <c r="N63" s="29" t="s">
        <v>291</v>
      </c>
      <c r="O63" s="29" t="s">
        <v>272</v>
      </c>
      <c r="P63" s="29" t="s">
        <v>361</v>
      </c>
      <c r="Q63" s="29" t="s">
        <v>273</v>
      </c>
    </row>
    <row r="64" spans="1:17" s="29" customFormat="1">
      <c r="A64" s="160">
        <v>6.1180666932870373E-2</v>
      </c>
      <c r="B64" s="29" t="s">
        <v>113</v>
      </c>
      <c r="E64" s="29" t="s">
        <v>127</v>
      </c>
      <c r="G64" s="29" t="s">
        <v>117</v>
      </c>
      <c r="I64" s="161">
        <v>46238.623668981483</v>
      </c>
      <c r="J64" s="29" t="s">
        <v>359</v>
      </c>
      <c r="K64" s="29" t="s">
        <v>274</v>
      </c>
      <c r="L64" s="162">
        <v>46173</v>
      </c>
      <c r="M64" s="29" t="s">
        <v>360</v>
      </c>
      <c r="N64" s="29" t="s">
        <v>291</v>
      </c>
      <c r="O64" s="29" t="s">
        <v>272</v>
      </c>
      <c r="P64" s="29" t="s">
        <v>361</v>
      </c>
      <c r="Q64" s="29" t="s">
        <v>273</v>
      </c>
    </row>
    <row r="65" spans="1:17" s="29" customFormat="1">
      <c r="A65" s="160">
        <v>6.1101828865740733E-2</v>
      </c>
      <c r="B65" s="29" t="s">
        <v>113</v>
      </c>
      <c r="E65" s="29" t="s">
        <v>226</v>
      </c>
      <c r="G65" s="29" t="s">
        <v>117</v>
      </c>
      <c r="I65" s="161">
        <v>46238.623564814814</v>
      </c>
      <c r="J65" s="29" t="s">
        <v>359</v>
      </c>
      <c r="K65" s="29" t="s">
        <v>274</v>
      </c>
      <c r="L65" s="162">
        <v>46173</v>
      </c>
      <c r="M65" s="29" t="s">
        <v>360</v>
      </c>
      <c r="N65" s="29" t="s">
        <v>291</v>
      </c>
      <c r="O65" s="29" t="s">
        <v>272</v>
      </c>
      <c r="P65" s="29" t="s">
        <v>361</v>
      </c>
      <c r="Q65" s="29" t="s">
        <v>273</v>
      </c>
    </row>
    <row r="66" spans="1:17" s="29" customFormat="1">
      <c r="A66" s="160">
        <v>6.1064927326388893E-2</v>
      </c>
      <c r="B66" s="29" t="s">
        <v>113</v>
      </c>
      <c r="E66" s="29" t="s">
        <v>224</v>
      </c>
      <c r="G66" s="29" t="s">
        <v>204</v>
      </c>
      <c r="I66" s="161">
        <v>46238.623460648145</v>
      </c>
      <c r="J66" s="29" t="s">
        <v>359</v>
      </c>
      <c r="K66" s="29" t="s">
        <v>274</v>
      </c>
      <c r="L66" s="162">
        <v>46173</v>
      </c>
      <c r="M66" s="29" t="s">
        <v>360</v>
      </c>
      <c r="N66" s="29" t="s">
        <v>291</v>
      </c>
      <c r="O66" s="29" t="s">
        <v>272</v>
      </c>
      <c r="P66" s="29" t="s">
        <v>361</v>
      </c>
      <c r="Q66" s="29" t="s">
        <v>273</v>
      </c>
    </row>
    <row r="67" spans="1:17" s="29" customFormat="1">
      <c r="A67" s="160">
        <v>6.0989649629629633E-2</v>
      </c>
      <c r="B67" s="29" t="s">
        <v>113</v>
      </c>
      <c r="C67" s="29" t="s">
        <v>364</v>
      </c>
      <c r="E67" s="29" t="s">
        <v>127</v>
      </c>
      <c r="G67" s="29" t="s">
        <v>204</v>
      </c>
      <c r="I67" s="161">
        <v>46238.623333333337</v>
      </c>
      <c r="J67" s="29" t="s">
        <v>359</v>
      </c>
      <c r="K67" s="29" t="s">
        <v>274</v>
      </c>
      <c r="L67" s="162">
        <v>46173</v>
      </c>
      <c r="M67" s="29" t="s">
        <v>360</v>
      </c>
      <c r="N67" s="29" t="s">
        <v>291</v>
      </c>
      <c r="O67" s="29" t="s">
        <v>272</v>
      </c>
      <c r="P67" s="29" t="s">
        <v>361</v>
      </c>
      <c r="Q67" s="29" t="s">
        <v>273</v>
      </c>
    </row>
    <row r="68" spans="1:17" s="29" customFormat="1">
      <c r="A68" s="160">
        <v>6.0898372754629629E-2</v>
      </c>
      <c r="B68" s="29" t="s">
        <v>113</v>
      </c>
      <c r="C68" s="29" t="s">
        <v>362</v>
      </c>
      <c r="E68" s="29" t="s">
        <v>127</v>
      </c>
      <c r="G68" s="29" t="s">
        <v>204</v>
      </c>
      <c r="I68" s="161">
        <v>46238.623032407406</v>
      </c>
      <c r="J68" s="29" t="s">
        <v>359</v>
      </c>
      <c r="K68" s="29" t="s">
        <v>274</v>
      </c>
      <c r="L68" s="162">
        <v>46173</v>
      </c>
      <c r="M68" s="29" t="s">
        <v>360</v>
      </c>
      <c r="N68" s="29" t="s">
        <v>291</v>
      </c>
      <c r="O68" s="29" t="s">
        <v>272</v>
      </c>
      <c r="P68" s="29" t="s">
        <v>361</v>
      </c>
      <c r="Q68" s="29" t="s">
        <v>273</v>
      </c>
    </row>
    <row r="69" spans="1:17" s="29" customFormat="1">
      <c r="A69" s="160">
        <v>6.0846358275462961E-2</v>
      </c>
      <c r="B69" s="29" t="s">
        <v>113</v>
      </c>
      <c r="C69" s="29" t="s">
        <v>371</v>
      </c>
      <c r="E69" s="29" t="s">
        <v>127</v>
      </c>
      <c r="G69" s="29" t="s">
        <v>204</v>
      </c>
      <c r="I69" s="161">
        <v>46238.622916666667</v>
      </c>
      <c r="J69" s="29" t="s">
        <v>359</v>
      </c>
      <c r="K69" s="29" t="s">
        <v>274</v>
      </c>
      <c r="L69" s="162">
        <v>46173</v>
      </c>
      <c r="M69" s="29" t="s">
        <v>360</v>
      </c>
      <c r="N69" s="29" t="s">
        <v>291</v>
      </c>
      <c r="O69" s="29" t="s">
        <v>272</v>
      </c>
      <c r="P69" s="29" t="s">
        <v>361</v>
      </c>
      <c r="Q69" s="29" t="s">
        <v>273</v>
      </c>
    </row>
    <row r="70" spans="1:17" s="29" customFormat="1">
      <c r="A70" s="160">
        <v>6.0829373194444446E-2</v>
      </c>
      <c r="B70" s="29" t="s">
        <v>113</v>
      </c>
      <c r="E70" s="29" t="s">
        <v>228</v>
      </c>
      <c r="G70" s="29" t="s">
        <v>204</v>
      </c>
      <c r="I70" s="161">
        <v>46238.622743055559</v>
      </c>
      <c r="J70" s="29" t="s">
        <v>359</v>
      </c>
      <c r="K70" s="29" t="s">
        <v>274</v>
      </c>
      <c r="L70" s="162">
        <v>46173</v>
      </c>
      <c r="M70" s="29" t="s">
        <v>360</v>
      </c>
      <c r="N70" s="29" t="s">
        <v>291</v>
      </c>
      <c r="O70" s="29" t="s">
        <v>272</v>
      </c>
      <c r="P70" s="29" t="s">
        <v>361</v>
      </c>
      <c r="Q70" s="29" t="s">
        <v>273</v>
      </c>
    </row>
    <row r="71" spans="1:17" s="29" customFormat="1">
      <c r="A71" s="160">
        <v>6.080629516203704E-2</v>
      </c>
      <c r="B71" s="29" t="s">
        <v>113</v>
      </c>
      <c r="E71" s="29" t="s">
        <v>224</v>
      </c>
      <c r="G71" s="29" t="s">
        <v>117</v>
      </c>
      <c r="I71" s="161">
        <v>46238.622708333336</v>
      </c>
      <c r="J71" s="29" t="s">
        <v>359</v>
      </c>
      <c r="K71" s="29" t="s">
        <v>274</v>
      </c>
      <c r="L71" s="162">
        <v>46173</v>
      </c>
      <c r="M71" s="29" t="s">
        <v>360</v>
      </c>
      <c r="N71" s="29" t="s">
        <v>291</v>
      </c>
      <c r="O71" s="29" t="s">
        <v>272</v>
      </c>
      <c r="P71" s="29" t="s">
        <v>361</v>
      </c>
      <c r="Q71" s="29" t="s">
        <v>273</v>
      </c>
    </row>
    <row r="72" spans="1:17" s="29" customFormat="1">
      <c r="A72" s="160">
        <v>6.0771655081018519E-2</v>
      </c>
      <c r="B72" s="29" t="s">
        <v>113</v>
      </c>
      <c r="E72" s="29" t="s">
        <v>127</v>
      </c>
      <c r="G72" s="29" t="s">
        <v>117</v>
      </c>
      <c r="I72" s="161">
        <v>46238.622615740744</v>
      </c>
      <c r="J72" s="29" t="s">
        <v>359</v>
      </c>
      <c r="K72" s="29" t="s">
        <v>274</v>
      </c>
      <c r="L72" s="162">
        <v>46173</v>
      </c>
      <c r="M72" s="29" t="s">
        <v>360</v>
      </c>
      <c r="N72" s="29" t="s">
        <v>291</v>
      </c>
      <c r="O72" s="29" t="s">
        <v>272</v>
      </c>
      <c r="P72" s="29" t="s">
        <v>361</v>
      </c>
      <c r="Q72" s="29" t="s">
        <v>273</v>
      </c>
    </row>
    <row r="73" spans="1:17" s="29" customFormat="1">
      <c r="A73" s="160">
        <v>6.0702209629629626E-2</v>
      </c>
      <c r="B73" s="29" t="s">
        <v>113</v>
      </c>
      <c r="E73" s="29" t="s">
        <v>223</v>
      </c>
      <c r="G73" s="29" t="s">
        <v>204</v>
      </c>
      <c r="I73" s="161">
        <v>46238.622499999998</v>
      </c>
      <c r="J73" s="29" t="s">
        <v>359</v>
      </c>
      <c r="K73" s="29" t="s">
        <v>274</v>
      </c>
      <c r="L73" s="162">
        <v>46173</v>
      </c>
      <c r="M73" s="29" t="s">
        <v>360</v>
      </c>
      <c r="N73" s="29" t="s">
        <v>291</v>
      </c>
      <c r="O73" s="29" t="s">
        <v>272</v>
      </c>
      <c r="P73" s="29" t="s">
        <v>361</v>
      </c>
      <c r="Q73" s="29" t="s">
        <v>273</v>
      </c>
    </row>
    <row r="74" spans="1:17" s="29" customFormat="1">
      <c r="A74" s="160">
        <v>6.0665308518518521E-2</v>
      </c>
      <c r="B74" s="29" t="s">
        <v>113</v>
      </c>
      <c r="E74" s="29" t="s">
        <v>339</v>
      </c>
      <c r="G74" s="29" t="s">
        <v>204</v>
      </c>
      <c r="I74" s="161">
        <v>46238.53943287037</v>
      </c>
      <c r="J74" s="29" t="s">
        <v>359</v>
      </c>
      <c r="K74" s="29" t="s">
        <v>274</v>
      </c>
      <c r="L74" s="162">
        <v>46173</v>
      </c>
      <c r="M74" s="29" t="s">
        <v>360</v>
      </c>
      <c r="N74" s="29" t="s">
        <v>291</v>
      </c>
      <c r="O74" s="29" t="s">
        <v>272</v>
      </c>
      <c r="P74" s="29" t="s">
        <v>361</v>
      </c>
      <c r="Q74" s="29" t="s">
        <v>273</v>
      </c>
    </row>
    <row r="75" spans="1:17" s="29" customFormat="1">
      <c r="A75" s="160">
        <v>6.033941209490741E-2</v>
      </c>
      <c r="B75" s="29" t="s">
        <v>113</v>
      </c>
      <c r="E75" s="29" t="s">
        <v>124</v>
      </c>
      <c r="G75" s="29" t="s">
        <v>204</v>
      </c>
      <c r="I75" s="161">
        <v>46238.532939814817</v>
      </c>
      <c r="J75" s="29" t="s">
        <v>359</v>
      </c>
      <c r="K75" s="29" t="s">
        <v>274</v>
      </c>
      <c r="L75" s="162">
        <v>46173</v>
      </c>
      <c r="M75" s="29" t="s">
        <v>360</v>
      </c>
      <c r="N75" s="29" t="s">
        <v>291</v>
      </c>
      <c r="O75" s="29" t="s">
        <v>272</v>
      </c>
      <c r="P75" s="29" t="s">
        <v>361</v>
      </c>
      <c r="Q75" s="29" t="s">
        <v>273</v>
      </c>
    </row>
    <row r="76" spans="1:17" s="29" customFormat="1">
      <c r="A76" s="160">
        <v>6.0111380879629632E-2</v>
      </c>
      <c r="B76" s="29" t="s">
        <v>113</v>
      </c>
      <c r="E76" s="29" t="s">
        <v>88</v>
      </c>
      <c r="G76" s="29" t="s">
        <v>204</v>
      </c>
      <c r="I76" s="161">
        <v>46238.532824074071</v>
      </c>
      <c r="J76" s="29" t="s">
        <v>359</v>
      </c>
      <c r="K76" s="29" t="s">
        <v>274</v>
      </c>
      <c r="L76" s="162">
        <v>46173</v>
      </c>
      <c r="M76" s="29" t="s">
        <v>360</v>
      </c>
      <c r="N76" s="29" t="s">
        <v>291</v>
      </c>
      <c r="O76" s="29" t="s">
        <v>272</v>
      </c>
      <c r="P76" s="29" t="s">
        <v>361</v>
      </c>
      <c r="Q76" s="29" t="s">
        <v>273</v>
      </c>
    </row>
    <row r="77" spans="1:17" s="29" customFormat="1">
      <c r="A77" s="160">
        <v>6.0074461087962966E-2</v>
      </c>
      <c r="B77" s="29" t="s">
        <v>113</v>
      </c>
      <c r="C77" s="29" t="s">
        <v>83</v>
      </c>
      <c r="E77" s="29" t="s">
        <v>223</v>
      </c>
      <c r="G77" s="29" t="s">
        <v>117</v>
      </c>
      <c r="I77" s="161">
        <v>46238.532812500001</v>
      </c>
      <c r="J77" s="29" t="s">
        <v>359</v>
      </c>
      <c r="K77" s="29" t="s">
        <v>274</v>
      </c>
      <c r="L77" s="162">
        <v>46173</v>
      </c>
      <c r="M77" s="29" t="s">
        <v>360</v>
      </c>
      <c r="N77" s="29" t="s">
        <v>291</v>
      </c>
      <c r="O77" s="29" t="s">
        <v>272</v>
      </c>
      <c r="P77" s="29" t="s">
        <v>361</v>
      </c>
      <c r="Q77" s="29" t="s">
        <v>273</v>
      </c>
    </row>
    <row r="78" spans="1:17" s="29" customFormat="1">
      <c r="A78" s="160">
        <v>6.0031397418981482E-2</v>
      </c>
      <c r="B78" s="29" t="s">
        <v>113</v>
      </c>
      <c r="E78" s="29" t="s">
        <v>127</v>
      </c>
      <c r="G78" s="29" t="s">
        <v>117</v>
      </c>
      <c r="I78" s="161">
        <v>46238.532743055555</v>
      </c>
      <c r="J78" s="29" t="s">
        <v>359</v>
      </c>
      <c r="K78" s="29" t="s">
        <v>274</v>
      </c>
      <c r="L78" s="162">
        <v>46173</v>
      </c>
      <c r="M78" s="29" t="s">
        <v>360</v>
      </c>
      <c r="N78" s="29" t="s">
        <v>291</v>
      </c>
      <c r="O78" s="29" t="s">
        <v>272</v>
      </c>
      <c r="P78" s="29" t="s">
        <v>361</v>
      </c>
      <c r="Q78" s="29" t="s">
        <v>273</v>
      </c>
    </row>
    <row r="79" spans="1:17" s="29" customFormat="1">
      <c r="A79" s="160">
        <v>5.9954536863425924E-2</v>
      </c>
      <c r="B79" s="29" t="s">
        <v>113</v>
      </c>
      <c r="E79" s="29" t="s">
        <v>333</v>
      </c>
      <c r="G79" s="29" t="s">
        <v>117</v>
      </c>
      <c r="I79" s="161">
        <v>46238.532673611109</v>
      </c>
      <c r="J79" s="29" t="s">
        <v>359</v>
      </c>
      <c r="K79" s="29" t="s">
        <v>274</v>
      </c>
      <c r="L79" s="162">
        <v>46173</v>
      </c>
      <c r="M79" s="29" t="s">
        <v>360</v>
      </c>
      <c r="N79" s="29" t="s">
        <v>291</v>
      </c>
      <c r="O79" s="29" t="s">
        <v>272</v>
      </c>
      <c r="P79" s="29" t="s">
        <v>361</v>
      </c>
      <c r="Q79" s="29" t="s">
        <v>273</v>
      </c>
    </row>
    <row r="80" spans="1:17" s="29" customFormat="1">
      <c r="A80" s="160">
        <v>5.9911774652777784E-2</v>
      </c>
      <c r="B80" s="29" t="s">
        <v>113</v>
      </c>
      <c r="E80" s="29" t="s">
        <v>124</v>
      </c>
      <c r="G80" s="29" t="s">
        <v>117</v>
      </c>
      <c r="I80" s="161">
        <v>46238.532627314817</v>
      </c>
      <c r="J80" s="29" t="s">
        <v>359</v>
      </c>
      <c r="K80" s="29" t="s">
        <v>274</v>
      </c>
      <c r="L80" s="162">
        <v>46173</v>
      </c>
      <c r="M80" s="29" t="s">
        <v>360</v>
      </c>
      <c r="N80" s="29" t="s">
        <v>291</v>
      </c>
      <c r="O80" s="29" t="s">
        <v>272</v>
      </c>
      <c r="P80" s="29" t="s">
        <v>361</v>
      </c>
      <c r="Q80" s="29" t="s">
        <v>273</v>
      </c>
    </row>
    <row r="81" spans="1:17" s="29" customFormat="1">
      <c r="A81" s="160">
        <v>5.9604105335648146E-2</v>
      </c>
      <c r="B81" s="29" t="s">
        <v>113</v>
      </c>
      <c r="E81" s="29" t="s">
        <v>88</v>
      </c>
      <c r="G81" s="29" t="s">
        <v>117</v>
      </c>
      <c r="I81" s="161">
        <v>46238.532314814816</v>
      </c>
      <c r="J81" s="29" t="s">
        <v>359</v>
      </c>
      <c r="K81" s="29" t="s">
        <v>274</v>
      </c>
      <c r="L81" s="162">
        <v>46173</v>
      </c>
      <c r="M81" s="29" t="s">
        <v>360</v>
      </c>
      <c r="N81" s="29" t="s">
        <v>291</v>
      </c>
      <c r="O81" s="29" t="s">
        <v>272</v>
      </c>
      <c r="P81" s="29" t="s">
        <v>361</v>
      </c>
      <c r="Q81" s="29" t="s">
        <v>273</v>
      </c>
    </row>
    <row r="82" spans="1:17" s="29" customFormat="1">
      <c r="A82" s="160">
        <v>5.9573358506944445E-2</v>
      </c>
      <c r="B82" s="29" t="s">
        <v>113</v>
      </c>
      <c r="E82" s="29" t="s">
        <v>329</v>
      </c>
      <c r="G82" s="29" t="s">
        <v>204</v>
      </c>
      <c r="I82" s="161">
        <v>46238.53229166667</v>
      </c>
      <c r="J82" s="29" t="s">
        <v>359</v>
      </c>
      <c r="K82" s="29" t="s">
        <v>274</v>
      </c>
      <c r="L82" s="162">
        <v>46173</v>
      </c>
      <c r="M82" s="29" t="s">
        <v>360</v>
      </c>
      <c r="N82" s="29" t="s">
        <v>291</v>
      </c>
      <c r="O82" s="29" t="s">
        <v>272</v>
      </c>
      <c r="P82" s="29" t="s">
        <v>361</v>
      </c>
      <c r="Q82" s="29" t="s">
        <v>273</v>
      </c>
    </row>
    <row r="83" spans="1:17" s="29" customFormat="1">
      <c r="A83" s="160">
        <v>5.9487259907407407E-2</v>
      </c>
      <c r="B83" s="29" t="s">
        <v>113</v>
      </c>
      <c r="E83" s="29" t="s">
        <v>123</v>
      </c>
      <c r="G83" s="29" t="s">
        <v>204</v>
      </c>
      <c r="I83" s="161">
        <v>46238.532199074078</v>
      </c>
      <c r="J83" s="29" t="s">
        <v>359</v>
      </c>
      <c r="K83" s="29" t="s">
        <v>274</v>
      </c>
      <c r="L83" s="162">
        <v>46173</v>
      </c>
      <c r="M83" s="29" t="s">
        <v>360</v>
      </c>
      <c r="N83" s="29" t="s">
        <v>291</v>
      </c>
      <c r="O83" s="29" t="s">
        <v>272</v>
      </c>
      <c r="P83" s="29" t="s">
        <v>361</v>
      </c>
      <c r="Q83" s="29" t="s">
        <v>273</v>
      </c>
    </row>
    <row r="84" spans="1:17" s="29" customFormat="1">
      <c r="A84" s="160">
        <v>5.8995369525462957E-2</v>
      </c>
      <c r="B84" s="29" t="s">
        <v>113</v>
      </c>
      <c r="E84" s="29" t="s">
        <v>88</v>
      </c>
      <c r="G84" s="29" t="s">
        <v>204</v>
      </c>
      <c r="I84" s="161">
        <v>46238.531712962962</v>
      </c>
      <c r="J84" s="29" t="s">
        <v>359</v>
      </c>
      <c r="K84" s="29" t="s">
        <v>274</v>
      </c>
      <c r="L84" s="162">
        <v>46173</v>
      </c>
      <c r="M84" s="29" t="s">
        <v>360</v>
      </c>
      <c r="N84" s="29" t="s">
        <v>291</v>
      </c>
      <c r="O84" s="29" t="s">
        <v>272</v>
      </c>
      <c r="P84" s="29" t="s">
        <v>361</v>
      </c>
      <c r="Q84" s="29" t="s">
        <v>273</v>
      </c>
    </row>
    <row r="85" spans="1:17" s="29" customFormat="1">
      <c r="A85" s="160">
        <v>5.8951881064814818E-2</v>
      </c>
      <c r="B85" s="29" t="s">
        <v>113</v>
      </c>
      <c r="C85" s="29" t="s">
        <v>364</v>
      </c>
      <c r="D85" s="29" t="s">
        <v>244</v>
      </c>
      <c r="E85" s="29" t="s">
        <v>254</v>
      </c>
      <c r="F85" s="29" t="s">
        <v>247</v>
      </c>
      <c r="G85" s="29" t="s">
        <v>204</v>
      </c>
      <c r="I85" s="161">
        <v>46238.531597222223</v>
      </c>
      <c r="J85" s="29" t="s">
        <v>359</v>
      </c>
      <c r="K85" s="29" t="s">
        <v>274</v>
      </c>
      <c r="L85" s="162">
        <v>46173</v>
      </c>
      <c r="M85" s="29" t="s">
        <v>360</v>
      </c>
      <c r="N85" s="29" t="s">
        <v>291</v>
      </c>
      <c r="O85" s="29" t="s">
        <v>272</v>
      </c>
      <c r="P85" s="29" t="s">
        <v>361</v>
      </c>
      <c r="Q85" s="29" t="s">
        <v>273</v>
      </c>
    </row>
    <row r="86" spans="1:17" s="29" customFormat="1">
      <c r="A86" s="160">
        <v>5.8951881064814818E-2</v>
      </c>
      <c r="B86" s="29" t="s">
        <v>113</v>
      </c>
      <c r="E86" s="29" t="s">
        <v>60</v>
      </c>
      <c r="G86" s="29" t="s">
        <v>117</v>
      </c>
      <c r="I86" s="161">
        <v>46238.531273148146</v>
      </c>
      <c r="J86" s="29" t="s">
        <v>359</v>
      </c>
      <c r="K86" s="29" t="s">
        <v>274</v>
      </c>
      <c r="L86" s="162">
        <v>46173</v>
      </c>
      <c r="M86" s="29" t="s">
        <v>360</v>
      </c>
      <c r="N86" s="29" t="s">
        <v>291</v>
      </c>
      <c r="O86" s="29" t="s">
        <v>272</v>
      </c>
      <c r="P86" s="29" t="s">
        <v>361</v>
      </c>
      <c r="Q86" s="29" t="s">
        <v>273</v>
      </c>
    </row>
    <row r="87" spans="1:17" s="29" customFormat="1">
      <c r="A87" s="160">
        <v>5.8904131840277776E-2</v>
      </c>
      <c r="B87" s="29" t="s">
        <v>113</v>
      </c>
      <c r="E87" s="29" t="s">
        <v>127</v>
      </c>
      <c r="G87" s="29" t="s">
        <v>117</v>
      </c>
      <c r="I87" s="161">
        <v>46238.531192129631</v>
      </c>
      <c r="J87" s="29" t="s">
        <v>359</v>
      </c>
      <c r="K87" s="29" t="s">
        <v>274</v>
      </c>
      <c r="L87" s="162">
        <v>46173</v>
      </c>
      <c r="M87" s="29" t="s">
        <v>360</v>
      </c>
      <c r="N87" s="29" t="s">
        <v>291</v>
      </c>
      <c r="O87" s="29" t="s">
        <v>272</v>
      </c>
      <c r="P87" s="29" t="s">
        <v>361</v>
      </c>
      <c r="Q87" s="29" t="s">
        <v>273</v>
      </c>
    </row>
    <row r="88" spans="1:17" s="29" customFormat="1">
      <c r="A88" s="160">
        <v>5.8811218449074068E-2</v>
      </c>
      <c r="B88" s="29" t="s">
        <v>113</v>
      </c>
      <c r="E88" s="29" t="s">
        <v>58</v>
      </c>
      <c r="G88" s="29" t="s">
        <v>117</v>
      </c>
      <c r="I88" s="161">
        <v>46238.530995370369</v>
      </c>
      <c r="J88" s="29" t="s">
        <v>359</v>
      </c>
      <c r="K88" s="29" t="s">
        <v>274</v>
      </c>
      <c r="L88" s="162">
        <v>46173</v>
      </c>
      <c r="M88" s="29" t="s">
        <v>360</v>
      </c>
      <c r="N88" s="29" t="s">
        <v>291</v>
      </c>
      <c r="O88" s="29" t="s">
        <v>272</v>
      </c>
      <c r="P88" s="29" t="s">
        <v>361</v>
      </c>
      <c r="Q88" s="29" t="s">
        <v>273</v>
      </c>
    </row>
    <row r="89" spans="1:17" s="29" customFormat="1">
      <c r="A89" s="160">
        <v>5.8749726550925925E-2</v>
      </c>
      <c r="B89" s="29" t="s">
        <v>113</v>
      </c>
      <c r="E89" s="29" t="s">
        <v>333</v>
      </c>
      <c r="G89" s="29" t="s">
        <v>117</v>
      </c>
      <c r="I89" s="161">
        <v>46238.530925925923</v>
      </c>
      <c r="J89" s="29" t="s">
        <v>359</v>
      </c>
      <c r="K89" s="29" t="s">
        <v>274</v>
      </c>
      <c r="L89" s="162">
        <v>46173</v>
      </c>
      <c r="M89" s="29" t="s">
        <v>360</v>
      </c>
      <c r="N89" s="29" t="s">
        <v>291</v>
      </c>
      <c r="O89" s="29" t="s">
        <v>272</v>
      </c>
      <c r="P89" s="29" t="s">
        <v>361</v>
      </c>
      <c r="Q89" s="29" t="s">
        <v>273</v>
      </c>
    </row>
    <row r="90" spans="1:17" s="29" customFormat="1">
      <c r="A90" s="160">
        <v>5.8616153402777774E-2</v>
      </c>
      <c r="B90" s="29" t="s">
        <v>113</v>
      </c>
      <c r="E90" s="29" t="s">
        <v>124</v>
      </c>
      <c r="G90" s="29" t="s">
        <v>117</v>
      </c>
      <c r="I90" s="161">
        <v>46238.530798611115</v>
      </c>
      <c r="J90" s="29" t="s">
        <v>359</v>
      </c>
      <c r="K90" s="29" t="s">
        <v>274</v>
      </c>
      <c r="L90" s="162">
        <v>46173</v>
      </c>
      <c r="M90" s="29" t="s">
        <v>360</v>
      </c>
      <c r="N90" s="29" t="s">
        <v>291</v>
      </c>
      <c r="O90" s="29" t="s">
        <v>272</v>
      </c>
      <c r="P90" s="29" t="s">
        <v>361</v>
      </c>
      <c r="Q90" s="29" t="s">
        <v>273</v>
      </c>
    </row>
    <row r="91" spans="1:17" s="29" customFormat="1">
      <c r="A91" s="160">
        <v>5.8371750960648144E-2</v>
      </c>
      <c r="B91" s="29" t="s">
        <v>113</v>
      </c>
      <c r="E91" s="29" t="s">
        <v>88</v>
      </c>
      <c r="G91" s="29" t="s">
        <v>117</v>
      </c>
      <c r="I91" s="161">
        <v>46238.530729166669</v>
      </c>
      <c r="J91" s="29" t="s">
        <v>359</v>
      </c>
      <c r="K91" s="29" t="s">
        <v>274</v>
      </c>
      <c r="L91" s="162">
        <v>46173</v>
      </c>
      <c r="M91" s="29" t="s">
        <v>360</v>
      </c>
      <c r="N91" s="29" t="s">
        <v>291</v>
      </c>
      <c r="O91" s="29" t="s">
        <v>272</v>
      </c>
      <c r="P91" s="29" t="s">
        <v>361</v>
      </c>
      <c r="Q91" s="29" t="s">
        <v>273</v>
      </c>
    </row>
    <row r="92" spans="1:17" s="29" customFormat="1">
      <c r="A92" s="160">
        <v>5.8337942199074073E-2</v>
      </c>
      <c r="B92" s="29" t="s">
        <v>113</v>
      </c>
      <c r="E92" s="29" t="s">
        <v>223</v>
      </c>
      <c r="G92" s="29" t="s">
        <v>204</v>
      </c>
      <c r="I92" s="161">
        <v>46238.530694444446</v>
      </c>
      <c r="J92" s="29" t="s">
        <v>359</v>
      </c>
      <c r="K92" s="29" t="s">
        <v>274</v>
      </c>
      <c r="L92" s="162">
        <v>46173</v>
      </c>
      <c r="M92" s="29" t="s">
        <v>360</v>
      </c>
      <c r="N92" s="29" t="s">
        <v>291</v>
      </c>
      <c r="O92" s="29" t="s">
        <v>272</v>
      </c>
      <c r="P92" s="29" t="s">
        <v>361</v>
      </c>
      <c r="Q92" s="29" t="s">
        <v>273</v>
      </c>
    </row>
    <row r="93" spans="1:17" s="29" customFormat="1">
      <c r="A93" s="160">
        <v>5.8288738009259253E-2</v>
      </c>
      <c r="B93" s="29" t="s">
        <v>113</v>
      </c>
      <c r="C93" s="29" t="s">
        <v>370</v>
      </c>
      <c r="E93" s="29" t="s">
        <v>127</v>
      </c>
      <c r="G93" s="29" t="s">
        <v>204</v>
      </c>
      <c r="I93" s="161">
        <v>46238.530613425923</v>
      </c>
      <c r="J93" s="29" t="s">
        <v>359</v>
      </c>
      <c r="K93" s="29" t="s">
        <v>274</v>
      </c>
      <c r="L93" s="162">
        <v>46173</v>
      </c>
      <c r="M93" s="29" t="s">
        <v>360</v>
      </c>
      <c r="N93" s="29" t="s">
        <v>291</v>
      </c>
      <c r="O93" s="29" t="s">
        <v>272</v>
      </c>
      <c r="P93" s="29" t="s">
        <v>361</v>
      </c>
      <c r="Q93" s="29" t="s">
        <v>273</v>
      </c>
    </row>
    <row r="94" spans="1:17" s="29" customFormat="1">
      <c r="A94" s="160">
        <v>5.8809379120370368E-2</v>
      </c>
      <c r="B94" s="29" t="s">
        <v>113</v>
      </c>
      <c r="C94" s="29" t="s">
        <v>363</v>
      </c>
      <c r="E94" s="29" t="s">
        <v>127</v>
      </c>
      <c r="G94" s="29" t="s">
        <v>204</v>
      </c>
      <c r="I94" s="161">
        <v>46238.530497685184</v>
      </c>
      <c r="J94" s="29" t="s">
        <v>359</v>
      </c>
      <c r="K94" s="29" t="s">
        <v>274</v>
      </c>
      <c r="L94" s="162">
        <v>46173</v>
      </c>
      <c r="M94" s="29" t="s">
        <v>360</v>
      </c>
      <c r="N94" s="29" t="s">
        <v>291</v>
      </c>
      <c r="O94" s="29" t="s">
        <v>272</v>
      </c>
      <c r="P94" s="29" t="s">
        <v>361</v>
      </c>
      <c r="Q94" s="29" t="s">
        <v>273</v>
      </c>
    </row>
    <row r="95" spans="1:17" s="29" customFormat="1">
      <c r="A95" s="160">
        <v>5.8753544768518524E-2</v>
      </c>
      <c r="B95" s="29" t="s">
        <v>113</v>
      </c>
      <c r="E95" s="29" t="s">
        <v>339</v>
      </c>
      <c r="G95" s="29" t="s">
        <v>204</v>
      </c>
      <c r="I95" s="161">
        <v>46238.528738425928</v>
      </c>
      <c r="J95" s="29" t="s">
        <v>359</v>
      </c>
      <c r="K95" s="29" t="s">
        <v>274</v>
      </c>
      <c r="L95" s="162">
        <v>46173</v>
      </c>
      <c r="M95" s="29" t="s">
        <v>360</v>
      </c>
      <c r="N95" s="29" t="s">
        <v>291</v>
      </c>
      <c r="O95" s="29" t="s">
        <v>272</v>
      </c>
      <c r="P95" s="29" t="s">
        <v>361</v>
      </c>
      <c r="Q95" s="29" t="s">
        <v>273</v>
      </c>
    </row>
    <row r="96" spans="1:17" s="29" customFormat="1">
      <c r="A96" s="160">
        <v>5.8375391527777779E-2</v>
      </c>
      <c r="B96" s="29" t="s">
        <v>113</v>
      </c>
      <c r="E96" s="29" t="s">
        <v>88</v>
      </c>
      <c r="G96" s="29" t="s">
        <v>204</v>
      </c>
      <c r="I96" s="161">
        <v>46238.528344907405</v>
      </c>
      <c r="J96" s="29" t="s">
        <v>359</v>
      </c>
      <c r="K96" s="29" t="s">
        <v>274</v>
      </c>
      <c r="L96" s="162">
        <v>46173</v>
      </c>
      <c r="M96" s="29" t="s">
        <v>360</v>
      </c>
      <c r="N96" s="29" t="s">
        <v>291</v>
      </c>
      <c r="O96" s="29" t="s">
        <v>272</v>
      </c>
      <c r="P96" s="29" t="s">
        <v>361</v>
      </c>
      <c r="Q96" s="29" t="s">
        <v>273</v>
      </c>
    </row>
    <row r="97" spans="1:17" s="29" customFormat="1">
      <c r="A97" s="160">
        <v>5.8375391527777779E-2</v>
      </c>
      <c r="B97" s="29" t="s">
        <v>113</v>
      </c>
      <c r="C97" s="29" t="s">
        <v>83</v>
      </c>
      <c r="E97" s="29" t="s">
        <v>223</v>
      </c>
      <c r="G97" s="29" t="s">
        <v>117</v>
      </c>
      <c r="I97" s="161">
        <v>46238.528333333335</v>
      </c>
      <c r="J97" s="29" t="s">
        <v>359</v>
      </c>
      <c r="K97" s="29" t="s">
        <v>274</v>
      </c>
      <c r="L97" s="162">
        <v>46173</v>
      </c>
      <c r="M97" s="29" t="s">
        <v>360</v>
      </c>
      <c r="N97" s="29" t="s">
        <v>291</v>
      </c>
      <c r="O97" s="29" t="s">
        <v>272</v>
      </c>
      <c r="P97" s="29" t="s">
        <v>361</v>
      </c>
      <c r="Q97" s="29" t="s">
        <v>273</v>
      </c>
    </row>
    <row r="98" spans="1:17" s="29" customFormat="1">
      <c r="A98" s="160">
        <v>5.8282653495370366E-2</v>
      </c>
      <c r="B98" s="29" t="s">
        <v>113</v>
      </c>
      <c r="E98" s="29" t="s">
        <v>127</v>
      </c>
      <c r="G98" s="29" t="s">
        <v>117</v>
      </c>
      <c r="I98" s="161">
        <v>46238.528136574074</v>
      </c>
      <c r="J98" s="29" t="s">
        <v>359</v>
      </c>
      <c r="K98" s="29" t="s">
        <v>274</v>
      </c>
      <c r="L98" s="162">
        <v>46173</v>
      </c>
      <c r="M98" s="29" t="s">
        <v>360</v>
      </c>
      <c r="N98" s="29" t="s">
        <v>291</v>
      </c>
      <c r="O98" s="29" t="s">
        <v>272</v>
      </c>
      <c r="P98" s="29" t="s">
        <v>361</v>
      </c>
      <c r="Q98" s="29" t="s">
        <v>273</v>
      </c>
    </row>
    <row r="99" spans="1:17" s="29" customFormat="1">
      <c r="A99" s="160">
        <v>5.8245654201388886E-2</v>
      </c>
      <c r="B99" s="29" t="s">
        <v>113</v>
      </c>
      <c r="E99" s="29" t="s">
        <v>339</v>
      </c>
      <c r="G99" s="29" t="s">
        <v>204</v>
      </c>
      <c r="I99" s="161">
        <v>46238.527986111112</v>
      </c>
      <c r="J99" s="29" t="s">
        <v>359</v>
      </c>
      <c r="K99" s="29" t="s">
        <v>274</v>
      </c>
      <c r="L99" s="162">
        <v>46173</v>
      </c>
      <c r="M99" s="29" t="s">
        <v>360</v>
      </c>
      <c r="N99" s="29" t="s">
        <v>291</v>
      </c>
      <c r="O99" s="29" t="s">
        <v>272</v>
      </c>
      <c r="P99" s="29" t="s">
        <v>361</v>
      </c>
      <c r="Q99" s="29" t="s">
        <v>273</v>
      </c>
    </row>
    <row r="100" spans="1:17" s="29" customFormat="1">
      <c r="A100" s="160">
        <v>5.8098093599537035E-2</v>
      </c>
      <c r="B100" s="29" t="s">
        <v>113</v>
      </c>
      <c r="E100" s="29" t="s">
        <v>124</v>
      </c>
      <c r="G100" s="29" t="s">
        <v>204</v>
      </c>
      <c r="I100" s="161">
        <v>46238.52783564815</v>
      </c>
      <c r="J100" s="29" t="s">
        <v>359</v>
      </c>
      <c r="K100" s="29" t="s">
        <v>274</v>
      </c>
      <c r="L100" s="162">
        <v>46173</v>
      </c>
      <c r="M100" s="29" t="s">
        <v>360</v>
      </c>
      <c r="N100" s="29" t="s">
        <v>291</v>
      </c>
      <c r="O100" s="29" t="s">
        <v>272</v>
      </c>
      <c r="P100" s="29" t="s">
        <v>361</v>
      </c>
      <c r="Q100" s="29" t="s">
        <v>273</v>
      </c>
    </row>
    <row r="101" spans="1:17" s="29" customFormat="1">
      <c r="A101" s="160">
        <v>5.7670716817129632E-2</v>
      </c>
      <c r="B101" s="29" t="s">
        <v>113</v>
      </c>
      <c r="E101" s="29" t="s">
        <v>88</v>
      </c>
      <c r="G101" s="29" t="s">
        <v>204</v>
      </c>
      <c r="I101" s="161">
        <v>46238.527407407404</v>
      </c>
      <c r="J101" s="29" t="s">
        <v>359</v>
      </c>
      <c r="K101" s="29" t="s">
        <v>274</v>
      </c>
      <c r="L101" s="162">
        <v>46173</v>
      </c>
      <c r="M101" s="29" t="s">
        <v>360</v>
      </c>
      <c r="N101" s="29" t="s">
        <v>291</v>
      </c>
      <c r="O101" s="29" t="s">
        <v>272</v>
      </c>
      <c r="P101" s="29" t="s">
        <v>361</v>
      </c>
      <c r="Q101" s="29" t="s">
        <v>273</v>
      </c>
    </row>
    <row r="102" spans="1:17" s="29" customFormat="1">
      <c r="A102" s="160">
        <v>5.7643051342592594E-2</v>
      </c>
      <c r="B102" s="29" t="s">
        <v>113</v>
      </c>
      <c r="C102" s="29" t="s">
        <v>83</v>
      </c>
      <c r="E102" s="29" t="s">
        <v>223</v>
      </c>
      <c r="G102" s="29" t="s">
        <v>117</v>
      </c>
      <c r="I102" s="161">
        <v>46238.527395833335</v>
      </c>
      <c r="J102" s="29" t="s">
        <v>359</v>
      </c>
      <c r="K102" s="29" t="s">
        <v>274</v>
      </c>
      <c r="L102" s="162">
        <v>46173</v>
      </c>
      <c r="M102" s="29" t="s">
        <v>360</v>
      </c>
      <c r="N102" s="29" t="s">
        <v>291</v>
      </c>
      <c r="O102" s="29" t="s">
        <v>272</v>
      </c>
      <c r="P102" s="29" t="s">
        <v>361</v>
      </c>
      <c r="Q102" s="29" t="s">
        <v>273</v>
      </c>
    </row>
    <row r="103" spans="1:17" s="29" customFormat="1">
      <c r="A103" s="160">
        <v>5.7455407766203705E-2</v>
      </c>
      <c r="B103" s="29" t="s">
        <v>113</v>
      </c>
      <c r="C103" s="29" t="s">
        <v>368</v>
      </c>
      <c r="E103" s="29" t="s">
        <v>130</v>
      </c>
      <c r="G103" s="29" t="s">
        <v>117</v>
      </c>
      <c r="I103" s="161">
        <v>46238.52716435185</v>
      </c>
      <c r="J103" s="29" t="s">
        <v>359</v>
      </c>
      <c r="K103" s="29" t="s">
        <v>274</v>
      </c>
      <c r="L103" s="162">
        <v>46173</v>
      </c>
      <c r="M103" s="29" t="s">
        <v>360</v>
      </c>
      <c r="N103" s="29" t="s">
        <v>291</v>
      </c>
      <c r="O103" s="29" t="s">
        <v>272</v>
      </c>
      <c r="P103" s="29" t="s">
        <v>361</v>
      </c>
      <c r="Q103" s="29" t="s">
        <v>273</v>
      </c>
    </row>
    <row r="104" spans="1:17" s="29" customFormat="1">
      <c r="A104" s="160">
        <v>5.710790571759259E-2</v>
      </c>
      <c r="B104" s="29" t="s">
        <v>113</v>
      </c>
      <c r="E104" s="29" t="s">
        <v>123</v>
      </c>
      <c r="G104" s="29" t="s">
        <v>117</v>
      </c>
      <c r="I104" s="161">
        <v>46238.526655092595</v>
      </c>
      <c r="J104" s="29" t="s">
        <v>359</v>
      </c>
      <c r="K104" s="29" t="s">
        <v>274</v>
      </c>
      <c r="L104" s="162">
        <v>46173</v>
      </c>
      <c r="M104" s="29" t="s">
        <v>360</v>
      </c>
      <c r="N104" s="29" t="s">
        <v>291</v>
      </c>
      <c r="O104" s="29" t="s">
        <v>272</v>
      </c>
      <c r="P104" s="29" t="s">
        <v>361</v>
      </c>
      <c r="Q104" s="29" t="s">
        <v>273</v>
      </c>
    </row>
    <row r="105" spans="1:17" s="29" customFormat="1">
      <c r="A105" s="160">
        <v>5.674664787037037E-2</v>
      </c>
      <c r="B105" s="29" t="s">
        <v>113</v>
      </c>
      <c r="E105" s="29" t="s">
        <v>88</v>
      </c>
      <c r="G105" s="29" t="s">
        <v>117</v>
      </c>
      <c r="I105" s="161">
        <v>46238.526469907411</v>
      </c>
      <c r="J105" s="29" t="s">
        <v>359</v>
      </c>
      <c r="K105" s="29" t="s">
        <v>274</v>
      </c>
      <c r="L105" s="162">
        <v>46173</v>
      </c>
      <c r="M105" s="29" t="s">
        <v>360</v>
      </c>
      <c r="N105" s="29" t="s">
        <v>291</v>
      </c>
      <c r="O105" s="29" t="s">
        <v>272</v>
      </c>
      <c r="P105" s="29" t="s">
        <v>361</v>
      </c>
      <c r="Q105" s="29" t="s">
        <v>273</v>
      </c>
    </row>
    <row r="106" spans="1:17" s="29" customFormat="1">
      <c r="A106" s="160">
        <v>5.6555783217592595E-2</v>
      </c>
      <c r="B106" s="29" t="s">
        <v>113</v>
      </c>
      <c r="E106" s="29" t="s">
        <v>253</v>
      </c>
      <c r="F106" s="29" t="s">
        <v>83</v>
      </c>
      <c r="G106" s="29" t="s">
        <v>117</v>
      </c>
      <c r="I106" s="161">
        <v>46238.526458333334</v>
      </c>
      <c r="J106" s="29" t="s">
        <v>359</v>
      </c>
      <c r="K106" s="29" t="s">
        <v>274</v>
      </c>
      <c r="L106" s="162">
        <v>46173</v>
      </c>
      <c r="M106" s="29" t="s">
        <v>360</v>
      </c>
      <c r="N106" s="29" t="s">
        <v>291</v>
      </c>
      <c r="O106" s="29" t="s">
        <v>272</v>
      </c>
      <c r="P106" s="29" t="s">
        <v>361</v>
      </c>
      <c r="Q106" s="29" t="s">
        <v>273</v>
      </c>
    </row>
    <row r="107" spans="1:17" s="29" customFormat="1">
      <c r="A107" s="160">
        <v>5.6503679988425932E-2</v>
      </c>
      <c r="B107" s="29" t="s">
        <v>113</v>
      </c>
      <c r="E107" s="29" t="s">
        <v>127</v>
      </c>
      <c r="G107" s="29" t="s">
        <v>117</v>
      </c>
      <c r="I107" s="161">
        <v>46238.526122685187</v>
      </c>
      <c r="J107" s="29" t="s">
        <v>359</v>
      </c>
      <c r="K107" s="29" t="s">
        <v>274</v>
      </c>
      <c r="L107" s="162">
        <v>46173</v>
      </c>
      <c r="M107" s="29" t="s">
        <v>360</v>
      </c>
      <c r="N107" s="29" t="s">
        <v>291</v>
      </c>
      <c r="O107" s="29" t="s">
        <v>272</v>
      </c>
      <c r="P107" s="29" t="s">
        <v>361</v>
      </c>
      <c r="Q107" s="29" t="s">
        <v>273</v>
      </c>
    </row>
    <row r="108" spans="1:17" s="29" customFormat="1">
      <c r="A108" s="160">
        <v>5.6440021956018521E-2</v>
      </c>
      <c r="B108" s="29" t="s">
        <v>113</v>
      </c>
      <c r="E108" s="29" t="s">
        <v>127</v>
      </c>
      <c r="G108" s="29" t="s">
        <v>117</v>
      </c>
      <c r="I108" s="161">
        <v>46238.526030092595</v>
      </c>
      <c r="J108" s="29" t="s">
        <v>359</v>
      </c>
      <c r="K108" s="29" t="s">
        <v>274</v>
      </c>
      <c r="L108" s="162">
        <v>46173</v>
      </c>
      <c r="M108" s="29" t="s">
        <v>360</v>
      </c>
      <c r="N108" s="29" t="s">
        <v>291</v>
      </c>
      <c r="O108" s="29" t="s">
        <v>272</v>
      </c>
      <c r="P108" s="29" t="s">
        <v>361</v>
      </c>
      <c r="Q108" s="29" t="s">
        <v>273</v>
      </c>
    </row>
    <row r="109" spans="1:17" s="29" customFormat="1">
      <c r="A109" s="160">
        <v>5.6300989027777776E-2</v>
      </c>
      <c r="B109" s="29" t="s">
        <v>113</v>
      </c>
      <c r="C109" s="29" t="s">
        <v>368</v>
      </c>
      <c r="E109" s="29" t="s">
        <v>130</v>
      </c>
      <c r="G109" s="29" t="s">
        <v>117</v>
      </c>
      <c r="I109" s="161">
        <v>46238.525833333333</v>
      </c>
      <c r="J109" s="29" t="s">
        <v>359</v>
      </c>
      <c r="K109" s="29" t="s">
        <v>274</v>
      </c>
      <c r="L109" s="162">
        <v>46173</v>
      </c>
      <c r="M109" s="29" t="s">
        <v>360</v>
      </c>
      <c r="N109" s="29" t="s">
        <v>291</v>
      </c>
      <c r="O109" s="29" t="s">
        <v>272</v>
      </c>
      <c r="P109" s="29" t="s">
        <v>361</v>
      </c>
      <c r="Q109" s="29" t="s">
        <v>273</v>
      </c>
    </row>
    <row r="110" spans="1:17" s="29" customFormat="1">
      <c r="A110" s="160">
        <v>5.6095367615740736E-2</v>
      </c>
      <c r="B110" s="29" t="s">
        <v>113</v>
      </c>
      <c r="E110" s="29" t="s">
        <v>123</v>
      </c>
      <c r="G110" s="29" t="s">
        <v>117</v>
      </c>
      <c r="I110" s="161">
        <v>46238.525590277779</v>
      </c>
      <c r="J110" s="29" t="s">
        <v>359</v>
      </c>
      <c r="K110" s="29" t="s">
        <v>274</v>
      </c>
      <c r="L110" s="162">
        <v>46173</v>
      </c>
      <c r="M110" s="29" t="s">
        <v>360</v>
      </c>
      <c r="N110" s="29" t="s">
        <v>291</v>
      </c>
      <c r="O110" s="29" t="s">
        <v>272</v>
      </c>
      <c r="P110" s="29" t="s">
        <v>361</v>
      </c>
      <c r="Q110" s="29" t="s">
        <v>273</v>
      </c>
    </row>
    <row r="111" spans="1:17" s="29" customFormat="1">
      <c r="A111" s="160">
        <v>5.5902550266203707E-2</v>
      </c>
      <c r="B111" s="29" t="s">
        <v>113</v>
      </c>
      <c r="E111" s="29" t="s">
        <v>88</v>
      </c>
      <c r="G111" s="29" t="s">
        <v>117</v>
      </c>
      <c r="I111" s="161">
        <v>46238.525266203702</v>
      </c>
      <c r="J111" s="29" t="s">
        <v>359</v>
      </c>
      <c r="K111" s="29" t="s">
        <v>274</v>
      </c>
      <c r="L111" s="162">
        <v>46173</v>
      </c>
      <c r="M111" s="29" t="s">
        <v>360</v>
      </c>
      <c r="N111" s="29" t="s">
        <v>291</v>
      </c>
      <c r="O111" s="29" t="s">
        <v>272</v>
      </c>
      <c r="P111" s="29" t="s">
        <v>361</v>
      </c>
      <c r="Q111" s="29" t="s">
        <v>273</v>
      </c>
    </row>
    <row r="112" spans="1:17" s="29" customFormat="1">
      <c r="A112" s="160">
        <v>5.573470282407407E-2</v>
      </c>
      <c r="B112" s="29" t="s">
        <v>113</v>
      </c>
      <c r="E112" s="29" t="s">
        <v>253</v>
      </c>
      <c r="F112" s="29" t="s">
        <v>83</v>
      </c>
      <c r="G112" s="29" t="s">
        <v>117</v>
      </c>
      <c r="I112" s="161">
        <v>46238.525127314817</v>
      </c>
      <c r="J112" s="29" t="s">
        <v>359</v>
      </c>
      <c r="K112" s="29" t="s">
        <v>274</v>
      </c>
      <c r="L112" s="162">
        <v>46173</v>
      </c>
      <c r="M112" s="29" t="s">
        <v>360</v>
      </c>
      <c r="N112" s="29" t="s">
        <v>291</v>
      </c>
      <c r="O112" s="29" t="s">
        <v>272</v>
      </c>
      <c r="P112" s="29" t="s">
        <v>361</v>
      </c>
      <c r="Q112" s="29" t="s">
        <v>273</v>
      </c>
    </row>
    <row r="113" spans="1:17" s="29" customFormat="1">
      <c r="A113" s="160">
        <v>5.5459139699074074E-2</v>
      </c>
      <c r="B113" s="29" t="s">
        <v>113</v>
      </c>
      <c r="E113" s="29" t="s">
        <v>88</v>
      </c>
      <c r="G113" s="29" t="s">
        <v>204</v>
      </c>
      <c r="I113" s="161">
        <v>46238.524710648147</v>
      </c>
      <c r="J113" s="29" t="s">
        <v>359</v>
      </c>
      <c r="K113" s="29" t="s">
        <v>274</v>
      </c>
      <c r="L113" s="162">
        <v>46173</v>
      </c>
      <c r="M113" s="29" t="s">
        <v>360</v>
      </c>
      <c r="N113" s="29" t="s">
        <v>291</v>
      </c>
      <c r="O113" s="29" t="s">
        <v>272</v>
      </c>
      <c r="P113" s="29" t="s">
        <v>361</v>
      </c>
      <c r="Q113" s="29" t="s">
        <v>273</v>
      </c>
    </row>
    <row r="114" spans="1:17" s="29" customFormat="1">
      <c r="A114" s="160">
        <v>5.5422253587962968E-2</v>
      </c>
      <c r="B114" s="29" t="s">
        <v>113</v>
      </c>
      <c r="E114" s="29" t="s">
        <v>228</v>
      </c>
      <c r="G114" s="29" t="s">
        <v>204</v>
      </c>
      <c r="I114" s="161">
        <v>46238.524664351855</v>
      </c>
      <c r="J114" s="29" t="s">
        <v>359</v>
      </c>
      <c r="K114" s="29" t="s">
        <v>274</v>
      </c>
      <c r="L114" s="162">
        <v>46173</v>
      </c>
      <c r="M114" s="29" t="s">
        <v>360</v>
      </c>
      <c r="N114" s="29" t="s">
        <v>291</v>
      </c>
      <c r="O114" s="29" t="s">
        <v>272</v>
      </c>
      <c r="P114" s="29" t="s">
        <v>361</v>
      </c>
      <c r="Q114" s="29" t="s">
        <v>273</v>
      </c>
    </row>
    <row r="115" spans="1:17" s="29" customFormat="1">
      <c r="A115" s="160">
        <v>5.5399138587962964E-2</v>
      </c>
      <c r="B115" s="29" t="s">
        <v>113</v>
      </c>
      <c r="E115" s="29" t="s">
        <v>224</v>
      </c>
      <c r="G115" s="29" t="s">
        <v>117</v>
      </c>
      <c r="I115" s="161">
        <v>46238.524606481478</v>
      </c>
      <c r="J115" s="29" t="s">
        <v>359</v>
      </c>
      <c r="K115" s="29" t="s">
        <v>274</v>
      </c>
      <c r="L115" s="162">
        <v>46173</v>
      </c>
      <c r="M115" s="29" t="s">
        <v>360</v>
      </c>
      <c r="N115" s="29" t="s">
        <v>291</v>
      </c>
      <c r="O115" s="29" t="s">
        <v>272</v>
      </c>
      <c r="P115" s="29" t="s">
        <v>361</v>
      </c>
      <c r="Q115" s="29" t="s">
        <v>273</v>
      </c>
    </row>
    <row r="116" spans="1:17" s="29" customFormat="1">
      <c r="A116" s="160">
        <v>5.5346920601851847E-2</v>
      </c>
      <c r="B116" s="29" t="s">
        <v>113</v>
      </c>
      <c r="E116" s="29" t="s">
        <v>223</v>
      </c>
      <c r="G116" s="29" t="s">
        <v>204</v>
      </c>
      <c r="I116" s="161">
        <v>46238.524502314816</v>
      </c>
      <c r="J116" s="29" t="s">
        <v>359</v>
      </c>
      <c r="K116" s="29" t="s">
        <v>274</v>
      </c>
      <c r="L116" s="162">
        <v>46173</v>
      </c>
      <c r="M116" s="29" t="s">
        <v>360</v>
      </c>
      <c r="N116" s="29" t="s">
        <v>291</v>
      </c>
      <c r="O116" s="29" t="s">
        <v>272</v>
      </c>
      <c r="P116" s="29" t="s">
        <v>361</v>
      </c>
      <c r="Q116" s="29" t="s">
        <v>273</v>
      </c>
    </row>
    <row r="117" spans="1:17" s="29" customFormat="1">
      <c r="A117" s="160">
        <v>5.5300516493055549E-2</v>
      </c>
      <c r="B117" s="29" t="s">
        <v>113</v>
      </c>
      <c r="C117" s="29" t="s">
        <v>372</v>
      </c>
      <c r="E117" s="29" t="s">
        <v>127</v>
      </c>
      <c r="G117" s="29" t="s">
        <v>204</v>
      </c>
      <c r="I117" s="161">
        <v>46238.524375000001</v>
      </c>
      <c r="J117" s="29" t="s">
        <v>359</v>
      </c>
      <c r="K117" s="29" t="s">
        <v>274</v>
      </c>
      <c r="L117" s="162">
        <v>46173</v>
      </c>
      <c r="M117" s="29" t="s">
        <v>360</v>
      </c>
      <c r="N117" s="29" t="s">
        <v>291</v>
      </c>
      <c r="O117" s="29" t="s">
        <v>272</v>
      </c>
      <c r="P117" s="29" t="s">
        <v>361</v>
      </c>
      <c r="Q117" s="29" t="s">
        <v>273</v>
      </c>
    </row>
    <row r="118" spans="1:17" s="29" customFormat="1">
      <c r="A118" s="160">
        <v>5.5208307812500003E-2</v>
      </c>
      <c r="B118" s="29" t="s">
        <v>113</v>
      </c>
      <c r="C118" s="29" t="s">
        <v>373</v>
      </c>
      <c r="E118" s="29" t="s">
        <v>127</v>
      </c>
      <c r="G118" s="29" t="s">
        <v>204</v>
      </c>
      <c r="I118" s="161">
        <v>46238.524027777778</v>
      </c>
      <c r="J118" s="29" t="s">
        <v>359</v>
      </c>
      <c r="K118" s="29" t="s">
        <v>274</v>
      </c>
      <c r="L118" s="162">
        <v>46173</v>
      </c>
      <c r="M118" s="29" t="s">
        <v>360</v>
      </c>
      <c r="N118" s="29" t="s">
        <v>291</v>
      </c>
      <c r="O118" s="29" t="s">
        <v>272</v>
      </c>
      <c r="P118" s="29" t="s">
        <v>361</v>
      </c>
      <c r="Q118" s="29" t="s">
        <v>273</v>
      </c>
    </row>
    <row r="119" spans="1:17" s="29" customFormat="1">
      <c r="A119" s="160">
        <v>5.5185561226851844E-2</v>
      </c>
      <c r="B119" s="29" t="s">
        <v>113</v>
      </c>
      <c r="C119" s="29" t="s">
        <v>363</v>
      </c>
      <c r="E119" s="29" t="s">
        <v>59</v>
      </c>
      <c r="G119" s="29" t="s">
        <v>204</v>
      </c>
      <c r="I119" s="161">
        <v>46238.523784722223</v>
      </c>
      <c r="J119" s="29" t="s">
        <v>359</v>
      </c>
      <c r="K119" s="29" t="s">
        <v>274</v>
      </c>
      <c r="L119" s="162">
        <v>46173</v>
      </c>
      <c r="M119" s="29" t="s">
        <v>360</v>
      </c>
      <c r="N119" s="29" t="s">
        <v>291</v>
      </c>
      <c r="O119" s="29" t="s">
        <v>272</v>
      </c>
      <c r="P119" s="29" t="s">
        <v>361</v>
      </c>
      <c r="Q119" s="29" t="s">
        <v>273</v>
      </c>
    </row>
    <row r="120" spans="1:17" s="29" customFormat="1">
      <c r="A120" s="160">
        <v>5.4983027303240749E-2</v>
      </c>
      <c r="B120" s="29" t="s">
        <v>113</v>
      </c>
      <c r="E120" s="29" t="s">
        <v>132</v>
      </c>
      <c r="G120" s="29" t="s">
        <v>204</v>
      </c>
      <c r="I120" s="161">
        <v>46238.523506944446</v>
      </c>
      <c r="J120" s="29" t="s">
        <v>359</v>
      </c>
      <c r="K120" s="29" t="s">
        <v>274</v>
      </c>
      <c r="L120" s="162">
        <v>46173</v>
      </c>
      <c r="M120" s="29" t="s">
        <v>360</v>
      </c>
      <c r="N120" s="29" t="s">
        <v>291</v>
      </c>
      <c r="O120" s="29" t="s">
        <v>272</v>
      </c>
      <c r="P120" s="29" t="s">
        <v>361</v>
      </c>
      <c r="Q120" s="29" t="s">
        <v>273</v>
      </c>
    </row>
    <row r="121" spans="1:17" s="29" customFormat="1">
      <c r="A121" s="160">
        <v>5.4939844548611116E-2</v>
      </c>
      <c r="B121" s="29" t="s">
        <v>113</v>
      </c>
      <c r="E121" s="29" t="s">
        <v>123</v>
      </c>
      <c r="G121" s="29" t="s">
        <v>204</v>
      </c>
      <c r="I121" s="161">
        <v>46238.523425925923</v>
      </c>
      <c r="J121" s="29" t="s">
        <v>359</v>
      </c>
      <c r="K121" s="29" t="s">
        <v>274</v>
      </c>
      <c r="L121" s="162">
        <v>46173</v>
      </c>
      <c r="M121" s="29" t="s">
        <v>360</v>
      </c>
      <c r="N121" s="29" t="s">
        <v>291</v>
      </c>
      <c r="O121" s="29" t="s">
        <v>272</v>
      </c>
      <c r="P121" s="29" t="s">
        <v>361</v>
      </c>
      <c r="Q121" s="29" t="s">
        <v>273</v>
      </c>
    </row>
    <row r="122" spans="1:17" s="29" customFormat="1">
      <c r="A122" s="160">
        <v>5.4463314976851855E-2</v>
      </c>
      <c r="B122" s="29" t="s">
        <v>113</v>
      </c>
      <c r="E122" s="29" t="s">
        <v>88</v>
      </c>
      <c r="G122" s="29" t="s">
        <v>117</v>
      </c>
      <c r="I122" s="161">
        <v>46238.522939814815</v>
      </c>
      <c r="J122" s="29" t="s">
        <v>359</v>
      </c>
      <c r="K122" s="29" t="s">
        <v>274</v>
      </c>
      <c r="L122" s="162">
        <v>46173</v>
      </c>
      <c r="M122" s="29" t="s">
        <v>360</v>
      </c>
      <c r="N122" s="29" t="s">
        <v>291</v>
      </c>
      <c r="O122" s="29" t="s">
        <v>272</v>
      </c>
      <c r="P122" s="29" t="s">
        <v>361</v>
      </c>
      <c r="Q122" s="29" t="s">
        <v>273</v>
      </c>
    </row>
    <row r="123" spans="1:17" s="29" customFormat="1">
      <c r="A123" s="160">
        <v>5.4423360995370373E-2</v>
      </c>
      <c r="B123" s="29" t="s">
        <v>113</v>
      </c>
      <c r="E123" s="29" t="s">
        <v>224</v>
      </c>
      <c r="G123" s="29" t="s">
        <v>117</v>
      </c>
      <c r="I123" s="161">
        <v>46238.522905092592</v>
      </c>
      <c r="J123" s="29" t="s">
        <v>359</v>
      </c>
      <c r="K123" s="29" t="s">
        <v>274</v>
      </c>
      <c r="L123" s="162">
        <v>46173</v>
      </c>
      <c r="M123" s="29" t="s">
        <v>360</v>
      </c>
      <c r="N123" s="29" t="s">
        <v>291</v>
      </c>
      <c r="O123" s="29" t="s">
        <v>272</v>
      </c>
      <c r="P123" s="29" t="s">
        <v>361</v>
      </c>
      <c r="Q123" s="29" t="s">
        <v>273</v>
      </c>
    </row>
    <row r="124" spans="1:17" s="29" customFormat="1">
      <c r="A124" s="160">
        <v>5.4358749224537033E-2</v>
      </c>
      <c r="B124" s="29" t="s">
        <v>113</v>
      </c>
      <c r="E124" s="29" t="s">
        <v>127</v>
      </c>
      <c r="G124" s="29" t="s">
        <v>117</v>
      </c>
      <c r="I124" s="161">
        <v>46238.522835648146</v>
      </c>
      <c r="J124" s="29" t="s">
        <v>359</v>
      </c>
      <c r="K124" s="29" t="s">
        <v>274</v>
      </c>
      <c r="L124" s="162">
        <v>46173</v>
      </c>
      <c r="M124" s="29" t="s">
        <v>360</v>
      </c>
      <c r="N124" s="29" t="s">
        <v>291</v>
      </c>
      <c r="O124" s="29" t="s">
        <v>272</v>
      </c>
      <c r="P124" s="29" t="s">
        <v>361</v>
      </c>
      <c r="Q124" s="29" t="s">
        <v>273</v>
      </c>
    </row>
    <row r="125" spans="1:17" s="29" customFormat="1">
      <c r="A125" s="160">
        <v>5.4220443576388888E-2</v>
      </c>
      <c r="B125" s="29" t="s">
        <v>113</v>
      </c>
      <c r="E125" s="29" t="s">
        <v>127</v>
      </c>
      <c r="G125" s="29" t="s">
        <v>117</v>
      </c>
      <c r="I125" s="161">
        <v>46238.52270833333</v>
      </c>
      <c r="J125" s="29" t="s">
        <v>359</v>
      </c>
      <c r="K125" s="29" t="s">
        <v>274</v>
      </c>
      <c r="L125" s="162">
        <v>46173</v>
      </c>
      <c r="M125" s="29" t="s">
        <v>360</v>
      </c>
      <c r="N125" s="29" t="s">
        <v>291</v>
      </c>
      <c r="O125" s="29" t="s">
        <v>272</v>
      </c>
      <c r="P125" s="29" t="s">
        <v>361</v>
      </c>
      <c r="Q125" s="29" t="s">
        <v>273</v>
      </c>
    </row>
    <row r="126" spans="1:17" s="29" customFormat="1">
      <c r="A126" s="160">
        <v>5.4183513773148145E-2</v>
      </c>
      <c r="B126" s="29" t="s">
        <v>113</v>
      </c>
      <c r="E126" s="29" t="s">
        <v>226</v>
      </c>
      <c r="G126" s="29" t="s">
        <v>117</v>
      </c>
      <c r="I126" s="161">
        <v>46238.522662037038</v>
      </c>
      <c r="J126" s="29" t="s">
        <v>359</v>
      </c>
      <c r="K126" s="29" t="s">
        <v>274</v>
      </c>
      <c r="L126" s="162">
        <v>46173</v>
      </c>
      <c r="M126" s="29" t="s">
        <v>360</v>
      </c>
      <c r="N126" s="29" t="s">
        <v>291</v>
      </c>
      <c r="O126" s="29" t="s">
        <v>272</v>
      </c>
      <c r="P126" s="29" t="s">
        <v>361</v>
      </c>
      <c r="Q126" s="29" t="s">
        <v>273</v>
      </c>
    </row>
    <row r="127" spans="1:17" s="29" customFormat="1">
      <c r="A127" s="160">
        <v>5.4115912175925922E-2</v>
      </c>
      <c r="B127" s="29" t="s">
        <v>113</v>
      </c>
      <c r="E127" s="29" t="s">
        <v>224</v>
      </c>
      <c r="G127" s="29" t="s">
        <v>117</v>
      </c>
      <c r="I127" s="161">
        <v>46238.522604166668</v>
      </c>
      <c r="J127" s="29" t="s">
        <v>359</v>
      </c>
      <c r="K127" s="29" t="s">
        <v>274</v>
      </c>
      <c r="L127" s="162">
        <v>46173</v>
      </c>
      <c r="M127" s="29" t="s">
        <v>360</v>
      </c>
      <c r="N127" s="29" t="s">
        <v>291</v>
      </c>
      <c r="O127" s="29" t="s">
        <v>272</v>
      </c>
      <c r="P127" s="29" t="s">
        <v>361</v>
      </c>
      <c r="Q127" s="29" t="s">
        <v>273</v>
      </c>
    </row>
    <row r="128" spans="1:17" s="29" customFormat="1">
      <c r="A128" s="160">
        <v>5.4074252233796291E-2</v>
      </c>
      <c r="B128" s="29" t="s">
        <v>113</v>
      </c>
      <c r="E128" s="29" t="s">
        <v>339</v>
      </c>
      <c r="G128" s="29" t="s">
        <v>204</v>
      </c>
      <c r="I128" s="161">
        <v>46238.522557870368</v>
      </c>
      <c r="J128" s="29" t="s">
        <v>359</v>
      </c>
      <c r="K128" s="29" t="s">
        <v>274</v>
      </c>
      <c r="L128" s="162">
        <v>46173</v>
      </c>
      <c r="M128" s="29" t="s">
        <v>360</v>
      </c>
      <c r="N128" s="29" t="s">
        <v>291</v>
      </c>
      <c r="O128" s="29" t="s">
        <v>272</v>
      </c>
      <c r="P128" s="29" t="s">
        <v>361</v>
      </c>
      <c r="Q128" s="29" t="s">
        <v>273</v>
      </c>
    </row>
    <row r="129" spans="1:17" s="29" customFormat="1">
      <c r="A129" s="160">
        <v>5.3877498587962966E-2</v>
      </c>
      <c r="B129" s="29" t="s">
        <v>113</v>
      </c>
      <c r="E129" s="29" t="s">
        <v>124</v>
      </c>
      <c r="G129" s="29" t="s">
        <v>204</v>
      </c>
      <c r="I129" s="161">
        <v>46238.522361111114</v>
      </c>
      <c r="J129" s="29" t="s">
        <v>359</v>
      </c>
      <c r="K129" s="29" t="s">
        <v>274</v>
      </c>
      <c r="L129" s="162">
        <v>46173</v>
      </c>
      <c r="M129" s="29" t="s">
        <v>360</v>
      </c>
      <c r="N129" s="29" t="s">
        <v>291</v>
      </c>
      <c r="O129" s="29" t="s">
        <v>272</v>
      </c>
      <c r="P129" s="29" t="s">
        <v>361</v>
      </c>
      <c r="Q129" s="29" t="s">
        <v>273</v>
      </c>
    </row>
    <row r="130" spans="1:17" s="29" customFormat="1">
      <c r="A130" s="160">
        <v>5.3652981944444449E-2</v>
      </c>
      <c r="B130" s="29" t="s">
        <v>113</v>
      </c>
      <c r="E130" s="29" t="s">
        <v>88</v>
      </c>
      <c r="G130" s="29" t="s">
        <v>204</v>
      </c>
      <c r="I130" s="161">
        <v>46238.521898148145</v>
      </c>
      <c r="J130" s="29" t="s">
        <v>359</v>
      </c>
      <c r="K130" s="29" t="s">
        <v>274</v>
      </c>
      <c r="L130" s="162">
        <v>46173</v>
      </c>
      <c r="M130" s="29" t="s">
        <v>360</v>
      </c>
      <c r="N130" s="29" t="s">
        <v>291</v>
      </c>
      <c r="O130" s="29" t="s">
        <v>272</v>
      </c>
      <c r="P130" s="29" t="s">
        <v>361</v>
      </c>
      <c r="Q130" s="29" t="s">
        <v>273</v>
      </c>
    </row>
    <row r="131" spans="1:17" s="29" customFormat="1">
      <c r="A131" s="160">
        <v>5.3606888599537043E-2</v>
      </c>
      <c r="B131" s="29" t="s">
        <v>113</v>
      </c>
      <c r="C131" s="29" t="s">
        <v>372</v>
      </c>
      <c r="E131" s="29" t="s">
        <v>223</v>
      </c>
      <c r="G131" s="29" t="s">
        <v>117</v>
      </c>
      <c r="I131" s="161">
        <v>46238.521886574075</v>
      </c>
      <c r="J131" s="29" t="s">
        <v>359</v>
      </c>
      <c r="K131" s="29" t="s">
        <v>274</v>
      </c>
      <c r="L131" s="162">
        <v>46173</v>
      </c>
      <c r="M131" s="29" t="s">
        <v>360</v>
      </c>
      <c r="N131" s="29" t="s">
        <v>291</v>
      </c>
      <c r="O131" s="29" t="s">
        <v>272</v>
      </c>
      <c r="P131" s="29" t="s">
        <v>361</v>
      </c>
      <c r="Q131" s="29" t="s">
        <v>273</v>
      </c>
    </row>
    <row r="132" spans="1:17" s="29" customFormat="1">
      <c r="A132" s="160">
        <v>5.3563841655092592E-2</v>
      </c>
      <c r="B132" s="29" t="s">
        <v>113</v>
      </c>
      <c r="E132" s="29" t="s">
        <v>127</v>
      </c>
      <c r="G132" s="29" t="s">
        <v>117</v>
      </c>
      <c r="I132" s="161">
        <v>46238.521805555552</v>
      </c>
      <c r="J132" s="29" t="s">
        <v>359</v>
      </c>
      <c r="K132" s="29" t="s">
        <v>274</v>
      </c>
      <c r="L132" s="162">
        <v>46173</v>
      </c>
      <c r="M132" s="29" t="s">
        <v>360</v>
      </c>
      <c r="N132" s="29" t="s">
        <v>291</v>
      </c>
      <c r="O132" s="29" t="s">
        <v>272</v>
      </c>
      <c r="P132" s="29" t="s">
        <v>361</v>
      </c>
      <c r="Q132" s="29" t="s">
        <v>273</v>
      </c>
    </row>
    <row r="133" spans="1:17" s="29" customFormat="1">
      <c r="A133" s="160">
        <v>5.3511586550925923E-2</v>
      </c>
      <c r="B133" s="29" t="s">
        <v>113</v>
      </c>
      <c r="E133" s="29" t="s">
        <v>127</v>
      </c>
      <c r="G133" s="29" t="s">
        <v>117</v>
      </c>
      <c r="I133" s="161">
        <v>46238.52175925926</v>
      </c>
      <c r="J133" s="29" t="s">
        <v>359</v>
      </c>
      <c r="K133" s="29" t="s">
        <v>274</v>
      </c>
      <c r="L133" s="162">
        <v>46173</v>
      </c>
      <c r="M133" s="29" t="s">
        <v>360</v>
      </c>
      <c r="N133" s="29" t="s">
        <v>291</v>
      </c>
      <c r="O133" s="29" t="s">
        <v>272</v>
      </c>
      <c r="P133" s="29" t="s">
        <v>361</v>
      </c>
      <c r="Q133" s="29" t="s">
        <v>273</v>
      </c>
    </row>
    <row r="134" spans="1:17" s="29" customFormat="1">
      <c r="A134" s="160">
        <v>5.3425466643518521E-2</v>
      </c>
      <c r="B134" s="29" t="s">
        <v>113</v>
      </c>
      <c r="E134" s="29" t="s">
        <v>127</v>
      </c>
      <c r="G134" s="29" t="s">
        <v>117</v>
      </c>
      <c r="I134" s="161">
        <v>46238.521678240744</v>
      </c>
      <c r="J134" s="29" t="s">
        <v>359</v>
      </c>
      <c r="K134" s="29" t="s">
        <v>274</v>
      </c>
      <c r="L134" s="162">
        <v>46173</v>
      </c>
      <c r="M134" s="29" t="s">
        <v>360</v>
      </c>
      <c r="N134" s="29" t="s">
        <v>291</v>
      </c>
      <c r="O134" s="29" t="s">
        <v>272</v>
      </c>
      <c r="P134" s="29" t="s">
        <v>361</v>
      </c>
      <c r="Q134" s="29" t="s">
        <v>273</v>
      </c>
    </row>
    <row r="135" spans="1:17" s="29" customFormat="1">
      <c r="A135" s="160">
        <v>5.334863222222222E-2</v>
      </c>
      <c r="B135" s="29" t="s">
        <v>113</v>
      </c>
      <c r="E135" s="29" t="s">
        <v>127</v>
      </c>
      <c r="G135" s="29" t="s">
        <v>117</v>
      </c>
      <c r="I135" s="161">
        <v>46238.521597222221</v>
      </c>
      <c r="J135" s="29" t="s">
        <v>359</v>
      </c>
      <c r="K135" s="29" t="s">
        <v>274</v>
      </c>
      <c r="L135" s="162">
        <v>46173</v>
      </c>
      <c r="M135" s="29" t="s">
        <v>360</v>
      </c>
      <c r="N135" s="29" t="s">
        <v>291</v>
      </c>
      <c r="O135" s="29" t="s">
        <v>272</v>
      </c>
      <c r="P135" s="29" t="s">
        <v>361</v>
      </c>
      <c r="Q135" s="29" t="s">
        <v>273</v>
      </c>
    </row>
    <row r="136" spans="1:17" s="29" customFormat="1">
      <c r="A136" s="160">
        <v>5.3281004930555549E-2</v>
      </c>
      <c r="B136" s="29" t="s">
        <v>113</v>
      </c>
      <c r="E136" s="29" t="s">
        <v>127</v>
      </c>
      <c r="G136" s="29" t="s">
        <v>117</v>
      </c>
      <c r="I136" s="161">
        <v>46238.521527777775</v>
      </c>
      <c r="J136" s="29" t="s">
        <v>359</v>
      </c>
      <c r="K136" s="29" t="s">
        <v>274</v>
      </c>
      <c r="L136" s="162">
        <v>46173</v>
      </c>
      <c r="M136" s="29" t="s">
        <v>360</v>
      </c>
      <c r="N136" s="29" t="s">
        <v>291</v>
      </c>
      <c r="O136" s="29" t="s">
        <v>272</v>
      </c>
      <c r="P136" s="29" t="s">
        <v>361</v>
      </c>
      <c r="Q136" s="29" t="s">
        <v>273</v>
      </c>
    </row>
    <row r="137" spans="1:17" s="29" customFormat="1">
      <c r="A137" s="160">
        <v>5.3182614641203697E-2</v>
      </c>
      <c r="B137" s="29" t="s">
        <v>113</v>
      </c>
      <c r="E137" s="29" t="s">
        <v>127</v>
      </c>
      <c r="G137" s="29" t="s">
        <v>117</v>
      </c>
      <c r="I137" s="161">
        <v>46238.521435185183</v>
      </c>
      <c r="J137" s="29" t="s">
        <v>359</v>
      </c>
      <c r="K137" s="29" t="s">
        <v>274</v>
      </c>
      <c r="L137" s="162">
        <v>46173</v>
      </c>
      <c r="M137" s="29" t="s">
        <v>360</v>
      </c>
      <c r="N137" s="29" t="s">
        <v>291</v>
      </c>
      <c r="O137" s="29" t="s">
        <v>272</v>
      </c>
      <c r="P137" s="29" t="s">
        <v>361</v>
      </c>
      <c r="Q137" s="29" t="s">
        <v>273</v>
      </c>
    </row>
    <row r="138" spans="1:17" s="29" customFormat="1">
      <c r="A138" s="160">
        <v>5.3145629282407403E-2</v>
      </c>
      <c r="B138" s="29" t="s">
        <v>113</v>
      </c>
      <c r="E138" s="29" t="s">
        <v>120</v>
      </c>
      <c r="G138" s="29" t="s">
        <v>117</v>
      </c>
      <c r="I138" s="161">
        <v>46238.521284722221</v>
      </c>
      <c r="J138" s="29" t="s">
        <v>359</v>
      </c>
      <c r="K138" s="29" t="s">
        <v>274</v>
      </c>
      <c r="L138" s="162">
        <v>46173</v>
      </c>
      <c r="M138" s="29" t="s">
        <v>360</v>
      </c>
      <c r="N138" s="29" t="s">
        <v>291</v>
      </c>
      <c r="O138" s="29" t="s">
        <v>272</v>
      </c>
      <c r="P138" s="29" t="s">
        <v>361</v>
      </c>
      <c r="Q138" s="29" t="s">
        <v>273</v>
      </c>
    </row>
    <row r="139" spans="1:17" s="29" customFormat="1">
      <c r="A139" s="160">
        <v>5.3076087314814807E-2</v>
      </c>
      <c r="B139" s="29" t="s">
        <v>113</v>
      </c>
      <c r="E139" s="29" t="s">
        <v>253</v>
      </c>
      <c r="F139" s="29" t="s">
        <v>247</v>
      </c>
      <c r="G139" s="29" t="s">
        <v>117</v>
      </c>
      <c r="I139" s="161">
        <v>46238.521192129629</v>
      </c>
      <c r="J139" s="29" t="s">
        <v>359</v>
      </c>
      <c r="K139" s="29" t="s">
        <v>274</v>
      </c>
      <c r="L139" s="162">
        <v>46173</v>
      </c>
      <c r="M139" s="29" t="s">
        <v>360</v>
      </c>
      <c r="N139" s="29" t="s">
        <v>291</v>
      </c>
      <c r="O139" s="29" t="s">
        <v>272</v>
      </c>
      <c r="P139" s="29" t="s">
        <v>361</v>
      </c>
      <c r="Q139" s="29" t="s">
        <v>273</v>
      </c>
    </row>
    <row r="140" spans="1:17" s="29" customFormat="1">
      <c r="A140" s="160">
        <v>5.2989244155092596E-2</v>
      </c>
      <c r="B140" s="29" t="s">
        <v>113</v>
      </c>
      <c r="C140" s="29" t="s">
        <v>374</v>
      </c>
      <c r="E140" s="29" t="s">
        <v>127</v>
      </c>
      <c r="G140" s="29" t="s">
        <v>204</v>
      </c>
      <c r="I140" s="161">
        <v>46238.520972222221</v>
      </c>
      <c r="J140" s="29" t="s">
        <v>359</v>
      </c>
      <c r="K140" s="29" t="s">
        <v>274</v>
      </c>
      <c r="L140" s="162">
        <v>46173</v>
      </c>
      <c r="M140" s="29" t="s">
        <v>360</v>
      </c>
      <c r="N140" s="29" t="s">
        <v>291</v>
      </c>
      <c r="O140" s="29" t="s">
        <v>272</v>
      </c>
      <c r="P140" s="29" t="s">
        <v>361</v>
      </c>
      <c r="Q140" s="29" t="s">
        <v>273</v>
      </c>
    </row>
    <row r="141" spans="1:17" s="29" customFormat="1">
      <c r="A141" s="160">
        <v>5.2908598402777784E-2</v>
      </c>
      <c r="B141" s="29" t="s">
        <v>113</v>
      </c>
      <c r="C141" s="29" t="s">
        <v>368</v>
      </c>
      <c r="E141" s="29" t="s">
        <v>127</v>
      </c>
      <c r="G141" s="29" t="s">
        <v>204</v>
      </c>
      <c r="I141" s="161">
        <v>46238.520682870374</v>
      </c>
      <c r="J141" s="29" t="s">
        <v>359</v>
      </c>
      <c r="K141" s="29" t="s">
        <v>274</v>
      </c>
      <c r="L141" s="162">
        <v>46173</v>
      </c>
      <c r="M141" s="29" t="s">
        <v>360</v>
      </c>
      <c r="N141" s="29" t="s">
        <v>291</v>
      </c>
      <c r="O141" s="29" t="s">
        <v>272</v>
      </c>
      <c r="P141" s="29" t="s">
        <v>361</v>
      </c>
      <c r="Q141" s="29" t="s">
        <v>273</v>
      </c>
    </row>
    <row r="142" spans="1:17" s="29" customFormat="1">
      <c r="A142" s="160">
        <v>5.2836032268518525E-2</v>
      </c>
      <c r="B142" s="29" t="s">
        <v>113</v>
      </c>
      <c r="C142" s="29" t="s">
        <v>368</v>
      </c>
      <c r="E142" s="29" t="s">
        <v>128</v>
      </c>
      <c r="G142" s="29" t="s">
        <v>117</v>
      </c>
      <c r="I142" s="161">
        <v>46238.52034722222</v>
      </c>
      <c r="J142" s="29" t="s">
        <v>359</v>
      </c>
      <c r="K142" s="29" t="s">
        <v>274</v>
      </c>
      <c r="L142" s="162">
        <v>46173</v>
      </c>
      <c r="M142" s="29" t="s">
        <v>360</v>
      </c>
      <c r="N142" s="29" t="s">
        <v>291</v>
      </c>
      <c r="O142" s="29" t="s">
        <v>272</v>
      </c>
      <c r="P142" s="29" t="s">
        <v>361</v>
      </c>
      <c r="Q142" s="29" t="s">
        <v>273</v>
      </c>
    </row>
    <row r="143" spans="1:17" s="29" customFormat="1">
      <c r="A143" s="160">
        <v>5.2662037037037035E-2</v>
      </c>
      <c r="B143" s="29" t="s">
        <v>113</v>
      </c>
      <c r="E143" s="29" t="s">
        <v>123</v>
      </c>
      <c r="G143" s="29" t="s">
        <v>117</v>
      </c>
      <c r="I143" s="161">
        <v>46238.519074074073</v>
      </c>
      <c r="J143" s="29" t="s">
        <v>359</v>
      </c>
      <c r="K143" s="29" t="s">
        <v>274</v>
      </c>
      <c r="L143" s="162">
        <v>46173</v>
      </c>
      <c r="M143" s="29" t="s">
        <v>360</v>
      </c>
      <c r="N143" s="29" t="s">
        <v>291</v>
      </c>
      <c r="O143" s="29" t="s">
        <v>272</v>
      </c>
      <c r="P143" s="29" t="s">
        <v>361</v>
      </c>
      <c r="Q143" s="29" t="s">
        <v>273</v>
      </c>
    </row>
    <row r="144" spans="1:17" s="29" customFormat="1">
      <c r="A144" s="160">
        <v>5.1971887037037034E-2</v>
      </c>
      <c r="B144" s="29" t="s">
        <v>113</v>
      </c>
      <c r="E144" s="29" t="s">
        <v>88</v>
      </c>
      <c r="G144" s="29" t="s">
        <v>117</v>
      </c>
      <c r="I144" s="161">
        <v>46238.518078703702</v>
      </c>
      <c r="J144" s="29" t="s">
        <v>359</v>
      </c>
      <c r="K144" s="29" t="s">
        <v>274</v>
      </c>
      <c r="L144" s="162">
        <v>46173</v>
      </c>
      <c r="M144" s="29" t="s">
        <v>360</v>
      </c>
      <c r="N144" s="29" t="s">
        <v>291</v>
      </c>
      <c r="O144" s="29" t="s">
        <v>272</v>
      </c>
      <c r="P144" s="29" t="s">
        <v>361</v>
      </c>
      <c r="Q144" s="29" t="s">
        <v>273</v>
      </c>
    </row>
    <row r="145" spans="1:17" s="29" customFormat="1">
      <c r="A145" s="160">
        <v>5.1772955370370369E-2</v>
      </c>
      <c r="B145" s="29" t="s">
        <v>113</v>
      </c>
      <c r="E145" s="29" t="s">
        <v>253</v>
      </c>
      <c r="F145" s="29" t="s">
        <v>247</v>
      </c>
      <c r="G145" s="29" t="s">
        <v>117</v>
      </c>
      <c r="I145" s="161">
        <v>46238.517916666664</v>
      </c>
      <c r="J145" s="29" t="s">
        <v>359</v>
      </c>
      <c r="K145" s="29" t="s">
        <v>274</v>
      </c>
      <c r="L145" s="162">
        <v>46173</v>
      </c>
      <c r="M145" s="29" t="s">
        <v>360</v>
      </c>
      <c r="N145" s="29" t="s">
        <v>291</v>
      </c>
      <c r="O145" s="29" t="s">
        <v>272</v>
      </c>
      <c r="P145" s="29" t="s">
        <v>361</v>
      </c>
      <c r="Q145" s="29" t="s">
        <v>273</v>
      </c>
    </row>
    <row r="146" spans="1:17" s="29" customFormat="1">
      <c r="A146" s="160">
        <v>5.1732312824074068E-2</v>
      </c>
      <c r="B146" s="29" t="s">
        <v>113</v>
      </c>
      <c r="C146" s="29" t="s">
        <v>363</v>
      </c>
      <c r="E146" s="29" t="s">
        <v>127</v>
      </c>
      <c r="G146" s="29" t="s">
        <v>204</v>
      </c>
      <c r="I146" s="161">
        <v>46238.51771990741</v>
      </c>
      <c r="J146" s="29" t="s">
        <v>359</v>
      </c>
      <c r="K146" s="29" t="s">
        <v>274</v>
      </c>
      <c r="L146" s="162">
        <v>46173</v>
      </c>
      <c r="M146" s="29" t="s">
        <v>360</v>
      </c>
      <c r="N146" s="29" t="s">
        <v>291</v>
      </c>
      <c r="O146" s="29" t="s">
        <v>272</v>
      </c>
      <c r="P146" s="29" t="s">
        <v>361</v>
      </c>
      <c r="Q146" s="29" t="s">
        <v>273</v>
      </c>
    </row>
    <row r="147" spans="1:17" s="29" customFormat="1">
      <c r="A147" s="160">
        <v>5.1695739375000001E-2</v>
      </c>
      <c r="B147" s="29" t="s">
        <v>113</v>
      </c>
      <c r="C147" s="29" t="s">
        <v>366</v>
      </c>
      <c r="E147" s="29" t="s">
        <v>127</v>
      </c>
      <c r="G147" s="29" t="s">
        <v>204</v>
      </c>
      <c r="I147" s="161">
        <v>46238.516909722224</v>
      </c>
      <c r="J147" s="29" t="s">
        <v>359</v>
      </c>
      <c r="K147" s="29" t="s">
        <v>274</v>
      </c>
      <c r="L147" s="162">
        <v>46173</v>
      </c>
      <c r="M147" s="29" t="s">
        <v>360</v>
      </c>
      <c r="N147" s="29" t="s">
        <v>291</v>
      </c>
      <c r="O147" s="29" t="s">
        <v>272</v>
      </c>
      <c r="P147" s="29" t="s">
        <v>361</v>
      </c>
      <c r="Q147" s="29" t="s">
        <v>273</v>
      </c>
    </row>
    <row r="148" spans="1:17" s="29" customFormat="1">
      <c r="A148" s="160">
        <v>5.1650113229166662E-2</v>
      </c>
      <c r="B148" s="29" t="s">
        <v>113</v>
      </c>
      <c r="C148" s="29" t="s">
        <v>363</v>
      </c>
      <c r="E148" s="29" t="s">
        <v>59</v>
      </c>
      <c r="G148" s="29" t="s">
        <v>204</v>
      </c>
      <c r="I148" s="161">
        <v>46238.516736111109</v>
      </c>
      <c r="J148" s="29" t="s">
        <v>359</v>
      </c>
      <c r="K148" s="29" t="s">
        <v>274</v>
      </c>
      <c r="L148" s="162">
        <v>46173</v>
      </c>
      <c r="M148" s="29" t="s">
        <v>360</v>
      </c>
      <c r="N148" s="29" t="s">
        <v>291</v>
      </c>
      <c r="O148" s="29" t="s">
        <v>272</v>
      </c>
      <c r="P148" s="29" t="s">
        <v>361</v>
      </c>
      <c r="Q148" s="29" t="s">
        <v>273</v>
      </c>
    </row>
    <row r="149" spans="1:17" s="29" customFormat="1">
      <c r="A149" s="160">
        <v>5.1307501539351853E-2</v>
      </c>
      <c r="E149" s="29" t="s">
        <v>124</v>
      </c>
      <c r="I149" s="161">
        <v>46238.515833333331</v>
      </c>
      <c r="J149" s="29" t="s">
        <v>359</v>
      </c>
      <c r="K149" s="29" t="s">
        <v>274</v>
      </c>
      <c r="L149" s="162">
        <v>46173</v>
      </c>
      <c r="M149" s="29" t="s">
        <v>360</v>
      </c>
      <c r="N149" s="29" t="s">
        <v>291</v>
      </c>
      <c r="O149" s="29" t="s">
        <v>272</v>
      </c>
      <c r="P149" s="29" t="s">
        <v>361</v>
      </c>
      <c r="Q149" s="29" t="s">
        <v>273</v>
      </c>
    </row>
    <row r="150" spans="1:17" s="29" customFormat="1">
      <c r="A150" s="160">
        <v>5.1128507094907405E-2</v>
      </c>
      <c r="B150" s="29" t="s">
        <v>113</v>
      </c>
      <c r="E150" s="29" t="s">
        <v>88</v>
      </c>
      <c r="G150" s="29" t="s">
        <v>204</v>
      </c>
      <c r="I150" s="161">
        <v>46238.512141203704</v>
      </c>
      <c r="J150" s="29" t="s">
        <v>359</v>
      </c>
      <c r="K150" s="29" t="s">
        <v>274</v>
      </c>
      <c r="L150" s="162">
        <v>46173</v>
      </c>
      <c r="M150" s="29" t="s">
        <v>360</v>
      </c>
      <c r="N150" s="29" t="s">
        <v>291</v>
      </c>
      <c r="O150" s="29" t="s">
        <v>272</v>
      </c>
      <c r="P150" s="29" t="s">
        <v>361</v>
      </c>
      <c r="Q150" s="29" t="s">
        <v>273</v>
      </c>
    </row>
    <row r="151" spans="1:17" s="29" customFormat="1">
      <c r="A151" s="160">
        <v>5.1088065405092586E-2</v>
      </c>
      <c r="B151" s="29" t="s">
        <v>113</v>
      </c>
      <c r="C151" s="29" t="s">
        <v>362</v>
      </c>
      <c r="E151" s="29" t="s">
        <v>223</v>
      </c>
      <c r="G151" s="29" t="s">
        <v>117</v>
      </c>
      <c r="I151" s="161">
        <v>46238.512013888889</v>
      </c>
      <c r="J151" s="29" t="s">
        <v>359</v>
      </c>
      <c r="K151" s="29" t="s">
        <v>274</v>
      </c>
      <c r="L151" s="162">
        <v>46173</v>
      </c>
      <c r="M151" s="29" t="s">
        <v>360</v>
      </c>
      <c r="N151" s="29" t="s">
        <v>291</v>
      </c>
      <c r="O151" s="29" t="s">
        <v>272</v>
      </c>
      <c r="P151" s="29" t="s">
        <v>361</v>
      </c>
      <c r="Q151" s="29" t="s">
        <v>273</v>
      </c>
    </row>
    <row r="152" spans="1:17" s="29" customFormat="1">
      <c r="A152" s="160">
        <v>5.0991423240740741E-2</v>
      </c>
      <c r="B152" s="29" t="s">
        <v>113</v>
      </c>
      <c r="C152" s="29" t="s">
        <v>368</v>
      </c>
      <c r="E152" s="29" t="s">
        <v>127</v>
      </c>
      <c r="G152" s="29" t="s">
        <v>204</v>
      </c>
      <c r="I152" s="161">
        <v>46238.506377314814</v>
      </c>
      <c r="J152" s="29" t="s">
        <v>359</v>
      </c>
      <c r="K152" s="29" t="s">
        <v>274</v>
      </c>
      <c r="L152" s="162">
        <v>46173</v>
      </c>
      <c r="M152" s="29" t="s">
        <v>360</v>
      </c>
      <c r="N152" s="29" t="s">
        <v>291</v>
      </c>
      <c r="O152" s="29" t="s">
        <v>272</v>
      </c>
      <c r="P152" s="29" t="s">
        <v>361</v>
      </c>
      <c r="Q152" s="29" t="s">
        <v>273</v>
      </c>
    </row>
    <row r="153" spans="1:17" s="29" customFormat="1">
      <c r="A153" s="160">
        <v>5.0966858819444447E-2</v>
      </c>
      <c r="B153" s="29" t="s">
        <v>113</v>
      </c>
      <c r="E153" s="29" t="s">
        <v>228</v>
      </c>
      <c r="G153" s="29" t="s">
        <v>204</v>
      </c>
      <c r="I153" s="161">
        <v>46238.506307870368</v>
      </c>
      <c r="J153" s="29" t="s">
        <v>359</v>
      </c>
      <c r="K153" s="29" t="s">
        <v>274</v>
      </c>
      <c r="L153" s="162">
        <v>46173</v>
      </c>
      <c r="M153" s="29" t="s">
        <v>360</v>
      </c>
      <c r="N153" s="29" t="s">
        <v>291</v>
      </c>
      <c r="O153" s="29" t="s">
        <v>272</v>
      </c>
      <c r="P153" s="29" t="s">
        <v>361</v>
      </c>
      <c r="Q153" s="29" t="s">
        <v>273</v>
      </c>
    </row>
    <row r="154" spans="1:17" s="29" customFormat="1">
      <c r="A154" s="160">
        <v>5.09268846875E-2</v>
      </c>
      <c r="B154" s="29" t="s">
        <v>113</v>
      </c>
      <c r="E154" s="29" t="s">
        <v>119</v>
      </c>
      <c r="G154" s="29" t="s">
        <v>117</v>
      </c>
      <c r="I154" s="161">
        <v>46238.506273148145</v>
      </c>
      <c r="J154" s="29" t="s">
        <v>359</v>
      </c>
      <c r="K154" s="29" t="s">
        <v>274</v>
      </c>
      <c r="L154" s="162">
        <v>46173</v>
      </c>
      <c r="M154" s="29" t="s">
        <v>360</v>
      </c>
      <c r="N154" s="29" t="s">
        <v>291</v>
      </c>
      <c r="O154" s="29" t="s">
        <v>272</v>
      </c>
      <c r="P154" s="29" t="s">
        <v>361</v>
      </c>
      <c r="Q154" s="29" t="s">
        <v>273</v>
      </c>
    </row>
    <row r="155" spans="1:17" s="29" customFormat="1">
      <c r="A155" s="160">
        <v>4.9691583935185184E-2</v>
      </c>
      <c r="B155" s="29" t="s">
        <v>113</v>
      </c>
      <c r="E155" s="29" t="s">
        <v>88</v>
      </c>
      <c r="G155" s="29" t="s">
        <v>204</v>
      </c>
      <c r="I155" s="161">
        <v>46238.505648148152</v>
      </c>
      <c r="J155" s="29" t="s">
        <v>359</v>
      </c>
      <c r="K155" s="29" t="s">
        <v>274</v>
      </c>
      <c r="L155" s="162">
        <v>46173</v>
      </c>
      <c r="M155" s="29" t="s">
        <v>360</v>
      </c>
      <c r="N155" s="29" t="s">
        <v>291</v>
      </c>
      <c r="O155" s="29" t="s">
        <v>272</v>
      </c>
      <c r="P155" s="29" t="s">
        <v>361</v>
      </c>
      <c r="Q155" s="29" t="s">
        <v>273</v>
      </c>
    </row>
    <row r="156" spans="1:17" s="29" customFormat="1">
      <c r="A156" s="160">
        <v>5.0287467210648147E-2</v>
      </c>
      <c r="B156" s="29" t="s">
        <v>113</v>
      </c>
      <c r="E156" s="29" t="s">
        <v>134</v>
      </c>
      <c r="G156" s="29" t="s">
        <v>204</v>
      </c>
      <c r="I156" s="161">
        <v>46238.505358796298</v>
      </c>
      <c r="J156" s="29" t="s">
        <v>359</v>
      </c>
      <c r="K156" s="29" t="s">
        <v>274</v>
      </c>
      <c r="L156" s="162">
        <v>46173</v>
      </c>
      <c r="M156" s="29" t="s">
        <v>360</v>
      </c>
      <c r="N156" s="29" t="s">
        <v>291</v>
      </c>
      <c r="O156" s="29" t="s">
        <v>272</v>
      </c>
      <c r="P156" s="29" t="s">
        <v>361</v>
      </c>
      <c r="Q156" s="29" t="s">
        <v>273</v>
      </c>
    </row>
    <row r="157" spans="1:17" s="29" customFormat="1">
      <c r="A157" s="160">
        <v>4.9628480567129631E-2</v>
      </c>
      <c r="B157" s="29" t="s">
        <v>113</v>
      </c>
      <c r="E157" s="29" t="s">
        <v>122</v>
      </c>
      <c r="G157" s="29" t="s">
        <v>204</v>
      </c>
      <c r="I157" s="161">
        <v>46238.50513888889</v>
      </c>
      <c r="J157" s="29" t="s">
        <v>359</v>
      </c>
      <c r="K157" s="29" t="s">
        <v>274</v>
      </c>
      <c r="L157" s="162">
        <v>46173</v>
      </c>
      <c r="M157" s="29" t="s">
        <v>360</v>
      </c>
      <c r="N157" s="29" t="s">
        <v>291</v>
      </c>
      <c r="O157" s="29" t="s">
        <v>272</v>
      </c>
      <c r="P157" s="29" t="s">
        <v>361</v>
      </c>
      <c r="Q157" s="29" t="s">
        <v>273</v>
      </c>
    </row>
    <row r="158" spans="1:17" s="29" customFormat="1">
      <c r="A158" s="160">
        <v>4.9587392847222217E-2</v>
      </c>
      <c r="B158" s="29" t="s">
        <v>113</v>
      </c>
      <c r="E158" s="29" t="s">
        <v>120</v>
      </c>
      <c r="G158" s="29" t="s">
        <v>204</v>
      </c>
      <c r="I158" s="161">
        <v>46238.505069444444</v>
      </c>
      <c r="J158" s="29" t="s">
        <v>359</v>
      </c>
      <c r="K158" s="29" t="s">
        <v>274</v>
      </c>
      <c r="L158" s="162">
        <v>46173</v>
      </c>
      <c r="M158" s="29" t="s">
        <v>360</v>
      </c>
      <c r="N158" s="29" t="s">
        <v>291</v>
      </c>
      <c r="O158" s="29" t="s">
        <v>272</v>
      </c>
      <c r="P158" s="29" t="s">
        <v>361</v>
      </c>
      <c r="Q158" s="29" t="s">
        <v>273</v>
      </c>
    </row>
    <row r="159" spans="1:17" s="29" customFormat="1">
      <c r="A159" s="160">
        <v>4.9548726539351856E-2</v>
      </c>
      <c r="B159" s="29" t="s">
        <v>113</v>
      </c>
      <c r="C159" s="29" t="s">
        <v>83</v>
      </c>
      <c r="D159" s="29" t="s">
        <v>83</v>
      </c>
      <c r="E159" s="29" t="s">
        <v>254</v>
      </c>
      <c r="F159" s="29" t="s">
        <v>83</v>
      </c>
      <c r="G159" s="29" t="s">
        <v>204</v>
      </c>
      <c r="I159" s="161">
        <v>46238.505057870374</v>
      </c>
      <c r="J159" s="29" t="s">
        <v>359</v>
      </c>
      <c r="K159" s="29" t="s">
        <v>274</v>
      </c>
      <c r="L159" s="162">
        <v>46173</v>
      </c>
      <c r="M159" s="29" t="s">
        <v>360</v>
      </c>
      <c r="N159" s="29" t="s">
        <v>291</v>
      </c>
      <c r="O159" s="29" t="s">
        <v>272</v>
      </c>
      <c r="P159" s="29" t="s">
        <v>361</v>
      </c>
      <c r="Q159" s="29" t="s">
        <v>273</v>
      </c>
    </row>
    <row r="160" spans="1:17" s="29" customFormat="1">
      <c r="A160" s="160">
        <v>4.943804792824074E-2</v>
      </c>
      <c r="B160" s="29" t="s">
        <v>113</v>
      </c>
      <c r="E160" s="29" t="s">
        <v>88</v>
      </c>
      <c r="G160" s="29" t="s">
        <v>204</v>
      </c>
      <c r="I160" s="161">
        <v>46238.50476851852</v>
      </c>
      <c r="J160" s="29" t="s">
        <v>359</v>
      </c>
      <c r="K160" s="29" t="s">
        <v>274</v>
      </c>
      <c r="L160" s="162">
        <v>46173</v>
      </c>
      <c r="M160" s="29" t="s">
        <v>360</v>
      </c>
      <c r="N160" s="29" t="s">
        <v>291</v>
      </c>
      <c r="O160" s="29" t="s">
        <v>272</v>
      </c>
      <c r="P160" s="29" t="s">
        <v>361</v>
      </c>
      <c r="Q160" s="29" t="s">
        <v>273</v>
      </c>
    </row>
    <row r="161" spans="1:17" s="29" customFormat="1">
      <c r="A161" s="160">
        <v>4.9420514131944447E-2</v>
      </c>
      <c r="B161" s="29" t="s">
        <v>113</v>
      </c>
      <c r="C161" s="29" t="s">
        <v>83</v>
      </c>
      <c r="E161" s="29" t="s">
        <v>127</v>
      </c>
      <c r="G161" s="29" t="s">
        <v>204</v>
      </c>
      <c r="I161" s="161">
        <v>46238.504687499997</v>
      </c>
      <c r="J161" s="29" t="s">
        <v>359</v>
      </c>
      <c r="K161" s="29" t="s">
        <v>274</v>
      </c>
      <c r="L161" s="162">
        <v>46173</v>
      </c>
      <c r="M161" s="29" t="s">
        <v>360</v>
      </c>
      <c r="N161" s="29" t="s">
        <v>291</v>
      </c>
      <c r="O161" s="29" t="s">
        <v>272</v>
      </c>
      <c r="P161" s="29" t="s">
        <v>361</v>
      </c>
      <c r="Q161" s="29" t="s">
        <v>273</v>
      </c>
    </row>
    <row r="162" spans="1:17" s="29" customFormat="1">
      <c r="A162" s="160">
        <v>4.9350909907407405E-2</v>
      </c>
      <c r="B162" s="29" t="s">
        <v>113</v>
      </c>
      <c r="C162" s="29" t="s">
        <v>83</v>
      </c>
      <c r="E162" s="29" t="s">
        <v>127</v>
      </c>
      <c r="G162" s="29" t="s">
        <v>204</v>
      </c>
      <c r="I162" s="161">
        <v>46238.504560185182</v>
      </c>
      <c r="J162" s="29" t="s">
        <v>359</v>
      </c>
      <c r="K162" s="29" t="s">
        <v>274</v>
      </c>
      <c r="L162" s="162">
        <v>46173</v>
      </c>
      <c r="M162" s="29" t="s">
        <v>360</v>
      </c>
      <c r="N162" s="29" t="s">
        <v>291</v>
      </c>
      <c r="O162" s="29" t="s">
        <v>272</v>
      </c>
      <c r="P162" s="29" t="s">
        <v>361</v>
      </c>
      <c r="Q162" s="29" t="s">
        <v>273</v>
      </c>
    </row>
    <row r="163" spans="1:17" s="29" customFormat="1">
      <c r="A163" s="160">
        <v>4.9311040671296297E-2</v>
      </c>
      <c r="B163" s="29" t="s">
        <v>113</v>
      </c>
      <c r="C163" s="29" t="s">
        <v>362</v>
      </c>
      <c r="E163" s="29" t="s">
        <v>127</v>
      </c>
      <c r="G163" s="29" t="s">
        <v>204</v>
      </c>
      <c r="I163" s="161">
        <v>46238.50440972222</v>
      </c>
      <c r="J163" s="29" t="s">
        <v>359</v>
      </c>
      <c r="K163" s="29" t="s">
        <v>274</v>
      </c>
      <c r="L163" s="162">
        <v>46173</v>
      </c>
      <c r="M163" s="29" t="s">
        <v>360</v>
      </c>
      <c r="N163" s="29" t="s">
        <v>291</v>
      </c>
      <c r="O163" s="29" t="s">
        <v>272</v>
      </c>
      <c r="P163" s="29" t="s">
        <v>361</v>
      </c>
      <c r="Q163" s="29" t="s">
        <v>273</v>
      </c>
    </row>
    <row r="164" spans="1:17" s="29" customFormat="1">
      <c r="A164" s="160">
        <v>4.9282252280092594E-2</v>
      </c>
      <c r="B164" s="29" t="s">
        <v>113</v>
      </c>
      <c r="C164" s="29" t="s">
        <v>375</v>
      </c>
      <c r="E164" s="29" t="s">
        <v>59</v>
      </c>
      <c r="G164" s="29" t="s">
        <v>204</v>
      </c>
      <c r="I164" s="161">
        <v>46238.504201388889</v>
      </c>
      <c r="J164" s="29" t="s">
        <v>359</v>
      </c>
      <c r="K164" s="29" t="s">
        <v>274</v>
      </c>
      <c r="L164" s="162">
        <v>46173</v>
      </c>
      <c r="M164" s="29" t="s">
        <v>360</v>
      </c>
      <c r="N164" s="29" t="s">
        <v>291</v>
      </c>
      <c r="O164" s="29" t="s">
        <v>272</v>
      </c>
      <c r="P164" s="29" t="s">
        <v>361</v>
      </c>
      <c r="Q164" s="29" t="s">
        <v>273</v>
      </c>
    </row>
    <row r="165" spans="1:17" s="29" customFormat="1">
      <c r="A165" s="160">
        <v>4.9258966898148147E-2</v>
      </c>
      <c r="B165" s="29" t="s">
        <v>113</v>
      </c>
      <c r="C165" s="29" t="s">
        <v>83</v>
      </c>
      <c r="E165" s="29" t="s">
        <v>59</v>
      </c>
      <c r="G165" s="29" t="s">
        <v>204</v>
      </c>
      <c r="I165" s="161">
        <v>46238.504108796296</v>
      </c>
      <c r="J165" s="29" t="s">
        <v>359</v>
      </c>
      <c r="K165" s="29" t="s">
        <v>274</v>
      </c>
      <c r="L165" s="162">
        <v>46173</v>
      </c>
      <c r="M165" s="29" t="s">
        <v>360</v>
      </c>
      <c r="N165" s="29" t="s">
        <v>291</v>
      </c>
      <c r="O165" s="29" t="s">
        <v>272</v>
      </c>
      <c r="P165" s="29" t="s">
        <v>361</v>
      </c>
      <c r="Q165" s="29" t="s">
        <v>273</v>
      </c>
    </row>
    <row r="166" spans="1:17" s="29" customFormat="1">
      <c r="A166" s="160">
        <v>4.9242033078703708E-2</v>
      </c>
      <c r="B166" s="29" t="s">
        <v>113</v>
      </c>
      <c r="C166" s="29" t="s">
        <v>83</v>
      </c>
      <c r="E166" s="29" t="s">
        <v>59</v>
      </c>
      <c r="G166" s="29" t="s">
        <v>204</v>
      </c>
      <c r="I166" s="161">
        <v>46238.503865740742</v>
      </c>
      <c r="J166" s="29" t="s">
        <v>359</v>
      </c>
      <c r="K166" s="29" t="s">
        <v>274</v>
      </c>
      <c r="L166" s="162">
        <v>46173</v>
      </c>
      <c r="M166" s="29" t="s">
        <v>360</v>
      </c>
      <c r="N166" s="29" t="s">
        <v>291</v>
      </c>
      <c r="O166" s="29" t="s">
        <v>272</v>
      </c>
      <c r="P166" s="29" t="s">
        <v>361</v>
      </c>
      <c r="Q166" s="29" t="s">
        <v>273</v>
      </c>
    </row>
    <row r="167" spans="1:17" s="29" customFormat="1">
      <c r="A167" s="160">
        <v>4.9086789791666668E-2</v>
      </c>
      <c r="B167" s="29" t="s">
        <v>113</v>
      </c>
      <c r="E167" s="29" t="s">
        <v>60</v>
      </c>
      <c r="G167" s="29" t="s">
        <v>117</v>
      </c>
      <c r="I167" s="161">
        <v>46238.503576388888</v>
      </c>
      <c r="J167" s="29" t="s">
        <v>359</v>
      </c>
      <c r="K167" s="29" t="s">
        <v>274</v>
      </c>
      <c r="L167" s="162">
        <v>46173</v>
      </c>
      <c r="M167" s="29" t="s">
        <v>360</v>
      </c>
      <c r="N167" s="29" t="s">
        <v>291</v>
      </c>
      <c r="O167" s="29" t="s">
        <v>272</v>
      </c>
      <c r="P167" s="29" t="s">
        <v>361</v>
      </c>
      <c r="Q167" s="29" t="s">
        <v>273</v>
      </c>
    </row>
    <row r="168" spans="1:17" s="29" customFormat="1">
      <c r="A168" s="160">
        <v>4.9047381076388889E-2</v>
      </c>
      <c r="B168" s="29" t="s">
        <v>113</v>
      </c>
      <c r="C168" s="29" t="s">
        <v>83</v>
      </c>
      <c r="E168" s="29" t="s">
        <v>127</v>
      </c>
      <c r="G168" s="29" t="s">
        <v>204</v>
      </c>
      <c r="I168" s="161">
        <v>46238.503495370373</v>
      </c>
      <c r="J168" s="29" t="s">
        <v>359</v>
      </c>
      <c r="K168" s="29" t="s">
        <v>274</v>
      </c>
      <c r="L168" s="162">
        <v>46173</v>
      </c>
      <c r="M168" s="29" t="s">
        <v>360</v>
      </c>
      <c r="N168" s="29" t="s">
        <v>291</v>
      </c>
      <c r="O168" s="29" t="s">
        <v>272</v>
      </c>
      <c r="P168" s="29" t="s">
        <v>361</v>
      </c>
      <c r="Q168" s="29" t="s">
        <v>273</v>
      </c>
    </row>
    <row r="169" spans="1:17" s="29" customFormat="1">
      <c r="A169" s="160">
        <v>4.9022774548611113E-2</v>
      </c>
      <c r="B169" s="29" t="s">
        <v>113</v>
      </c>
      <c r="E169" s="29" t="s">
        <v>333</v>
      </c>
      <c r="G169" s="29" t="s">
        <v>117</v>
      </c>
      <c r="I169" s="161">
        <v>46238.502743055556</v>
      </c>
      <c r="J169" s="29" t="s">
        <v>359</v>
      </c>
      <c r="K169" s="29" t="s">
        <v>274</v>
      </c>
      <c r="L169" s="162">
        <v>46173</v>
      </c>
      <c r="M169" s="29" t="s">
        <v>360</v>
      </c>
      <c r="N169" s="29" t="s">
        <v>291</v>
      </c>
      <c r="O169" s="29" t="s">
        <v>272</v>
      </c>
      <c r="P169" s="29" t="s">
        <v>361</v>
      </c>
      <c r="Q169" s="29" t="s">
        <v>273</v>
      </c>
    </row>
    <row r="170" spans="1:17" s="29" customFormat="1">
      <c r="A170" s="160">
        <v>4.8792213553240746E-2</v>
      </c>
      <c r="B170" s="29" t="s">
        <v>113</v>
      </c>
      <c r="E170" s="29" t="s">
        <v>124</v>
      </c>
      <c r="G170" s="29" t="s">
        <v>117</v>
      </c>
      <c r="I170" s="161">
        <v>46238.502511574072</v>
      </c>
      <c r="J170" s="29" t="s">
        <v>359</v>
      </c>
      <c r="K170" s="29" t="s">
        <v>274</v>
      </c>
      <c r="L170" s="162">
        <v>46173</v>
      </c>
      <c r="M170" s="29" t="s">
        <v>360</v>
      </c>
      <c r="N170" s="29" t="s">
        <v>291</v>
      </c>
      <c r="O170" s="29" t="s">
        <v>272</v>
      </c>
      <c r="P170" s="29" t="s">
        <v>361</v>
      </c>
      <c r="Q170" s="29" t="s">
        <v>273</v>
      </c>
    </row>
    <row r="171" spans="1:17" s="29" customFormat="1">
      <c r="A171" s="160">
        <v>4.8724520937500002E-2</v>
      </c>
      <c r="B171" s="29" t="s">
        <v>113</v>
      </c>
      <c r="E171" s="29" t="s">
        <v>223</v>
      </c>
      <c r="G171" s="29" t="s">
        <v>117</v>
      </c>
      <c r="I171" s="161">
        <v>46238.502442129633</v>
      </c>
      <c r="J171" s="29" t="s">
        <v>359</v>
      </c>
      <c r="K171" s="29" t="s">
        <v>274</v>
      </c>
      <c r="L171" s="162">
        <v>46173</v>
      </c>
      <c r="M171" s="29" t="s">
        <v>360</v>
      </c>
      <c r="N171" s="29" t="s">
        <v>291</v>
      </c>
      <c r="O171" s="29" t="s">
        <v>272</v>
      </c>
      <c r="P171" s="29" t="s">
        <v>361</v>
      </c>
      <c r="Q171" s="29" t="s">
        <v>273</v>
      </c>
    </row>
    <row r="172" spans="1:17" s="29" customFormat="1">
      <c r="A172" s="160">
        <v>4.8644641203703702E-2</v>
      </c>
      <c r="B172" s="29" t="s">
        <v>113</v>
      </c>
      <c r="E172" s="29" t="s">
        <v>88</v>
      </c>
      <c r="G172" s="29" t="s">
        <v>117</v>
      </c>
      <c r="I172" s="161">
        <v>46238.50236111111</v>
      </c>
      <c r="J172" s="29" t="s">
        <v>359</v>
      </c>
      <c r="K172" s="29" t="s">
        <v>274</v>
      </c>
      <c r="L172" s="162">
        <v>46173</v>
      </c>
      <c r="M172" s="29" t="s">
        <v>360</v>
      </c>
      <c r="N172" s="29" t="s">
        <v>291</v>
      </c>
      <c r="O172" s="29" t="s">
        <v>272</v>
      </c>
      <c r="P172" s="29" t="s">
        <v>361</v>
      </c>
      <c r="Q172" s="29" t="s">
        <v>273</v>
      </c>
    </row>
    <row r="173" spans="1:17" s="29" customFormat="1">
      <c r="A173" s="160">
        <v>4.8592361087962964E-2</v>
      </c>
      <c r="B173" s="29" t="s">
        <v>113</v>
      </c>
      <c r="C173" s="29" t="s">
        <v>83</v>
      </c>
      <c r="E173" s="29" t="s">
        <v>129</v>
      </c>
      <c r="G173" s="29" t="s">
        <v>204</v>
      </c>
      <c r="I173" s="161">
        <v>46238.502349537041</v>
      </c>
      <c r="J173" s="29" t="s">
        <v>359</v>
      </c>
      <c r="K173" s="29" t="s">
        <v>274</v>
      </c>
      <c r="L173" s="162">
        <v>46173</v>
      </c>
      <c r="M173" s="29" t="s">
        <v>360</v>
      </c>
      <c r="N173" s="29" t="s">
        <v>291</v>
      </c>
      <c r="O173" s="29" t="s">
        <v>272</v>
      </c>
      <c r="P173" s="29" t="s">
        <v>361</v>
      </c>
      <c r="Q173" s="29" t="s">
        <v>273</v>
      </c>
    </row>
    <row r="174" spans="1:17" s="29" customFormat="1">
      <c r="A174" s="160">
        <v>4.8486834861111106E-2</v>
      </c>
      <c r="B174" s="29" t="s">
        <v>113</v>
      </c>
      <c r="E174" s="29" t="s">
        <v>123</v>
      </c>
      <c r="G174" s="29" t="s">
        <v>204</v>
      </c>
      <c r="I174" s="161">
        <v>46238.502025462964</v>
      </c>
      <c r="J174" s="29" t="s">
        <v>359</v>
      </c>
      <c r="K174" s="29" t="s">
        <v>274</v>
      </c>
      <c r="L174" s="162">
        <v>46173</v>
      </c>
      <c r="M174" s="29" t="s">
        <v>360</v>
      </c>
      <c r="N174" s="29" t="s">
        <v>291</v>
      </c>
      <c r="O174" s="29" t="s">
        <v>272</v>
      </c>
      <c r="P174" s="29" t="s">
        <v>361</v>
      </c>
      <c r="Q174" s="29" t="s">
        <v>273</v>
      </c>
    </row>
    <row r="175" spans="1:17" s="29" customFormat="1">
      <c r="A175" s="160">
        <v>4.7986965555555559E-2</v>
      </c>
      <c r="B175" s="29" t="s">
        <v>113</v>
      </c>
      <c r="E175" s="29" t="s">
        <v>88</v>
      </c>
      <c r="G175" s="29" t="s">
        <v>117</v>
      </c>
      <c r="I175" s="161">
        <v>46238.501585648148</v>
      </c>
      <c r="J175" s="29" t="s">
        <v>359</v>
      </c>
      <c r="K175" s="29" t="s">
        <v>274</v>
      </c>
      <c r="L175" s="162">
        <v>46173</v>
      </c>
      <c r="M175" s="29" t="s">
        <v>360</v>
      </c>
      <c r="N175" s="29" t="s">
        <v>291</v>
      </c>
      <c r="O175" s="29" t="s">
        <v>272</v>
      </c>
      <c r="P175" s="29" t="s">
        <v>361</v>
      </c>
      <c r="Q175" s="29" t="s">
        <v>273</v>
      </c>
    </row>
    <row r="176" spans="1:17" s="29" customFormat="1">
      <c r="A176" s="160">
        <v>4.7956238333333331E-2</v>
      </c>
      <c r="B176" s="29" t="s">
        <v>113</v>
      </c>
      <c r="E176" s="29" t="s">
        <v>224</v>
      </c>
      <c r="G176" s="29" t="s">
        <v>117</v>
      </c>
      <c r="I176" s="161">
        <v>46238.501550925925</v>
      </c>
      <c r="J176" s="29" t="s">
        <v>359</v>
      </c>
      <c r="K176" s="29" t="s">
        <v>274</v>
      </c>
      <c r="L176" s="162">
        <v>46173</v>
      </c>
      <c r="M176" s="29" t="s">
        <v>360</v>
      </c>
      <c r="N176" s="29" t="s">
        <v>291</v>
      </c>
      <c r="O176" s="29" t="s">
        <v>272</v>
      </c>
      <c r="P176" s="29" t="s">
        <v>361</v>
      </c>
      <c r="Q176" s="29" t="s">
        <v>273</v>
      </c>
    </row>
    <row r="177" spans="1:17" s="29" customFormat="1">
      <c r="A177" s="160">
        <v>4.7931640138888891E-2</v>
      </c>
      <c r="B177" s="29" t="s">
        <v>113</v>
      </c>
      <c r="E177" s="29" t="s">
        <v>226</v>
      </c>
      <c r="G177" s="29" t="s">
        <v>117</v>
      </c>
      <c r="I177" s="161">
        <v>46238.501527777778</v>
      </c>
      <c r="J177" s="29" t="s">
        <v>359</v>
      </c>
      <c r="K177" s="29" t="s">
        <v>274</v>
      </c>
      <c r="L177" s="162">
        <v>46173</v>
      </c>
      <c r="M177" s="29" t="s">
        <v>360</v>
      </c>
      <c r="N177" s="29" t="s">
        <v>291</v>
      </c>
      <c r="O177" s="29" t="s">
        <v>272</v>
      </c>
      <c r="P177" s="29" t="s">
        <v>361</v>
      </c>
      <c r="Q177" s="29" t="s">
        <v>273</v>
      </c>
    </row>
    <row r="178" spans="1:17" s="29" customFormat="1">
      <c r="A178" s="160">
        <v>4.7836327800925921E-2</v>
      </c>
      <c r="B178" s="29" t="s">
        <v>113</v>
      </c>
      <c r="E178" s="29" t="s">
        <v>224</v>
      </c>
      <c r="G178" s="29" t="s">
        <v>204</v>
      </c>
      <c r="I178" s="161">
        <v>46238.501435185186</v>
      </c>
      <c r="J178" s="29" t="s">
        <v>359</v>
      </c>
      <c r="K178" s="29" t="s">
        <v>274</v>
      </c>
      <c r="L178" s="162">
        <v>46173</v>
      </c>
      <c r="M178" s="29" t="s">
        <v>360</v>
      </c>
      <c r="N178" s="29" t="s">
        <v>291</v>
      </c>
      <c r="O178" s="29" t="s">
        <v>272</v>
      </c>
      <c r="P178" s="29" t="s">
        <v>361</v>
      </c>
      <c r="Q178" s="29" t="s">
        <v>273</v>
      </c>
    </row>
    <row r="179" spans="1:17" s="29" customFormat="1">
      <c r="A179" s="160">
        <v>4.7765500011574077E-2</v>
      </c>
      <c r="B179" s="29" t="s">
        <v>113</v>
      </c>
      <c r="C179" s="29" t="s">
        <v>373</v>
      </c>
      <c r="E179" s="29" t="s">
        <v>127</v>
      </c>
      <c r="G179" s="29" t="s">
        <v>204</v>
      </c>
      <c r="I179" s="161">
        <v>46238.501296296294</v>
      </c>
      <c r="J179" s="29" t="s">
        <v>359</v>
      </c>
      <c r="K179" s="29" t="s">
        <v>274</v>
      </c>
      <c r="L179" s="162">
        <v>46173</v>
      </c>
      <c r="M179" s="29" t="s">
        <v>360</v>
      </c>
      <c r="N179" s="29" t="s">
        <v>291</v>
      </c>
      <c r="O179" s="29" t="s">
        <v>272</v>
      </c>
      <c r="P179" s="29" t="s">
        <v>361</v>
      </c>
      <c r="Q179" s="29" t="s">
        <v>273</v>
      </c>
    </row>
    <row r="180" spans="1:17" s="29" customFormat="1">
      <c r="A180" s="160">
        <v>4.7717105914351847E-2</v>
      </c>
      <c r="B180" s="29" t="s">
        <v>113</v>
      </c>
      <c r="E180" s="29" t="s">
        <v>60</v>
      </c>
      <c r="G180" s="29" t="s">
        <v>117</v>
      </c>
      <c r="I180" s="161">
        <v>46238.500752314816</v>
      </c>
      <c r="J180" s="29" t="s">
        <v>359</v>
      </c>
      <c r="K180" s="29" t="s">
        <v>274</v>
      </c>
      <c r="L180" s="162">
        <v>46173</v>
      </c>
      <c r="M180" s="29" t="s">
        <v>360</v>
      </c>
      <c r="N180" s="29" t="s">
        <v>291</v>
      </c>
      <c r="O180" s="29" t="s">
        <v>272</v>
      </c>
      <c r="P180" s="29" t="s">
        <v>361</v>
      </c>
      <c r="Q180" s="29" t="s">
        <v>273</v>
      </c>
    </row>
    <row r="181" spans="1:17" s="29" customFormat="1">
      <c r="A181" s="160">
        <v>4.7711825856481482E-2</v>
      </c>
      <c r="B181" s="29" t="s">
        <v>113</v>
      </c>
      <c r="E181" s="29" t="s">
        <v>127</v>
      </c>
      <c r="G181" s="29" t="s">
        <v>117</v>
      </c>
      <c r="I181" s="161">
        <v>46238.499212962961</v>
      </c>
      <c r="J181" s="29" t="s">
        <v>359</v>
      </c>
      <c r="K181" s="29" t="s">
        <v>274</v>
      </c>
      <c r="L181" s="162">
        <v>46173</v>
      </c>
      <c r="M181" s="29" t="s">
        <v>360</v>
      </c>
      <c r="N181" s="29" t="s">
        <v>291</v>
      </c>
      <c r="O181" s="29" t="s">
        <v>272</v>
      </c>
      <c r="P181" s="29" t="s">
        <v>361</v>
      </c>
      <c r="Q181" s="29" t="s">
        <v>273</v>
      </c>
    </row>
    <row r="182" spans="1:17" s="29" customFormat="1">
      <c r="A182" s="160">
        <v>4.7628801828703701E-2</v>
      </c>
      <c r="B182" s="29" t="s">
        <v>113</v>
      </c>
      <c r="E182" s="29" t="s">
        <v>127</v>
      </c>
      <c r="G182" s="29" t="s">
        <v>117</v>
      </c>
      <c r="I182" s="161">
        <v>46238.499131944445</v>
      </c>
      <c r="J182" s="29" t="s">
        <v>359</v>
      </c>
      <c r="K182" s="29" t="s">
        <v>274</v>
      </c>
      <c r="L182" s="162">
        <v>46173</v>
      </c>
      <c r="M182" s="29" t="s">
        <v>360</v>
      </c>
      <c r="N182" s="29" t="s">
        <v>291</v>
      </c>
      <c r="O182" s="29" t="s">
        <v>272</v>
      </c>
      <c r="P182" s="29" t="s">
        <v>361</v>
      </c>
      <c r="Q182" s="29" t="s">
        <v>273</v>
      </c>
    </row>
    <row r="183" spans="1:17" s="29" customFormat="1">
      <c r="A183" s="160">
        <v>4.7561161782407407E-2</v>
      </c>
      <c r="B183" s="29" t="s">
        <v>113</v>
      </c>
      <c r="E183" s="29" t="s">
        <v>127</v>
      </c>
      <c r="G183" s="29" t="s">
        <v>117</v>
      </c>
      <c r="I183" s="161">
        <v>46238.499050925922</v>
      </c>
      <c r="J183" s="29" t="s">
        <v>359</v>
      </c>
      <c r="K183" s="29" t="s">
        <v>274</v>
      </c>
      <c r="L183" s="162">
        <v>46173</v>
      </c>
      <c r="M183" s="29" t="s">
        <v>360</v>
      </c>
      <c r="N183" s="29" t="s">
        <v>291</v>
      </c>
      <c r="O183" s="29" t="s">
        <v>272</v>
      </c>
      <c r="P183" s="29" t="s">
        <v>361</v>
      </c>
      <c r="Q183" s="29" t="s">
        <v>273</v>
      </c>
    </row>
    <row r="184" spans="1:17" s="29" customFormat="1">
      <c r="A184" s="160">
        <v>4.7534056030092593E-2</v>
      </c>
      <c r="B184" s="29" t="s">
        <v>113</v>
      </c>
      <c r="E184" s="29" t="s">
        <v>226</v>
      </c>
      <c r="G184" s="29" t="s">
        <v>117</v>
      </c>
      <c r="I184" s="161">
        <v>46238.498981481483</v>
      </c>
      <c r="J184" s="29" t="s">
        <v>359</v>
      </c>
      <c r="K184" s="29" t="s">
        <v>274</v>
      </c>
      <c r="L184" s="162">
        <v>46173</v>
      </c>
      <c r="M184" s="29" t="s">
        <v>360</v>
      </c>
      <c r="N184" s="29" t="s">
        <v>291</v>
      </c>
      <c r="O184" s="29" t="s">
        <v>272</v>
      </c>
      <c r="P184" s="29" t="s">
        <v>361</v>
      </c>
      <c r="Q184" s="29" t="s">
        <v>273</v>
      </c>
    </row>
    <row r="185" spans="1:17" s="29" customFormat="1">
      <c r="A185" s="160">
        <v>4.7464028287037038E-2</v>
      </c>
      <c r="B185" s="29" t="s">
        <v>113</v>
      </c>
      <c r="E185" s="29" t="s">
        <v>119</v>
      </c>
      <c r="G185" s="29" t="s">
        <v>204</v>
      </c>
      <c r="I185" s="161">
        <v>46238.498784722222</v>
      </c>
      <c r="J185" s="29" t="s">
        <v>359</v>
      </c>
      <c r="K185" s="29" t="s">
        <v>274</v>
      </c>
      <c r="L185" s="162">
        <v>46173</v>
      </c>
      <c r="M185" s="29" t="s">
        <v>360</v>
      </c>
      <c r="N185" s="29" t="s">
        <v>291</v>
      </c>
      <c r="O185" s="29" t="s">
        <v>272</v>
      </c>
      <c r="P185" s="29" t="s">
        <v>361</v>
      </c>
      <c r="Q185" s="29" t="s">
        <v>273</v>
      </c>
    </row>
    <row r="186" spans="1:17" s="29" customFormat="1">
      <c r="A186" s="160">
        <v>4.7153535196759258E-2</v>
      </c>
      <c r="B186" s="29" t="s">
        <v>113</v>
      </c>
      <c r="E186" s="29" t="s">
        <v>88</v>
      </c>
      <c r="G186" s="29" t="s">
        <v>117</v>
      </c>
      <c r="I186" s="161">
        <v>46238.498472222222</v>
      </c>
      <c r="J186" s="29" t="s">
        <v>359</v>
      </c>
      <c r="K186" s="29" t="s">
        <v>274</v>
      </c>
      <c r="L186" s="162">
        <v>46173</v>
      </c>
      <c r="M186" s="29" t="s">
        <v>360</v>
      </c>
      <c r="N186" s="29" t="s">
        <v>291</v>
      </c>
      <c r="O186" s="29" t="s">
        <v>272</v>
      </c>
      <c r="P186" s="29" t="s">
        <v>361</v>
      </c>
      <c r="Q186" s="29" t="s">
        <v>273</v>
      </c>
    </row>
    <row r="187" spans="1:17" s="29" customFormat="1">
      <c r="A187" s="160">
        <v>4.6984442141203703E-2</v>
      </c>
      <c r="B187" s="29" t="s">
        <v>113</v>
      </c>
      <c r="E187" s="29" t="s">
        <v>127</v>
      </c>
      <c r="G187" s="29" t="s">
        <v>117</v>
      </c>
      <c r="I187" s="161">
        <v>46238.498298611114</v>
      </c>
      <c r="J187" s="29" t="s">
        <v>359</v>
      </c>
      <c r="K187" s="29" t="s">
        <v>274</v>
      </c>
      <c r="L187" s="162">
        <v>46173</v>
      </c>
      <c r="M187" s="29" t="s">
        <v>360</v>
      </c>
      <c r="N187" s="29" t="s">
        <v>291</v>
      </c>
      <c r="O187" s="29" t="s">
        <v>272</v>
      </c>
      <c r="P187" s="29" t="s">
        <v>361</v>
      </c>
      <c r="Q187" s="29" t="s">
        <v>273</v>
      </c>
    </row>
    <row r="188" spans="1:17" s="29" customFormat="1">
      <c r="A188" s="160">
        <v>4.6895281076388892E-2</v>
      </c>
      <c r="B188" s="29" t="s">
        <v>113</v>
      </c>
      <c r="E188" s="29" t="s">
        <v>127</v>
      </c>
      <c r="G188" s="29" t="s">
        <v>117</v>
      </c>
      <c r="I188" s="161">
        <v>46238.498217592591</v>
      </c>
      <c r="J188" s="29" t="s">
        <v>359</v>
      </c>
      <c r="K188" s="29" t="s">
        <v>274</v>
      </c>
      <c r="L188" s="162">
        <v>46173</v>
      </c>
      <c r="M188" s="29" t="s">
        <v>360</v>
      </c>
      <c r="N188" s="29" t="s">
        <v>291</v>
      </c>
      <c r="O188" s="29" t="s">
        <v>272</v>
      </c>
      <c r="P188" s="29" t="s">
        <v>361</v>
      </c>
      <c r="Q188" s="29" t="s">
        <v>273</v>
      </c>
    </row>
    <row r="189" spans="1:17" s="29" customFormat="1">
      <c r="A189" s="160">
        <v>4.6772304907407407E-2</v>
      </c>
      <c r="B189" s="29" t="s">
        <v>113</v>
      </c>
      <c r="E189" s="29" t="s">
        <v>120</v>
      </c>
      <c r="G189" s="29" t="s">
        <v>117</v>
      </c>
      <c r="I189" s="161">
        <v>46238.498090277775</v>
      </c>
      <c r="J189" s="29" t="s">
        <v>359</v>
      </c>
      <c r="K189" s="29" t="s">
        <v>274</v>
      </c>
      <c r="L189" s="162">
        <v>46173</v>
      </c>
      <c r="M189" s="29" t="s">
        <v>360</v>
      </c>
      <c r="N189" s="29" t="s">
        <v>291</v>
      </c>
      <c r="O189" s="29" t="s">
        <v>272</v>
      </c>
      <c r="P189" s="29" t="s">
        <v>361</v>
      </c>
      <c r="Q189" s="29" t="s">
        <v>273</v>
      </c>
    </row>
    <row r="190" spans="1:17" s="29" customFormat="1">
      <c r="A190" s="160">
        <v>4.6604485486111111E-2</v>
      </c>
      <c r="B190" s="29" t="s">
        <v>113</v>
      </c>
      <c r="E190" s="29" t="s">
        <v>253</v>
      </c>
      <c r="F190" s="29" t="s">
        <v>248</v>
      </c>
      <c r="G190" s="29" t="s">
        <v>117</v>
      </c>
      <c r="I190" s="161">
        <v>46238.49590277778</v>
      </c>
      <c r="J190" s="29" t="s">
        <v>359</v>
      </c>
      <c r="K190" s="29" t="s">
        <v>274</v>
      </c>
      <c r="L190" s="162">
        <v>46173</v>
      </c>
      <c r="M190" s="29" t="s">
        <v>360</v>
      </c>
      <c r="N190" s="29" t="s">
        <v>291</v>
      </c>
      <c r="O190" s="29" t="s">
        <v>272</v>
      </c>
      <c r="P190" s="29" t="s">
        <v>361</v>
      </c>
      <c r="Q190" s="29" t="s">
        <v>273</v>
      </c>
    </row>
    <row r="191" spans="1:17" s="29" customFormat="1">
      <c r="A191" s="160">
        <v>4.6538197326388885E-2</v>
      </c>
      <c r="B191" s="29" t="s">
        <v>113</v>
      </c>
      <c r="E191" s="29" t="s">
        <v>88</v>
      </c>
      <c r="G191" s="29" t="s">
        <v>117</v>
      </c>
      <c r="I191" s="161">
        <v>46238.495567129627</v>
      </c>
      <c r="J191" s="29" t="s">
        <v>359</v>
      </c>
      <c r="K191" s="29" t="s">
        <v>274</v>
      </c>
      <c r="L191" s="162">
        <v>46173</v>
      </c>
      <c r="M191" s="29" t="s">
        <v>360</v>
      </c>
      <c r="N191" s="29" t="s">
        <v>291</v>
      </c>
      <c r="O191" s="29" t="s">
        <v>272</v>
      </c>
      <c r="P191" s="29" t="s">
        <v>361</v>
      </c>
      <c r="Q191" s="29" t="s">
        <v>273</v>
      </c>
    </row>
    <row r="192" spans="1:17" s="29" customFormat="1">
      <c r="A192" s="160">
        <v>4.6467446030092598E-2</v>
      </c>
      <c r="B192" s="29" t="s">
        <v>113</v>
      </c>
      <c r="E192" s="29" t="s">
        <v>127</v>
      </c>
      <c r="G192" s="29" t="s">
        <v>117</v>
      </c>
      <c r="I192" s="161">
        <v>46238.495497685188</v>
      </c>
      <c r="J192" s="29" t="s">
        <v>359</v>
      </c>
      <c r="K192" s="29" t="s">
        <v>274</v>
      </c>
      <c r="L192" s="162">
        <v>46173</v>
      </c>
      <c r="M192" s="29" t="s">
        <v>360</v>
      </c>
      <c r="N192" s="29" t="s">
        <v>291</v>
      </c>
      <c r="O192" s="29" t="s">
        <v>272</v>
      </c>
      <c r="P192" s="29" t="s">
        <v>361</v>
      </c>
      <c r="Q192" s="29" t="s">
        <v>273</v>
      </c>
    </row>
    <row r="193" spans="1:17" s="29" customFormat="1">
      <c r="A193" s="160">
        <v>4.6381402650462963E-2</v>
      </c>
      <c r="B193" s="29" t="s">
        <v>113</v>
      </c>
      <c r="E193" s="29" t="s">
        <v>127</v>
      </c>
      <c r="G193" s="29" t="s">
        <v>117</v>
      </c>
      <c r="I193" s="161">
        <v>46238.495416666665</v>
      </c>
      <c r="J193" s="29" t="s">
        <v>359</v>
      </c>
      <c r="K193" s="29" t="s">
        <v>274</v>
      </c>
      <c r="L193" s="162">
        <v>46173</v>
      </c>
      <c r="M193" s="29" t="s">
        <v>360</v>
      </c>
      <c r="N193" s="29" t="s">
        <v>291</v>
      </c>
      <c r="O193" s="29" t="s">
        <v>272</v>
      </c>
      <c r="P193" s="29" t="s">
        <v>361</v>
      </c>
      <c r="Q193" s="29" t="s">
        <v>273</v>
      </c>
    </row>
    <row r="194" spans="1:17" s="29" customFormat="1">
      <c r="A194" s="160">
        <v>4.6353700833333338E-2</v>
      </c>
      <c r="B194" s="29" t="s">
        <v>113</v>
      </c>
      <c r="E194" s="29" t="s">
        <v>58</v>
      </c>
      <c r="G194" s="29" t="s">
        <v>117</v>
      </c>
      <c r="I194" s="161">
        <v>46238.495381944442</v>
      </c>
      <c r="J194" s="29" t="s">
        <v>359</v>
      </c>
      <c r="K194" s="29" t="s">
        <v>274</v>
      </c>
      <c r="L194" s="162">
        <v>46173</v>
      </c>
      <c r="M194" s="29" t="s">
        <v>360</v>
      </c>
      <c r="N194" s="29" t="s">
        <v>291</v>
      </c>
      <c r="O194" s="29" t="s">
        <v>272</v>
      </c>
      <c r="P194" s="29" t="s">
        <v>361</v>
      </c>
      <c r="Q194" s="29" t="s">
        <v>273</v>
      </c>
    </row>
    <row r="195" spans="1:17" s="29" customFormat="1">
      <c r="A195" s="160">
        <v>4.6239933495370374E-2</v>
      </c>
      <c r="B195" s="29" t="s">
        <v>113</v>
      </c>
      <c r="E195" s="29" t="s">
        <v>127</v>
      </c>
      <c r="G195" s="29" t="s">
        <v>117</v>
      </c>
      <c r="I195" s="161">
        <v>46238.495266203703</v>
      </c>
      <c r="J195" s="29" t="s">
        <v>359</v>
      </c>
      <c r="K195" s="29" t="s">
        <v>274</v>
      </c>
      <c r="L195" s="162">
        <v>46173</v>
      </c>
      <c r="M195" s="29" t="s">
        <v>360</v>
      </c>
      <c r="N195" s="29" t="s">
        <v>291</v>
      </c>
      <c r="O195" s="29" t="s">
        <v>272</v>
      </c>
      <c r="P195" s="29" t="s">
        <v>361</v>
      </c>
      <c r="Q195" s="29" t="s">
        <v>273</v>
      </c>
    </row>
    <row r="196" spans="1:17" s="29" customFormat="1">
      <c r="A196" s="160">
        <v>4.616456027777778E-2</v>
      </c>
      <c r="B196" s="29" t="s">
        <v>113</v>
      </c>
      <c r="E196" s="29" t="s">
        <v>127</v>
      </c>
      <c r="G196" s="29" t="s">
        <v>117</v>
      </c>
      <c r="I196" s="161">
        <v>46238.495162037034</v>
      </c>
      <c r="J196" s="29" t="s">
        <v>359</v>
      </c>
      <c r="K196" s="29" t="s">
        <v>274</v>
      </c>
      <c r="L196" s="162">
        <v>46173</v>
      </c>
      <c r="M196" s="29" t="s">
        <v>360</v>
      </c>
      <c r="N196" s="29" t="s">
        <v>291</v>
      </c>
      <c r="O196" s="29" t="s">
        <v>272</v>
      </c>
      <c r="P196" s="29" t="s">
        <v>361</v>
      </c>
      <c r="Q196" s="29" t="s">
        <v>273</v>
      </c>
    </row>
    <row r="197" spans="1:17" s="29" customFormat="1">
      <c r="A197" s="160">
        <v>4.6015228356481482E-2</v>
      </c>
      <c r="B197" s="29" t="s">
        <v>113</v>
      </c>
      <c r="C197" s="29" t="s">
        <v>368</v>
      </c>
      <c r="E197" s="29" t="s">
        <v>130</v>
      </c>
      <c r="G197" s="29" t="s">
        <v>117</v>
      </c>
      <c r="I197" s="161">
        <v>46238.494930555556</v>
      </c>
      <c r="J197" s="29" t="s">
        <v>359</v>
      </c>
      <c r="K197" s="29" t="s">
        <v>274</v>
      </c>
      <c r="L197" s="162">
        <v>46173</v>
      </c>
      <c r="M197" s="29" t="s">
        <v>360</v>
      </c>
      <c r="N197" s="29" t="s">
        <v>291</v>
      </c>
      <c r="O197" s="29" t="s">
        <v>272</v>
      </c>
      <c r="P197" s="29" t="s">
        <v>361</v>
      </c>
      <c r="Q197" s="29" t="s">
        <v>273</v>
      </c>
    </row>
    <row r="198" spans="1:17" s="29" customFormat="1">
      <c r="A198" s="160">
        <v>4.5963046550925923E-2</v>
      </c>
      <c r="B198" s="29" t="s">
        <v>113</v>
      </c>
      <c r="E198" s="29" t="s">
        <v>123</v>
      </c>
      <c r="G198" s="29" t="s">
        <v>117</v>
      </c>
      <c r="I198" s="161">
        <v>46238.494618055556</v>
      </c>
      <c r="J198" s="29" t="s">
        <v>359</v>
      </c>
      <c r="K198" s="29" t="s">
        <v>274</v>
      </c>
      <c r="L198" s="162">
        <v>46173</v>
      </c>
      <c r="M198" s="29" t="s">
        <v>360</v>
      </c>
      <c r="N198" s="29" t="s">
        <v>291</v>
      </c>
      <c r="O198" s="29" t="s">
        <v>272</v>
      </c>
      <c r="P198" s="29" t="s">
        <v>361</v>
      </c>
      <c r="Q198" s="29" t="s">
        <v>273</v>
      </c>
    </row>
    <row r="199" spans="1:17" s="29" customFormat="1">
      <c r="A199" s="160">
        <v>4.4478482951388891E-2</v>
      </c>
      <c r="B199" s="29" t="s">
        <v>113</v>
      </c>
      <c r="E199" s="29" t="s">
        <v>88</v>
      </c>
      <c r="G199" s="29" t="s">
        <v>204</v>
      </c>
      <c r="I199" s="161">
        <v>46238.494259259256</v>
      </c>
      <c r="J199" s="29" t="s">
        <v>359</v>
      </c>
      <c r="K199" s="29" t="s">
        <v>274</v>
      </c>
      <c r="L199" s="162">
        <v>46173</v>
      </c>
      <c r="M199" s="29" t="s">
        <v>360</v>
      </c>
      <c r="N199" s="29" t="s">
        <v>291</v>
      </c>
      <c r="O199" s="29" t="s">
        <v>272</v>
      </c>
      <c r="P199" s="29" t="s">
        <v>361</v>
      </c>
      <c r="Q199" s="29" t="s">
        <v>273</v>
      </c>
    </row>
    <row r="200" spans="1:17" s="29" customFormat="1">
      <c r="A200" s="160">
        <v>4.4440090300925925E-2</v>
      </c>
      <c r="B200" s="29" t="s">
        <v>113</v>
      </c>
      <c r="E200" s="29" t="s">
        <v>228</v>
      </c>
      <c r="G200" s="29" t="s">
        <v>204</v>
      </c>
      <c r="I200" s="161">
        <v>46238.494189814817</v>
      </c>
      <c r="J200" s="29" t="s">
        <v>359</v>
      </c>
      <c r="K200" s="29" t="s">
        <v>274</v>
      </c>
      <c r="L200" s="162">
        <v>46173</v>
      </c>
      <c r="M200" s="29" t="s">
        <v>360</v>
      </c>
      <c r="N200" s="29" t="s">
        <v>291</v>
      </c>
      <c r="O200" s="29" t="s">
        <v>272</v>
      </c>
      <c r="P200" s="29" t="s">
        <v>361</v>
      </c>
      <c r="Q200" s="29" t="s">
        <v>273</v>
      </c>
    </row>
    <row r="201" spans="1:17" s="29" customFormat="1">
      <c r="A201" s="160">
        <v>4.4403152407407408E-2</v>
      </c>
      <c r="B201" s="29" t="s">
        <v>113</v>
      </c>
      <c r="E201" s="29" t="s">
        <v>224</v>
      </c>
      <c r="G201" s="29" t="s">
        <v>117</v>
      </c>
      <c r="I201" s="161">
        <v>46238.494143518517</v>
      </c>
      <c r="J201" s="29" t="s">
        <v>359</v>
      </c>
      <c r="K201" s="29" t="s">
        <v>274</v>
      </c>
      <c r="L201" s="162">
        <v>46173</v>
      </c>
      <c r="M201" s="29" t="s">
        <v>360</v>
      </c>
      <c r="N201" s="29" t="s">
        <v>291</v>
      </c>
      <c r="O201" s="29" t="s">
        <v>272</v>
      </c>
      <c r="P201" s="29" t="s">
        <v>361</v>
      </c>
      <c r="Q201" s="29" t="s">
        <v>273</v>
      </c>
    </row>
    <row r="202" spans="1:17" s="29" customFormat="1">
      <c r="A202" s="160">
        <v>4.4359913182870372E-2</v>
      </c>
      <c r="B202" s="29" t="s">
        <v>113</v>
      </c>
      <c r="E202" s="29" t="s">
        <v>333</v>
      </c>
      <c r="G202" s="29" t="s">
        <v>117</v>
      </c>
      <c r="I202" s="161">
        <v>46238.494074074071</v>
      </c>
      <c r="J202" s="29" t="s">
        <v>359</v>
      </c>
      <c r="K202" s="29" t="s">
        <v>274</v>
      </c>
      <c r="L202" s="162">
        <v>46173</v>
      </c>
      <c r="M202" s="29" t="s">
        <v>360</v>
      </c>
      <c r="N202" s="29" t="s">
        <v>291</v>
      </c>
      <c r="O202" s="29" t="s">
        <v>272</v>
      </c>
      <c r="P202" s="29" t="s">
        <v>361</v>
      </c>
      <c r="Q202" s="29" t="s">
        <v>273</v>
      </c>
    </row>
    <row r="203" spans="1:17" s="29" customFormat="1">
      <c r="A203" s="160">
        <v>4.4290992384259265E-2</v>
      </c>
      <c r="B203" s="29" t="s">
        <v>113</v>
      </c>
      <c r="E203" s="29" t="s">
        <v>124</v>
      </c>
      <c r="G203" s="29" t="s">
        <v>117</v>
      </c>
      <c r="I203" s="161">
        <v>46238.493877314817</v>
      </c>
      <c r="J203" s="29" t="s">
        <v>359</v>
      </c>
      <c r="K203" s="29" t="s">
        <v>274</v>
      </c>
      <c r="L203" s="162">
        <v>46173</v>
      </c>
      <c r="M203" s="29" t="s">
        <v>360</v>
      </c>
      <c r="N203" s="29" t="s">
        <v>291</v>
      </c>
      <c r="O203" s="29" t="s">
        <v>272</v>
      </c>
      <c r="P203" s="29" t="s">
        <v>361</v>
      </c>
      <c r="Q203" s="29" t="s">
        <v>273</v>
      </c>
    </row>
    <row r="204" spans="1:17" s="29" customFormat="1">
      <c r="A204" s="160">
        <v>4.3814484687500002E-2</v>
      </c>
      <c r="B204" s="29" t="s">
        <v>113</v>
      </c>
      <c r="E204" s="29" t="s">
        <v>88</v>
      </c>
      <c r="G204" s="29" t="s">
        <v>117</v>
      </c>
      <c r="I204" s="161">
        <v>46238.493402777778</v>
      </c>
      <c r="J204" s="29" t="s">
        <v>359</v>
      </c>
      <c r="K204" s="29" t="s">
        <v>274</v>
      </c>
      <c r="L204" s="162">
        <v>46173</v>
      </c>
      <c r="M204" s="29" t="s">
        <v>360</v>
      </c>
      <c r="N204" s="29" t="s">
        <v>291</v>
      </c>
      <c r="O204" s="29" t="s">
        <v>272</v>
      </c>
      <c r="P204" s="29" t="s">
        <v>361</v>
      </c>
      <c r="Q204" s="29" t="s">
        <v>273</v>
      </c>
    </row>
    <row r="205" spans="1:17" s="29" customFormat="1">
      <c r="A205" s="160">
        <v>4.3796022430555553E-2</v>
      </c>
      <c r="B205" s="29" t="s">
        <v>113</v>
      </c>
      <c r="E205" s="29" t="s">
        <v>223</v>
      </c>
      <c r="G205" s="29" t="s">
        <v>204</v>
      </c>
      <c r="I205" s="161">
        <v>46238.493379629632</v>
      </c>
      <c r="J205" s="29" t="s">
        <v>359</v>
      </c>
      <c r="K205" s="29" t="s">
        <v>274</v>
      </c>
      <c r="L205" s="162">
        <v>46173</v>
      </c>
      <c r="M205" s="29" t="s">
        <v>360</v>
      </c>
      <c r="N205" s="29" t="s">
        <v>291</v>
      </c>
      <c r="O205" s="29" t="s">
        <v>272</v>
      </c>
      <c r="P205" s="29" t="s">
        <v>361</v>
      </c>
      <c r="Q205" s="29" t="s">
        <v>273</v>
      </c>
    </row>
    <row r="206" spans="1:17" s="29" customFormat="1">
      <c r="A206" s="160">
        <v>4.3771608090277775E-2</v>
      </c>
      <c r="B206" s="29" t="s">
        <v>113</v>
      </c>
      <c r="E206" s="29" t="s">
        <v>228</v>
      </c>
      <c r="G206" s="29" t="s">
        <v>204</v>
      </c>
      <c r="I206" s="161">
        <v>46238.493333333332</v>
      </c>
      <c r="J206" s="29" t="s">
        <v>359</v>
      </c>
      <c r="K206" s="29" t="s">
        <v>274</v>
      </c>
      <c r="L206" s="162">
        <v>46173</v>
      </c>
      <c r="M206" s="29" t="s">
        <v>360</v>
      </c>
      <c r="N206" s="29" t="s">
        <v>291</v>
      </c>
      <c r="O206" s="29" t="s">
        <v>272</v>
      </c>
      <c r="P206" s="29" t="s">
        <v>361</v>
      </c>
      <c r="Q206" s="29" t="s">
        <v>273</v>
      </c>
    </row>
    <row r="207" spans="1:17" s="29" customFormat="1">
      <c r="A207" s="160">
        <v>4.3731530416666664E-2</v>
      </c>
      <c r="B207" s="29" t="s">
        <v>113</v>
      </c>
      <c r="E207" s="29" t="s">
        <v>224</v>
      </c>
      <c r="G207" s="29" t="s">
        <v>117</v>
      </c>
      <c r="I207" s="161">
        <v>46238.493275462963</v>
      </c>
      <c r="J207" s="29" t="s">
        <v>359</v>
      </c>
      <c r="K207" s="29" t="s">
        <v>274</v>
      </c>
      <c r="L207" s="162">
        <v>46173</v>
      </c>
      <c r="M207" s="29" t="s">
        <v>360</v>
      </c>
      <c r="N207" s="29" t="s">
        <v>291</v>
      </c>
      <c r="O207" s="29" t="s">
        <v>272</v>
      </c>
      <c r="P207" s="29" t="s">
        <v>361</v>
      </c>
      <c r="Q207" s="29" t="s">
        <v>273</v>
      </c>
    </row>
    <row r="208" spans="1:17" s="29" customFormat="1">
      <c r="A208" s="160">
        <v>4.3709717777777775E-2</v>
      </c>
      <c r="B208" s="29" t="s">
        <v>113</v>
      </c>
      <c r="E208" s="29" t="s">
        <v>226</v>
      </c>
      <c r="G208" s="29" t="s">
        <v>117</v>
      </c>
      <c r="I208" s="161">
        <v>46238.493217592593</v>
      </c>
      <c r="J208" s="29" t="s">
        <v>359</v>
      </c>
      <c r="K208" s="29" t="s">
        <v>274</v>
      </c>
      <c r="L208" s="162">
        <v>46173</v>
      </c>
      <c r="M208" s="29" t="s">
        <v>360</v>
      </c>
      <c r="N208" s="29" t="s">
        <v>291</v>
      </c>
      <c r="O208" s="29" t="s">
        <v>272</v>
      </c>
      <c r="P208" s="29" t="s">
        <v>361</v>
      </c>
      <c r="Q208" s="29" t="s">
        <v>273</v>
      </c>
    </row>
    <row r="209" spans="1:17" s="29" customFormat="1">
      <c r="A209" s="160">
        <v>4.368516043981481E-2</v>
      </c>
      <c r="B209" s="29" t="s">
        <v>113</v>
      </c>
      <c r="E209" s="29" t="s">
        <v>224</v>
      </c>
      <c r="G209" s="29" t="s">
        <v>117</v>
      </c>
      <c r="I209" s="161">
        <v>46238.49318287037</v>
      </c>
      <c r="J209" s="29" t="s">
        <v>359</v>
      </c>
      <c r="K209" s="29" t="s">
        <v>274</v>
      </c>
      <c r="L209" s="162">
        <v>46173</v>
      </c>
      <c r="M209" s="29" t="s">
        <v>360</v>
      </c>
      <c r="N209" s="29" t="s">
        <v>291</v>
      </c>
      <c r="O209" s="29" t="s">
        <v>272</v>
      </c>
      <c r="P209" s="29" t="s">
        <v>361</v>
      </c>
      <c r="Q209" s="29" t="s">
        <v>273</v>
      </c>
    </row>
    <row r="210" spans="1:17" s="29" customFormat="1">
      <c r="A210" s="160">
        <v>4.3557458275462965E-2</v>
      </c>
      <c r="B210" s="29" t="s">
        <v>113</v>
      </c>
      <c r="E210" s="29" t="s">
        <v>339</v>
      </c>
      <c r="G210" s="29" t="s">
        <v>204</v>
      </c>
      <c r="I210" s="161">
        <v>46238.493009259262</v>
      </c>
      <c r="J210" s="29" t="s">
        <v>359</v>
      </c>
      <c r="K210" s="29" t="s">
        <v>274</v>
      </c>
      <c r="L210" s="162">
        <v>46173</v>
      </c>
      <c r="M210" s="29" t="s">
        <v>360</v>
      </c>
      <c r="N210" s="29" t="s">
        <v>291</v>
      </c>
      <c r="O210" s="29" t="s">
        <v>272</v>
      </c>
      <c r="P210" s="29" t="s">
        <v>361</v>
      </c>
      <c r="Q210" s="29" t="s">
        <v>273</v>
      </c>
    </row>
    <row r="211" spans="1:17" s="29" customFormat="1">
      <c r="A211" s="160">
        <v>4.3495994074074076E-2</v>
      </c>
      <c r="B211" s="29" t="s">
        <v>113</v>
      </c>
      <c r="E211" s="29" t="s">
        <v>124</v>
      </c>
      <c r="G211" s="29" t="s">
        <v>204</v>
      </c>
      <c r="I211" s="161">
        <v>46238.492951388886</v>
      </c>
      <c r="J211" s="29" t="s">
        <v>359</v>
      </c>
      <c r="K211" s="29" t="s">
        <v>274</v>
      </c>
      <c r="L211" s="162">
        <v>46173</v>
      </c>
      <c r="M211" s="29" t="s">
        <v>360</v>
      </c>
      <c r="N211" s="29" t="s">
        <v>291</v>
      </c>
      <c r="O211" s="29" t="s">
        <v>272</v>
      </c>
      <c r="P211" s="29" t="s">
        <v>361</v>
      </c>
      <c r="Q211" s="29" t="s">
        <v>273</v>
      </c>
    </row>
    <row r="212" spans="1:17" s="29" customFormat="1">
      <c r="A212" s="160">
        <v>4.3154742002314811E-2</v>
      </c>
      <c r="B212" s="29" t="s">
        <v>113</v>
      </c>
      <c r="E212" s="29" t="s">
        <v>223</v>
      </c>
      <c r="G212" s="29" t="s">
        <v>117</v>
      </c>
      <c r="I212" s="161">
        <v>46238.492615740739</v>
      </c>
      <c r="J212" s="29" t="s">
        <v>359</v>
      </c>
      <c r="K212" s="29" t="s">
        <v>274</v>
      </c>
      <c r="L212" s="162">
        <v>46173</v>
      </c>
      <c r="M212" s="29" t="s">
        <v>360</v>
      </c>
      <c r="N212" s="29" t="s">
        <v>291</v>
      </c>
      <c r="O212" s="29" t="s">
        <v>272</v>
      </c>
      <c r="P212" s="29" t="s">
        <v>361</v>
      </c>
      <c r="Q212" s="29" t="s">
        <v>273</v>
      </c>
    </row>
    <row r="213" spans="1:17" s="29" customFormat="1">
      <c r="A213" s="160">
        <v>4.310861806712963E-2</v>
      </c>
      <c r="B213" s="29" t="s">
        <v>113</v>
      </c>
      <c r="E213" s="29" t="s">
        <v>88</v>
      </c>
      <c r="G213" s="29" t="s">
        <v>117</v>
      </c>
      <c r="I213" s="161">
        <v>46238.492569444446</v>
      </c>
      <c r="J213" s="29" t="s">
        <v>359</v>
      </c>
      <c r="K213" s="29" t="s">
        <v>274</v>
      </c>
      <c r="L213" s="162">
        <v>46173</v>
      </c>
      <c r="M213" s="29" t="s">
        <v>360</v>
      </c>
      <c r="N213" s="29" t="s">
        <v>291</v>
      </c>
      <c r="O213" s="29" t="s">
        <v>272</v>
      </c>
      <c r="P213" s="29" t="s">
        <v>361</v>
      </c>
      <c r="Q213" s="29" t="s">
        <v>273</v>
      </c>
    </row>
    <row r="214" spans="1:17" s="29" customFormat="1">
      <c r="A214" s="160">
        <v>4.3037910578703702E-2</v>
      </c>
      <c r="B214" s="29" t="s">
        <v>113</v>
      </c>
      <c r="E214" s="29" t="s">
        <v>127</v>
      </c>
      <c r="G214" s="29" t="s">
        <v>117</v>
      </c>
      <c r="I214" s="161">
        <v>46238.4925</v>
      </c>
      <c r="J214" s="29" t="s">
        <v>359</v>
      </c>
      <c r="K214" s="29" t="s">
        <v>274</v>
      </c>
      <c r="L214" s="162">
        <v>46173</v>
      </c>
      <c r="M214" s="29" t="s">
        <v>360</v>
      </c>
      <c r="N214" s="29" t="s">
        <v>291</v>
      </c>
      <c r="O214" s="29" t="s">
        <v>272</v>
      </c>
      <c r="P214" s="29" t="s">
        <v>361</v>
      </c>
      <c r="Q214" s="29" t="s">
        <v>273</v>
      </c>
    </row>
    <row r="215" spans="1:17" s="29" customFormat="1">
      <c r="A215" s="160">
        <v>4.2973375983796296E-2</v>
      </c>
      <c r="B215" s="29" t="s">
        <v>113</v>
      </c>
      <c r="E215" s="29" t="s">
        <v>127</v>
      </c>
      <c r="G215" s="29" t="s">
        <v>117</v>
      </c>
      <c r="I215" s="161">
        <v>46238.492418981485</v>
      </c>
      <c r="J215" s="29" t="s">
        <v>359</v>
      </c>
      <c r="K215" s="29" t="s">
        <v>274</v>
      </c>
      <c r="L215" s="162">
        <v>46173</v>
      </c>
      <c r="M215" s="29" t="s">
        <v>360</v>
      </c>
      <c r="N215" s="29" t="s">
        <v>291</v>
      </c>
      <c r="O215" s="29" t="s">
        <v>272</v>
      </c>
      <c r="P215" s="29" t="s">
        <v>361</v>
      </c>
      <c r="Q215" s="29" t="s">
        <v>273</v>
      </c>
    </row>
    <row r="216" spans="1:17" s="29" customFormat="1">
      <c r="A216" s="160">
        <v>4.2909494386574071E-2</v>
      </c>
      <c r="B216" s="29" t="s">
        <v>113</v>
      </c>
      <c r="E216" s="29" t="s">
        <v>127</v>
      </c>
      <c r="G216" s="29" t="s">
        <v>117</v>
      </c>
      <c r="I216" s="161">
        <v>46238.492326388892</v>
      </c>
      <c r="J216" s="29" t="s">
        <v>359</v>
      </c>
      <c r="K216" s="29" t="s">
        <v>274</v>
      </c>
      <c r="L216" s="162">
        <v>46173</v>
      </c>
      <c r="M216" s="29" t="s">
        <v>360</v>
      </c>
      <c r="N216" s="29" t="s">
        <v>291</v>
      </c>
      <c r="O216" s="29" t="s">
        <v>272</v>
      </c>
      <c r="P216" s="29" t="s">
        <v>361</v>
      </c>
      <c r="Q216" s="29" t="s">
        <v>273</v>
      </c>
    </row>
    <row r="217" spans="1:17" s="29" customFormat="1">
      <c r="A217" s="160">
        <v>4.2851782824074078E-2</v>
      </c>
      <c r="B217" s="29" t="s">
        <v>113</v>
      </c>
      <c r="C217" s="29" t="s">
        <v>374</v>
      </c>
      <c r="E217" s="29" t="s">
        <v>130</v>
      </c>
      <c r="G217" s="29" t="s">
        <v>117</v>
      </c>
      <c r="I217" s="161">
        <v>46238.492268518516</v>
      </c>
      <c r="J217" s="29" t="s">
        <v>359</v>
      </c>
      <c r="K217" s="29" t="s">
        <v>274</v>
      </c>
      <c r="L217" s="162">
        <v>46173</v>
      </c>
      <c r="M217" s="29" t="s">
        <v>360</v>
      </c>
      <c r="N217" s="29" t="s">
        <v>291</v>
      </c>
      <c r="O217" s="29" t="s">
        <v>272</v>
      </c>
      <c r="P217" s="29" t="s">
        <v>361</v>
      </c>
      <c r="Q217" s="29" t="s">
        <v>273</v>
      </c>
    </row>
    <row r="218" spans="1:17" s="29" customFormat="1">
      <c r="A218" s="160">
        <v>4.2808750254629629E-2</v>
      </c>
      <c r="B218" s="29" t="s">
        <v>113</v>
      </c>
      <c r="E218" s="29" t="s">
        <v>123</v>
      </c>
      <c r="G218" s="29" t="s">
        <v>117</v>
      </c>
      <c r="I218" s="161">
        <v>46238.492199074077</v>
      </c>
      <c r="J218" s="29" t="s">
        <v>359</v>
      </c>
      <c r="K218" s="29" t="s">
        <v>274</v>
      </c>
      <c r="L218" s="162">
        <v>46173</v>
      </c>
      <c r="M218" s="29" t="s">
        <v>360</v>
      </c>
      <c r="N218" s="29" t="s">
        <v>291</v>
      </c>
      <c r="O218" s="29" t="s">
        <v>272</v>
      </c>
      <c r="P218" s="29" t="s">
        <v>361</v>
      </c>
      <c r="Q218" s="29" t="s">
        <v>273</v>
      </c>
    </row>
    <row r="219" spans="1:17" s="29" customFormat="1">
      <c r="A219" s="160">
        <v>4.2448805763888889E-2</v>
      </c>
      <c r="B219" s="29" t="s">
        <v>113</v>
      </c>
      <c r="E219" s="29" t="s">
        <v>88</v>
      </c>
      <c r="G219" s="29" t="s">
        <v>204</v>
      </c>
      <c r="I219" s="161">
        <v>46238.491296296299</v>
      </c>
      <c r="J219" s="29" t="s">
        <v>359</v>
      </c>
      <c r="K219" s="29" t="s">
        <v>274</v>
      </c>
      <c r="L219" s="162">
        <v>46173</v>
      </c>
      <c r="M219" s="29" t="s">
        <v>360</v>
      </c>
      <c r="N219" s="29" t="s">
        <v>291</v>
      </c>
      <c r="O219" s="29" t="s">
        <v>272</v>
      </c>
      <c r="P219" s="29" t="s">
        <v>361</v>
      </c>
      <c r="Q219" s="29" t="s">
        <v>273</v>
      </c>
    </row>
    <row r="220" spans="1:17" s="29" customFormat="1">
      <c r="A220" s="160">
        <v>4.2406860439814814E-2</v>
      </c>
      <c r="B220" s="29" t="s">
        <v>113</v>
      </c>
      <c r="C220" s="29" t="s">
        <v>363</v>
      </c>
      <c r="E220" s="29" t="s">
        <v>127</v>
      </c>
      <c r="G220" s="29" t="s">
        <v>204</v>
      </c>
      <c r="I220" s="161">
        <v>46238.491226851853</v>
      </c>
      <c r="J220" s="29" t="s">
        <v>359</v>
      </c>
      <c r="K220" s="29" t="s">
        <v>274</v>
      </c>
      <c r="L220" s="162">
        <v>46173</v>
      </c>
      <c r="M220" s="29" t="s">
        <v>360</v>
      </c>
      <c r="N220" s="29" t="s">
        <v>291</v>
      </c>
      <c r="O220" s="29" t="s">
        <v>272</v>
      </c>
      <c r="P220" s="29" t="s">
        <v>361</v>
      </c>
      <c r="Q220" s="29" t="s">
        <v>273</v>
      </c>
    </row>
    <row r="221" spans="1:17" s="29" customFormat="1">
      <c r="A221" s="160">
        <v>4.2371981296296296E-2</v>
      </c>
      <c r="B221" s="29" t="s">
        <v>113</v>
      </c>
      <c r="C221" s="29" t="s">
        <v>375</v>
      </c>
      <c r="E221" s="29" t="s">
        <v>127</v>
      </c>
      <c r="G221" s="29" t="s">
        <v>204</v>
      </c>
      <c r="I221" s="161">
        <v>46238.491111111114</v>
      </c>
      <c r="J221" s="29" t="s">
        <v>359</v>
      </c>
      <c r="K221" s="29" t="s">
        <v>274</v>
      </c>
      <c r="L221" s="162">
        <v>46173</v>
      </c>
      <c r="M221" s="29" t="s">
        <v>360</v>
      </c>
      <c r="N221" s="29" t="s">
        <v>291</v>
      </c>
      <c r="O221" s="29" t="s">
        <v>272</v>
      </c>
      <c r="P221" s="29" t="s">
        <v>361</v>
      </c>
      <c r="Q221" s="29" t="s">
        <v>273</v>
      </c>
    </row>
    <row r="222" spans="1:17" s="29" customFormat="1">
      <c r="A222" s="160">
        <v>4.2332397337962964E-2</v>
      </c>
      <c r="B222" s="29" t="s">
        <v>113</v>
      </c>
      <c r="E222" s="29" t="s">
        <v>120</v>
      </c>
      <c r="G222" s="29" t="s">
        <v>204</v>
      </c>
      <c r="I222" s="161">
        <v>46238.490833333337</v>
      </c>
      <c r="J222" s="29" t="s">
        <v>359</v>
      </c>
      <c r="K222" s="29" t="s">
        <v>274</v>
      </c>
      <c r="L222" s="162">
        <v>46173</v>
      </c>
      <c r="M222" s="29" t="s">
        <v>360</v>
      </c>
      <c r="N222" s="29" t="s">
        <v>291</v>
      </c>
      <c r="O222" s="29" t="s">
        <v>272</v>
      </c>
      <c r="P222" s="29" t="s">
        <v>361</v>
      </c>
      <c r="Q222" s="29" t="s">
        <v>273</v>
      </c>
    </row>
    <row r="223" spans="1:17" s="29" customFormat="1">
      <c r="A223" s="160">
        <v>4.1331016817129626E-2</v>
      </c>
      <c r="B223" s="29" t="s">
        <v>113</v>
      </c>
      <c r="E223" s="29" t="s">
        <v>88</v>
      </c>
      <c r="G223" s="29" t="s">
        <v>117</v>
      </c>
      <c r="I223" s="161">
        <v>46238.490555555552</v>
      </c>
      <c r="J223" s="29" t="s">
        <v>359</v>
      </c>
      <c r="K223" s="29" t="s">
        <v>274</v>
      </c>
      <c r="L223" s="162">
        <v>46173</v>
      </c>
      <c r="M223" s="29" t="s">
        <v>360</v>
      </c>
      <c r="N223" s="29" t="s">
        <v>291</v>
      </c>
      <c r="O223" s="29" t="s">
        <v>272</v>
      </c>
      <c r="P223" s="29" t="s">
        <v>361</v>
      </c>
      <c r="Q223" s="29" t="s">
        <v>273</v>
      </c>
    </row>
    <row r="224" spans="1:17" s="29" customFormat="1">
      <c r="A224" s="160">
        <v>4.133954180555556E-2</v>
      </c>
      <c r="B224" s="29" t="s">
        <v>113</v>
      </c>
      <c r="E224" s="29" t="s">
        <v>253</v>
      </c>
      <c r="F224" s="29" t="s">
        <v>247</v>
      </c>
      <c r="G224" s="29" t="s">
        <v>117</v>
      </c>
      <c r="I224" s="161">
        <v>46238.490034722221</v>
      </c>
      <c r="J224" s="29" t="s">
        <v>359</v>
      </c>
      <c r="K224" s="29" t="s">
        <v>274</v>
      </c>
      <c r="L224" s="162">
        <v>46173</v>
      </c>
      <c r="M224" s="29" t="s">
        <v>360</v>
      </c>
      <c r="N224" s="29" t="s">
        <v>291</v>
      </c>
      <c r="O224" s="29" t="s">
        <v>272</v>
      </c>
      <c r="P224" s="29" t="s">
        <v>361</v>
      </c>
      <c r="Q224" s="29" t="s">
        <v>273</v>
      </c>
    </row>
    <row r="225" spans="1:17" s="29" customFormat="1">
      <c r="A225" s="160">
        <v>4.133954180555556E-2</v>
      </c>
      <c r="B225" s="29" t="s">
        <v>113</v>
      </c>
      <c r="C225" s="29" t="s">
        <v>83</v>
      </c>
      <c r="E225" s="29" t="s">
        <v>60</v>
      </c>
      <c r="G225" s="29" t="s">
        <v>204</v>
      </c>
      <c r="I225" s="161">
        <v>46238.490011574075</v>
      </c>
      <c r="J225" s="29" t="s">
        <v>359</v>
      </c>
      <c r="K225" s="29" t="s">
        <v>274</v>
      </c>
      <c r="L225" s="162">
        <v>46173</v>
      </c>
      <c r="M225" s="29" t="s">
        <v>360</v>
      </c>
      <c r="N225" s="29" t="s">
        <v>291</v>
      </c>
      <c r="O225" s="29" t="s">
        <v>272</v>
      </c>
      <c r="P225" s="29" t="s">
        <v>361</v>
      </c>
      <c r="Q225" s="29" t="s">
        <v>273</v>
      </c>
    </row>
    <row r="226" spans="1:17" s="29" customFormat="1">
      <c r="A226" s="160">
        <v>4.1282200682870369E-2</v>
      </c>
      <c r="B226" s="29" t="s">
        <v>113</v>
      </c>
      <c r="C226" s="29" t="s">
        <v>362</v>
      </c>
      <c r="E226" s="29" t="s">
        <v>127</v>
      </c>
      <c r="G226" s="29" t="s">
        <v>204</v>
      </c>
      <c r="I226" s="161">
        <v>46238.489768518521</v>
      </c>
      <c r="J226" s="29" t="s">
        <v>359</v>
      </c>
      <c r="K226" s="29" t="s">
        <v>274</v>
      </c>
      <c r="L226" s="162">
        <v>46173</v>
      </c>
      <c r="M226" s="29" t="s">
        <v>360</v>
      </c>
      <c r="N226" s="29" t="s">
        <v>291</v>
      </c>
      <c r="O226" s="29" t="s">
        <v>272</v>
      </c>
      <c r="P226" s="29" t="s">
        <v>361</v>
      </c>
      <c r="Q226" s="29" t="s">
        <v>273</v>
      </c>
    </row>
    <row r="227" spans="1:17" s="29" customFormat="1">
      <c r="A227" s="160">
        <v>4.1266959618055557E-2</v>
      </c>
      <c r="B227" s="29" t="s">
        <v>113</v>
      </c>
      <c r="C227" s="29" t="s">
        <v>366</v>
      </c>
      <c r="E227" s="29" t="s">
        <v>127</v>
      </c>
      <c r="G227" s="29" t="s">
        <v>204</v>
      </c>
      <c r="I227" s="161">
        <v>46238.489502314813</v>
      </c>
      <c r="J227" s="29" t="s">
        <v>359</v>
      </c>
      <c r="K227" s="29" t="s">
        <v>274</v>
      </c>
      <c r="L227" s="162">
        <v>46173</v>
      </c>
      <c r="M227" s="29" t="s">
        <v>360</v>
      </c>
      <c r="N227" s="29" t="s">
        <v>291</v>
      </c>
      <c r="O227" s="29" t="s">
        <v>272</v>
      </c>
      <c r="P227" s="29" t="s">
        <v>361</v>
      </c>
      <c r="Q227" s="29" t="s">
        <v>273</v>
      </c>
    </row>
    <row r="228" spans="1:17" s="29" customFormat="1">
      <c r="A228" s="160">
        <v>4.1243848240740739E-2</v>
      </c>
      <c r="B228" s="29" t="s">
        <v>113</v>
      </c>
      <c r="C228" s="29" t="s">
        <v>376</v>
      </c>
      <c r="E228" s="29" t="s">
        <v>59</v>
      </c>
      <c r="G228" s="29" t="s">
        <v>204</v>
      </c>
      <c r="I228" s="161">
        <v>46238.489386574074</v>
      </c>
      <c r="J228" s="29" t="s">
        <v>359</v>
      </c>
      <c r="K228" s="29" t="s">
        <v>274</v>
      </c>
      <c r="L228" s="162">
        <v>46173</v>
      </c>
      <c r="M228" s="29" t="s">
        <v>360</v>
      </c>
      <c r="N228" s="29" t="s">
        <v>291</v>
      </c>
      <c r="O228" s="29" t="s">
        <v>272</v>
      </c>
      <c r="P228" s="29" t="s">
        <v>361</v>
      </c>
      <c r="Q228" s="29" t="s">
        <v>273</v>
      </c>
    </row>
    <row r="229" spans="1:17" s="29" customFormat="1">
      <c r="A229" s="160">
        <v>4.1210639918981481E-2</v>
      </c>
      <c r="B229" s="29" t="s">
        <v>113</v>
      </c>
      <c r="C229" s="29" t="s">
        <v>364</v>
      </c>
      <c r="E229" s="29" t="s">
        <v>59</v>
      </c>
      <c r="G229" s="29" t="s">
        <v>204</v>
      </c>
      <c r="I229" s="161">
        <v>46238.489155092589</v>
      </c>
      <c r="J229" s="29" t="s">
        <v>359</v>
      </c>
      <c r="K229" s="29" t="s">
        <v>274</v>
      </c>
      <c r="L229" s="162">
        <v>46173</v>
      </c>
      <c r="M229" s="29" t="s">
        <v>360</v>
      </c>
      <c r="N229" s="29" t="s">
        <v>291</v>
      </c>
      <c r="O229" s="29" t="s">
        <v>272</v>
      </c>
      <c r="P229" s="29" t="s">
        <v>361</v>
      </c>
      <c r="Q229" s="29" t="s">
        <v>273</v>
      </c>
    </row>
    <row r="230" spans="1:17" s="29" customFormat="1">
      <c r="A230" s="160">
        <v>4.1136243414351854E-2</v>
      </c>
      <c r="B230" s="29" t="s">
        <v>113</v>
      </c>
      <c r="C230" s="29" t="s">
        <v>363</v>
      </c>
      <c r="E230" s="29" t="s">
        <v>127</v>
      </c>
      <c r="G230" s="29" t="s">
        <v>204</v>
      </c>
      <c r="I230" s="161">
        <v>46238.488807870373</v>
      </c>
      <c r="J230" s="29" t="s">
        <v>359</v>
      </c>
      <c r="K230" s="29" t="s">
        <v>274</v>
      </c>
      <c r="L230" s="162">
        <v>46173</v>
      </c>
      <c r="M230" s="29" t="s">
        <v>360</v>
      </c>
      <c r="N230" s="29" t="s">
        <v>291</v>
      </c>
      <c r="O230" s="29" t="s">
        <v>272</v>
      </c>
      <c r="P230" s="29" t="s">
        <v>361</v>
      </c>
      <c r="Q230" s="29" t="s">
        <v>273</v>
      </c>
    </row>
    <row r="231" spans="1:17" s="29" customFormat="1">
      <c r="A231" s="160">
        <v>4.1049761863425925E-2</v>
      </c>
      <c r="B231" s="29" t="s">
        <v>113</v>
      </c>
      <c r="E231" s="29" t="s">
        <v>132</v>
      </c>
      <c r="G231" s="29" t="s">
        <v>204</v>
      </c>
      <c r="I231" s="161">
        <v>46238.475532407407</v>
      </c>
      <c r="J231" s="29" t="s">
        <v>359</v>
      </c>
      <c r="K231" s="29" t="s">
        <v>274</v>
      </c>
      <c r="L231" s="162">
        <v>46173</v>
      </c>
      <c r="M231" s="29" t="s">
        <v>360</v>
      </c>
      <c r="N231" s="29" t="s">
        <v>291</v>
      </c>
      <c r="O231" s="29" t="s">
        <v>272</v>
      </c>
      <c r="P231" s="29" t="s">
        <v>361</v>
      </c>
      <c r="Q231" s="29" t="s">
        <v>273</v>
      </c>
    </row>
    <row r="232" spans="1:17" s="29" customFormat="1">
      <c r="A232" s="160">
        <v>4.1004981539351851E-2</v>
      </c>
      <c r="B232" s="29" t="s">
        <v>113</v>
      </c>
      <c r="E232" s="29" t="s">
        <v>123</v>
      </c>
      <c r="G232" s="29" t="s">
        <v>204</v>
      </c>
      <c r="I232" s="161">
        <v>46238.475370370368</v>
      </c>
      <c r="J232" s="29" t="s">
        <v>359</v>
      </c>
      <c r="K232" s="29" t="s">
        <v>274</v>
      </c>
      <c r="L232" s="162">
        <v>46173</v>
      </c>
      <c r="M232" s="29" t="s">
        <v>360</v>
      </c>
      <c r="N232" s="29" t="s">
        <v>291</v>
      </c>
      <c r="O232" s="29" t="s">
        <v>272</v>
      </c>
      <c r="P232" s="29" t="s">
        <v>361</v>
      </c>
      <c r="Q232" s="29" t="s">
        <v>273</v>
      </c>
    </row>
    <row r="233" spans="1:17" s="29" customFormat="1">
      <c r="A233" s="160">
        <v>4.0804970960648147E-2</v>
      </c>
      <c r="B233" s="29" t="s">
        <v>113</v>
      </c>
      <c r="E233" s="29" t="s">
        <v>88</v>
      </c>
      <c r="G233" s="29" t="s">
        <v>117</v>
      </c>
      <c r="I233" s="161">
        <v>46238.474143518521</v>
      </c>
      <c r="J233" s="29" t="s">
        <v>359</v>
      </c>
      <c r="K233" s="29" t="s">
        <v>274</v>
      </c>
      <c r="L233" s="162">
        <v>46173</v>
      </c>
      <c r="M233" s="29" t="s">
        <v>360</v>
      </c>
      <c r="N233" s="29" t="s">
        <v>291</v>
      </c>
      <c r="O233" s="29" t="s">
        <v>272</v>
      </c>
      <c r="P233" s="29" t="s">
        <v>361</v>
      </c>
      <c r="Q233" s="29" t="s">
        <v>273</v>
      </c>
    </row>
    <row r="234" spans="1:17" s="29" customFormat="1">
      <c r="A234" s="160">
        <v>4.0756647812499998E-2</v>
      </c>
      <c r="B234" s="29" t="s">
        <v>113</v>
      </c>
      <c r="C234" s="29" t="s">
        <v>366</v>
      </c>
      <c r="E234" s="29" t="s">
        <v>129</v>
      </c>
      <c r="G234" s="29" t="s">
        <v>204</v>
      </c>
      <c r="I234" s="161">
        <v>46238.474039351851</v>
      </c>
      <c r="J234" s="29" t="s">
        <v>359</v>
      </c>
      <c r="K234" s="29" t="s">
        <v>274</v>
      </c>
      <c r="L234" s="162">
        <v>46173</v>
      </c>
      <c r="M234" s="29" t="s">
        <v>360</v>
      </c>
      <c r="N234" s="29" t="s">
        <v>291</v>
      </c>
      <c r="O234" s="29" t="s">
        <v>272</v>
      </c>
      <c r="P234" s="29" t="s">
        <v>361</v>
      </c>
      <c r="Q234" s="29" t="s">
        <v>273</v>
      </c>
    </row>
    <row r="235" spans="1:17" s="29" customFormat="1">
      <c r="A235" s="160">
        <v>4.070508134259259E-2</v>
      </c>
      <c r="B235" s="29" t="s">
        <v>113</v>
      </c>
      <c r="E235" s="29" t="s">
        <v>123</v>
      </c>
      <c r="G235" s="29" t="s">
        <v>204</v>
      </c>
      <c r="I235" s="161">
        <v>46238.473703703705</v>
      </c>
      <c r="J235" s="29" t="s">
        <v>359</v>
      </c>
      <c r="K235" s="29" t="s">
        <v>274</v>
      </c>
      <c r="L235" s="162">
        <v>46173</v>
      </c>
      <c r="M235" s="29" t="s">
        <v>360</v>
      </c>
      <c r="N235" s="29" t="s">
        <v>291</v>
      </c>
      <c r="O235" s="29" t="s">
        <v>272</v>
      </c>
      <c r="P235" s="29" t="s">
        <v>361</v>
      </c>
      <c r="Q235" s="29" t="s">
        <v>273</v>
      </c>
    </row>
    <row r="236" spans="1:17" s="29" customFormat="1">
      <c r="A236" s="160">
        <v>4.0265431979166669E-2</v>
      </c>
      <c r="B236" s="29" t="s">
        <v>113</v>
      </c>
      <c r="E236" s="29" t="s">
        <v>88</v>
      </c>
      <c r="G236" s="29" t="s">
        <v>117</v>
      </c>
      <c r="I236" s="161">
        <v>46238.473263888889</v>
      </c>
      <c r="J236" s="29" t="s">
        <v>359</v>
      </c>
      <c r="K236" s="29" t="s">
        <v>274</v>
      </c>
      <c r="L236" s="162">
        <v>46173</v>
      </c>
      <c r="M236" s="29" t="s">
        <v>360</v>
      </c>
      <c r="N236" s="29" t="s">
        <v>291</v>
      </c>
      <c r="O236" s="29" t="s">
        <v>272</v>
      </c>
      <c r="P236" s="29" t="s">
        <v>361</v>
      </c>
      <c r="Q236" s="29" t="s">
        <v>273</v>
      </c>
    </row>
    <row r="237" spans="1:17" s="29" customFormat="1">
      <c r="A237" s="160">
        <v>4.0237783564814812E-2</v>
      </c>
      <c r="B237" s="29" t="s">
        <v>113</v>
      </c>
      <c r="E237" s="29" t="s">
        <v>224</v>
      </c>
      <c r="G237" s="29" t="s">
        <v>117</v>
      </c>
      <c r="I237" s="161">
        <v>46238.473229166666</v>
      </c>
      <c r="J237" s="29" t="s">
        <v>359</v>
      </c>
      <c r="K237" s="29" t="s">
        <v>274</v>
      </c>
      <c r="L237" s="162">
        <v>46173</v>
      </c>
      <c r="M237" s="29" t="s">
        <v>360</v>
      </c>
      <c r="N237" s="29" t="s">
        <v>291</v>
      </c>
      <c r="O237" s="29" t="s">
        <v>272</v>
      </c>
      <c r="P237" s="29" t="s">
        <v>361</v>
      </c>
      <c r="Q237" s="29" t="s">
        <v>273</v>
      </c>
    </row>
    <row r="238" spans="1:17" s="29" customFormat="1">
      <c r="A238" s="160">
        <v>4.0166967997685182E-2</v>
      </c>
      <c r="B238" s="29" t="s">
        <v>113</v>
      </c>
      <c r="E238" s="29" t="s">
        <v>127</v>
      </c>
      <c r="G238" s="29" t="s">
        <v>117</v>
      </c>
      <c r="I238" s="161">
        <v>46238.473101851851</v>
      </c>
      <c r="J238" s="29" t="s">
        <v>359</v>
      </c>
      <c r="K238" s="29" t="s">
        <v>274</v>
      </c>
      <c r="L238" s="162">
        <v>46173</v>
      </c>
      <c r="M238" s="29" t="s">
        <v>360</v>
      </c>
      <c r="N238" s="29" t="s">
        <v>291</v>
      </c>
      <c r="O238" s="29" t="s">
        <v>272</v>
      </c>
      <c r="P238" s="29" t="s">
        <v>361</v>
      </c>
      <c r="Q238" s="29" t="s">
        <v>273</v>
      </c>
    </row>
    <row r="239" spans="1:17" s="29" customFormat="1">
      <c r="A239" s="160">
        <v>4.0153627418981479E-2</v>
      </c>
      <c r="B239" s="29" t="s">
        <v>113</v>
      </c>
      <c r="E239" s="29" t="s">
        <v>59</v>
      </c>
      <c r="G239" s="29" t="s">
        <v>117</v>
      </c>
      <c r="I239" s="161">
        <v>46238.473090277781</v>
      </c>
      <c r="J239" s="29" t="s">
        <v>359</v>
      </c>
      <c r="K239" s="29" t="s">
        <v>274</v>
      </c>
      <c r="L239" s="162">
        <v>46173</v>
      </c>
      <c r="M239" s="29" t="s">
        <v>360</v>
      </c>
      <c r="N239" s="29" t="s">
        <v>291</v>
      </c>
      <c r="O239" s="29" t="s">
        <v>272</v>
      </c>
      <c r="P239" s="29" t="s">
        <v>361</v>
      </c>
      <c r="Q239" s="29" t="s">
        <v>273</v>
      </c>
    </row>
    <row r="240" spans="1:17" s="29" customFormat="1">
      <c r="A240" s="160">
        <v>4.0071151585648147E-2</v>
      </c>
      <c r="B240" s="29" t="s">
        <v>113</v>
      </c>
      <c r="E240" s="29" t="s">
        <v>59</v>
      </c>
      <c r="G240" s="29" t="s">
        <v>117</v>
      </c>
      <c r="I240" s="161">
        <v>46238.472893518519</v>
      </c>
      <c r="J240" s="29" t="s">
        <v>359</v>
      </c>
      <c r="K240" s="29" t="s">
        <v>274</v>
      </c>
      <c r="L240" s="162">
        <v>46173</v>
      </c>
      <c r="M240" s="29" t="s">
        <v>360</v>
      </c>
      <c r="N240" s="29" t="s">
        <v>291</v>
      </c>
      <c r="O240" s="29" t="s">
        <v>272</v>
      </c>
      <c r="P240" s="29" t="s">
        <v>361</v>
      </c>
      <c r="Q240" s="29" t="s">
        <v>273</v>
      </c>
    </row>
    <row r="241" spans="1:17" s="29" customFormat="1">
      <c r="A241" s="160">
        <v>4.0087336030092596E-2</v>
      </c>
      <c r="B241" s="29" t="s">
        <v>113</v>
      </c>
      <c r="E241" s="29" t="s">
        <v>127</v>
      </c>
      <c r="G241" s="29" t="s">
        <v>117</v>
      </c>
      <c r="I241" s="161">
        <v>46238.47278935185</v>
      </c>
      <c r="J241" s="29" t="s">
        <v>359</v>
      </c>
      <c r="K241" s="29" t="s">
        <v>274</v>
      </c>
      <c r="L241" s="162">
        <v>46173</v>
      </c>
      <c r="M241" s="29" t="s">
        <v>360</v>
      </c>
      <c r="N241" s="29" t="s">
        <v>291</v>
      </c>
      <c r="O241" s="29" t="s">
        <v>272</v>
      </c>
      <c r="P241" s="29" t="s">
        <v>361</v>
      </c>
      <c r="Q241" s="29" t="s">
        <v>273</v>
      </c>
    </row>
    <row r="242" spans="1:17" s="29" customFormat="1">
      <c r="A242" s="160">
        <v>3.9961335601851854E-2</v>
      </c>
      <c r="B242" s="29" t="s">
        <v>113</v>
      </c>
      <c r="E242" s="29" t="s">
        <v>127</v>
      </c>
      <c r="G242" s="29" t="s">
        <v>117</v>
      </c>
      <c r="I242" s="161">
        <v>46238.472650462965</v>
      </c>
      <c r="J242" s="29" t="s">
        <v>359</v>
      </c>
      <c r="K242" s="29" t="s">
        <v>274</v>
      </c>
      <c r="L242" s="162">
        <v>46173</v>
      </c>
      <c r="M242" s="29" t="s">
        <v>360</v>
      </c>
      <c r="N242" s="29" t="s">
        <v>291</v>
      </c>
      <c r="O242" s="29" t="s">
        <v>272</v>
      </c>
      <c r="P242" s="29" t="s">
        <v>361</v>
      </c>
      <c r="Q242" s="29" t="s">
        <v>273</v>
      </c>
    </row>
    <row r="243" spans="1:17" s="29" customFormat="1">
      <c r="A243" s="160">
        <v>3.9898411666666668E-2</v>
      </c>
      <c r="B243" s="29" t="s">
        <v>113</v>
      </c>
      <c r="C243" s="29" t="s">
        <v>366</v>
      </c>
      <c r="E243" s="29" t="s">
        <v>129</v>
      </c>
      <c r="G243" s="29" t="s">
        <v>204</v>
      </c>
      <c r="I243" s="161">
        <v>46238.472453703704</v>
      </c>
      <c r="J243" s="29" t="s">
        <v>359</v>
      </c>
      <c r="K243" s="29" t="s">
        <v>274</v>
      </c>
      <c r="L243" s="162">
        <v>46173</v>
      </c>
      <c r="M243" s="29" t="s">
        <v>360</v>
      </c>
      <c r="N243" s="29" t="s">
        <v>291</v>
      </c>
      <c r="O243" s="29" t="s">
        <v>272</v>
      </c>
      <c r="P243" s="29" t="s">
        <v>361</v>
      </c>
      <c r="Q243" s="29" t="s">
        <v>273</v>
      </c>
    </row>
    <row r="244" spans="1:17" s="29" customFormat="1">
      <c r="A244" s="160">
        <v>3.9868351331018521E-2</v>
      </c>
      <c r="B244" s="29" t="s">
        <v>113</v>
      </c>
      <c r="E244" s="29" t="s">
        <v>123</v>
      </c>
      <c r="G244" s="29" t="s">
        <v>204</v>
      </c>
      <c r="I244" s="161">
        <v>46238.471990740742</v>
      </c>
      <c r="J244" s="29" t="s">
        <v>359</v>
      </c>
      <c r="K244" s="29" t="s">
        <v>274</v>
      </c>
      <c r="L244" s="162">
        <v>46173</v>
      </c>
      <c r="M244" s="29" t="s">
        <v>360</v>
      </c>
      <c r="N244" s="29" t="s">
        <v>291</v>
      </c>
      <c r="O244" s="29" t="s">
        <v>272</v>
      </c>
      <c r="P244" s="29" t="s">
        <v>361</v>
      </c>
      <c r="Q244" s="29" t="s">
        <v>273</v>
      </c>
    </row>
    <row r="245" spans="1:17" s="29" customFormat="1">
      <c r="A245" s="160">
        <v>3.9250947696759256E-2</v>
      </c>
      <c r="B245" s="29" t="s">
        <v>113</v>
      </c>
      <c r="E245" s="29" t="s">
        <v>88</v>
      </c>
      <c r="G245" s="29" t="s">
        <v>117</v>
      </c>
      <c r="I245" s="161">
        <v>46238.47111111111</v>
      </c>
      <c r="J245" s="29" t="s">
        <v>359</v>
      </c>
      <c r="K245" s="29" t="s">
        <v>274</v>
      </c>
      <c r="L245" s="162">
        <v>46173</v>
      </c>
      <c r="M245" s="29" t="s">
        <v>360</v>
      </c>
      <c r="N245" s="29" t="s">
        <v>291</v>
      </c>
      <c r="O245" s="29" t="s">
        <v>272</v>
      </c>
      <c r="P245" s="29" t="s">
        <v>361</v>
      </c>
      <c r="Q245" s="29" t="s">
        <v>273</v>
      </c>
    </row>
    <row r="246" spans="1:17" s="29" customFormat="1">
      <c r="A246" s="160">
        <v>3.9130245902777777E-2</v>
      </c>
      <c r="B246" s="29" t="s">
        <v>113</v>
      </c>
      <c r="E246" s="29" t="s">
        <v>224</v>
      </c>
      <c r="G246" s="29" t="s">
        <v>117</v>
      </c>
      <c r="I246" s="161">
        <v>46238.470995370371</v>
      </c>
      <c r="J246" s="29" t="s">
        <v>359</v>
      </c>
      <c r="K246" s="29" t="s">
        <v>274</v>
      </c>
      <c r="L246" s="162">
        <v>46173</v>
      </c>
      <c r="M246" s="29" t="s">
        <v>360</v>
      </c>
      <c r="N246" s="29" t="s">
        <v>291</v>
      </c>
      <c r="O246" s="29" t="s">
        <v>272</v>
      </c>
      <c r="P246" s="29" t="s">
        <v>361</v>
      </c>
      <c r="Q246" s="29" t="s">
        <v>273</v>
      </c>
    </row>
    <row r="247" spans="1:17" s="29" customFormat="1">
      <c r="A247" s="160">
        <v>3.8851271087962963E-2</v>
      </c>
      <c r="B247" s="29" t="s">
        <v>113</v>
      </c>
      <c r="E247" s="29" t="s">
        <v>124</v>
      </c>
      <c r="G247" s="29" t="s">
        <v>117</v>
      </c>
      <c r="I247" s="161">
        <v>46238.470717592594</v>
      </c>
      <c r="J247" s="29" t="s">
        <v>359</v>
      </c>
      <c r="K247" s="29" t="s">
        <v>274</v>
      </c>
      <c r="L247" s="162">
        <v>46173</v>
      </c>
      <c r="M247" s="29" t="s">
        <v>360</v>
      </c>
      <c r="N247" s="29" t="s">
        <v>291</v>
      </c>
      <c r="O247" s="29" t="s">
        <v>272</v>
      </c>
      <c r="P247" s="29" t="s">
        <v>361</v>
      </c>
      <c r="Q247" s="29" t="s">
        <v>273</v>
      </c>
    </row>
    <row r="248" spans="1:17" s="29" customFormat="1">
      <c r="A248" s="160">
        <v>3.8546616689814815E-2</v>
      </c>
      <c r="B248" s="29" t="s">
        <v>113</v>
      </c>
      <c r="E248" s="29" t="s">
        <v>88</v>
      </c>
      <c r="G248" s="29" t="s">
        <v>117</v>
      </c>
      <c r="I248" s="161">
        <v>46238.470451388886</v>
      </c>
      <c r="J248" s="29" t="s">
        <v>359</v>
      </c>
      <c r="K248" s="29" t="s">
        <v>274</v>
      </c>
      <c r="L248" s="162">
        <v>46173</v>
      </c>
      <c r="M248" s="29" t="s">
        <v>360</v>
      </c>
      <c r="N248" s="29" t="s">
        <v>291</v>
      </c>
      <c r="O248" s="29" t="s">
        <v>272</v>
      </c>
      <c r="P248" s="29" t="s">
        <v>361</v>
      </c>
      <c r="Q248" s="29" t="s">
        <v>273</v>
      </c>
    </row>
    <row r="249" spans="1:17" s="29" customFormat="1">
      <c r="A249" s="160">
        <v>3.8546616689814815E-2</v>
      </c>
      <c r="B249" s="29" t="s">
        <v>113</v>
      </c>
      <c r="E249" s="29" t="s">
        <v>223</v>
      </c>
      <c r="G249" s="29" t="s">
        <v>204</v>
      </c>
      <c r="I249" s="161">
        <v>46238.47042824074</v>
      </c>
      <c r="J249" s="29" t="s">
        <v>359</v>
      </c>
      <c r="K249" s="29" t="s">
        <v>274</v>
      </c>
      <c r="L249" s="162">
        <v>46173</v>
      </c>
      <c r="M249" s="29" t="s">
        <v>360</v>
      </c>
      <c r="N249" s="29" t="s">
        <v>291</v>
      </c>
      <c r="O249" s="29" t="s">
        <v>272</v>
      </c>
      <c r="P249" s="29" t="s">
        <v>361</v>
      </c>
      <c r="Q249" s="29" t="s">
        <v>273</v>
      </c>
    </row>
    <row r="250" spans="1:17" s="29" customFormat="1">
      <c r="A250" s="160">
        <v>3.8472213981481485E-2</v>
      </c>
      <c r="B250" s="29" t="s">
        <v>113</v>
      </c>
      <c r="C250" s="29" t="s">
        <v>377</v>
      </c>
      <c r="E250" s="29" t="s">
        <v>127</v>
      </c>
      <c r="G250" s="29" t="s">
        <v>204</v>
      </c>
      <c r="I250" s="161">
        <v>46238.470243055555</v>
      </c>
      <c r="J250" s="29" t="s">
        <v>359</v>
      </c>
      <c r="K250" s="29" t="s">
        <v>274</v>
      </c>
      <c r="L250" s="162">
        <v>46173</v>
      </c>
      <c r="M250" s="29" t="s">
        <v>360</v>
      </c>
      <c r="N250" s="29" t="s">
        <v>291</v>
      </c>
      <c r="O250" s="29" t="s">
        <v>272</v>
      </c>
      <c r="P250" s="29" t="s">
        <v>361</v>
      </c>
      <c r="Q250" s="29" t="s">
        <v>273</v>
      </c>
    </row>
    <row r="251" spans="1:17" s="29" customFormat="1">
      <c r="A251" s="160">
        <v>3.8452182812499999E-2</v>
      </c>
      <c r="B251" s="29" t="s">
        <v>113</v>
      </c>
      <c r="C251" s="29" t="s">
        <v>372</v>
      </c>
      <c r="E251" s="29" t="s">
        <v>59</v>
      </c>
      <c r="G251" s="29" t="s">
        <v>204</v>
      </c>
      <c r="I251" s="161">
        <v>46238.46979166667</v>
      </c>
      <c r="J251" s="29" t="s">
        <v>359</v>
      </c>
      <c r="K251" s="29" t="s">
        <v>274</v>
      </c>
      <c r="L251" s="162">
        <v>46173</v>
      </c>
      <c r="M251" s="29" t="s">
        <v>360</v>
      </c>
      <c r="N251" s="29" t="s">
        <v>291</v>
      </c>
      <c r="O251" s="29" t="s">
        <v>272</v>
      </c>
      <c r="P251" s="29" t="s">
        <v>361</v>
      </c>
      <c r="Q251" s="29" t="s">
        <v>273</v>
      </c>
    </row>
    <row r="252" spans="1:17" s="29" customFormat="1">
      <c r="A252" s="160">
        <v>3.8383534525462962E-2</v>
      </c>
      <c r="B252" s="29" t="s">
        <v>113</v>
      </c>
      <c r="C252" s="29" t="s">
        <v>375</v>
      </c>
      <c r="E252" s="29" t="s">
        <v>127</v>
      </c>
      <c r="G252" s="29" t="s">
        <v>204</v>
      </c>
      <c r="I252" s="161">
        <v>46238.469594907408</v>
      </c>
      <c r="J252" s="29" t="s">
        <v>359</v>
      </c>
      <c r="K252" s="29" t="s">
        <v>274</v>
      </c>
      <c r="L252" s="162">
        <v>46173</v>
      </c>
      <c r="M252" s="29" t="s">
        <v>360</v>
      </c>
      <c r="N252" s="29" t="s">
        <v>291</v>
      </c>
      <c r="O252" s="29" t="s">
        <v>272</v>
      </c>
      <c r="P252" s="29" t="s">
        <v>361</v>
      </c>
      <c r="Q252" s="29" t="s">
        <v>273</v>
      </c>
    </row>
    <row r="253" spans="1:17" s="29" customFormat="1">
      <c r="A253" s="160">
        <v>3.8296674074074076E-2</v>
      </c>
      <c r="B253" s="29" t="s">
        <v>113</v>
      </c>
      <c r="C253" s="29" t="s">
        <v>372</v>
      </c>
      <c r="E253" s="29" t="s">
        <v>127</v>
      </c>
      <c r="G253" s="29" t="s">
        <v>204</v>
      </c>
      <c r="I253" s="161">
        <v>46238.469421296293</v>
      </c>
      <c r="J253" s="29" t="s">
        <v>359</v>
      </c>
      <c r="K253" s="29" t="s">
        <v>274</v>
      </c>
      <c r="L253" s="162">
        <v>46173</v>
      </c>
      <c r="M253" s="29" t="s">
        <v>360</v>
      </c>
      <c r="N253" s="29" t="s">
        <v>291</v>
      </c>
      <c r="O253" s="29" t="s">
        <v>272</v>
      </c>
      <c r="P253" s="29" t="s">
        <v>361</v>
      </c>
      <c r="Q253" s="29" t="s">
        <v>273</v>
      </c>
    </row>
    <row r="254" spans="1:17" s="29" customFormat="1">
      <c r="A254" s="160">
        <v>3.8274050567129632E-2</v>
      </c>
      <c r="B254" s="29" t="s">
        <v>113</v>
      </c>
      <c r="C254" s="29" t="s">
        <v>363</v>
      </c>
      <c r="E254" s="29" t="s">
        <v>59</v>
      </c>
      <c r="G254" s="29" t="s">
        <v>204</v>
      </c>
      <c r="I254" s="161">
        <v>46238.469155092593</v>
      </c>
      <c r="J254" s="29" t="s">
        <v>359</v>
      </c>
      <c r="K254" s="29" t="s">
        <v>274</v>
      </c>
      <c r="L254" s="162">
        <v>46173</v>
      </c>
      <c r="M254" s="29" t="s">
        <v>360</v>
      </c>
      <c r="N254" s="29" t="s">
        <v>291</v>
      </c>
      <c r="O254" s="29" t="s">
        <v>272</v>
      </c>
      <c r="P254" s="29" t="s">
        <v>361</v>
      </c>
      <c r="Q254" s="29" t="s">
        <v>273</v>
      </c>
    </row>
    <row r="255" spans="1:17" s="29" customFormat="1">
      <c r="A255" s="160">
        <v>3.8220109004629632E-2</v>
      </c>
      <c r="B255" s="29" t="s">
        <v>113</v>
      </c>
      <c r="E255" s="29" t="s">
        <v>228</v>
      </c>
      <c r="G255" s="29" t="s">
        <v>204</v>
      </c>
      <c r="I255" s="161">
        <v>46238.468240740738</v>
      </c>
      <c r="J255" s="29" t="s">
        <v>359</v>
      </c>
      <c r="K255" s="29" t="s">
        <v>274</v>
      </c>
      <c r="L255" s="162">
        <v>46173</v>
      </c>
      <c r="M255" s="29" t="s">
        <v>360</v>
      </c>
      <c r="N255" s="29" t="s">
        <v>291</v>
      </c>
      <c r="O255" s="29" t="s">
        <v>272</v>
      </c>
      <c r="P255" s="29" t="s">
        <v>361</v>
      </c>
      <c r="Q255" s="29" t="s">
        <v>273</v>
      </c>
    </row>
    <row r="256" spans="1:17" s="29" customFormat="1">
      <c r="A256" s="160">
        <v>3.8158604803240743E-2</v>
      </c>
      <c r="B256" s="29" t="s">
        <v>113</v>
      </c>
      <c r="E256" s="29" t="s">
        <v>119</v>
      </c>
      <c r="G256" s="29" t="s">
        <v>204</v>
      </c>
      <c r="I256" s="161">
        <v>46238.468148148146</v>
      </c>
      <c r="J256" s="29" t="s">
        <v>359</v>
      </c>
      <c r="K256" s="29" t="s">
        <v>274</v>
      </c>
      <c r="L256" s="162">
        <v>46173</v>
      </c>
      <c r="M256" s="29" t="s">
        <v>360</v>
      </c>
      <c r="N256" s="29" t="s">
        <v>291</v>
      </c>
      <c r="O256" s="29" t="s">
        <v>272</v>
      </c>
      <c r="P256" s="29" t="s">
        <v>361</v>
      </c>
      <c r="Q256" s="29" t="s">
        <v>273</v>
      </c>
    </row>
    <row r="257" spans="1:17" s="29" customFormat="1">
      <c r="A257" s="160">
        <v>3.4105822453703701E-2</v>
      </c>
      <c r="B257" s="29" t="s">
        <v>116</v>
      </c>
      <c r="E257" s="29" t="s">
        <v>88</v>
      </c>
      <c r="G257" s="29" t="s">
        <v>117</v>
      </c>
      <c r="I257" s="161">
        <v>46238.467557870368</v>
      </c>
      <c r="J257" s="29" t="s">
        <v>359</v>
      </c>
      <c r="K257" s="29" t="s">
        <v>274</v>
      </c>
      <c r="L257" s="162">
        <v>46173</v>
      </c>
      <c r="M257" s="29" t="s">
        <v>360</v>
      </c>
      <c r="N257" s="29" t="s">
        <v>291</v>
      </c>
      <c r="O257" s="29" t="s">
        <v>272</v>
      </c>
      <c r="P257" s="29" t="s">
        <v>361</v>
      </c>
      <c r="Q257" s="29" t="s">
        <v>273</v>
      </c>
    </row>
    <row r="258" spans="1:17" s="29" customFormat="1">
      <c r="A258" s="160">
        <v>3.4062102395833335E-2</v>
      </c>
      <c r="B258" s="29" t="s">
        <v>116</v>
      </c>
      <c r="E258" s="29" t="s">
        <v>224</v>
      </c>
      <c r="G258" s="29" t="s">
        <v>117</v>
      </c>
      <c r="I258" s="161">
        <v>46238.467511574076</v>
      </c>
      <c r="J258" s="29" t="s">
        <v>359</v>
      </c>
      <c r="K258" s="29" t="s">
        <v>274</v>
      </c>
      <c r="L258" s="162">
        <v>46173</v>
      </c>
      <c r="M258" s="29" t="s">
        <v>360</v>
      </c>
      <c r="N258" s="29" t="s">
        <v>291</v>
      </c>
      <c r="O258" s="29" t="s">
        <v>272</v>
      </c>
      <c r="P258" s="29" t="s">
        <v>361</v>
      </c>
      <c r="Q258" s="29" t="s">
        <v>273</v>
      </c>
    </row>
    <row r="259" spans="1:17" s="29" customFormat="1">
      <c r="A259" s="160">
        <v>3.3951407534722221E-2</v>
      </c>
      <c r="B259" s="29" t="s">
        <v>116</v>
      </c>
      <c r="E259" s="29" t="s">
        <v>119</v>
      </c>
      <c r="G259" s="29" t="s">
        <v>117</v>
      </c>
      <c r="I259" s="161">
        <v>46238.467407407406</v>
      </c>
      <c r="J259" s="29" t="s">
        <v>359</v>
      </c>
      <c r="K259" s="29" t="s">
        <v>274</v>
      </c>
      <c r="L259" s="162">
        <v>46173</v>
      </c>
      <c r="M259" s="29" t="s">
        <v>360</v>
      </c>
      <c r="N259" s="29" t="s">
        <v>291</v>
      </c>
      <c r="O259" s="29" t="s">
        <v>272</v>
      </c>
      <c r="P259" s="29" t="s">
        <v>361</v>
      </c>
      <c r="Q259" s="29" t="s">
        <v>273</v>
      </c>
    </row>
    <row r="260" spans="1:17" s="29" customFormat="1">
      <c r="A260" s="160">
        <v>3.2828246840277776E-2</v>
      </c>
      <c r="B260" s="29" t="s">
        <v>116</v>
      </c>
      <c r="E260" s="29" t="s">
        <v>88</v>
      </c>
      <c r="G260" s="29" t="s">
        <v>117</v>
      </c>
      <c r="I260" s="161">
        <v>46238.46707175926</v>
      </c>
      <c r="J260" s="29" t="s">
        <v>359</v>
      </c>
      <c r="K260" s="29" t="s">
        <v>274</v>
      </c>
      <c r="L260" s="162">
        <v>46173</v>
      </c>
      <c r="M260" s="29" t="s">
        <v>360</v>
      </c>
      <c r="N260" s="29" t="s">
        <v>291</v>
      </c>
      <c r="O260" s="29" t="s">
        <v>272</v>
      </c>
      <c r="P260" s="29" t="s">
        <v>361</v>
      </c>
      <c r="Q260" s="29" t="s">
        <v>273</v>
      </c>
    </row>
    <row r="261" spans="1:17" s="29" customFormat="1">
      <c r="A261" s="160">
        <v>3.2828246840277776E-2</v>
      </c>
      <c r="B261" s="29" t="s">
        <v>116</v>
      </c>
      <c r="C261" s="29" t="s">
        <v>83</v>
      </c>
      <c r="E261" s="29" t="s">
        <v>122</v>
      </c>
      <c r="G261" s="29" t="s">
        <v>117</v>
      </c>
      <c r="I261" s="161">
        <v>46238.46707175926</v>
      </c>
      <c r="J261" s="29" t="s">
        <v>359</v>
      </c>
      <c r="K261" s="29" t="s">
        <v>274</v>
      </c>
      <c r="L261" s="162">
        <v>46173</v>
      </c>
      <c r="M261" s="29" t="s">
        <v>360</v>
      </c>
      <c r="N261" s="29" t="s">
        <v>291</v>
      </c>
      <c r="O261" s="29" t="s">
        <v>272</v>
      </c>
      <c r="P261" s="29" t="s">
        <v>361</v>
      </c>
      <c r="Q261" s="29" t="s">
        <v>273</v>
      </c>
    </row>
    <row r="262" spans="1:17" s="29" customFormat="1">
      <c r="A262" s="160">
        <v>3.2718249791666668E-2</v>
      </c>
      <c r="B262" s="29" t="s">
        <v>116</v>
      </c>
      <c r="E262" s="29" t="s">
        <v>127</v>
      </c>
      <c r="G262" s="29" t="s">
        <v>117</v>
      </c>
      <c r="I262" s="161">
        <v>46238.466898148145</v>
      </c>
      <c r="J262" s="29" t="s">
        <v>359</v>
      </c>
      <c r="K262" s="29" t="s">
        <v>274</v>
      </c>
      <c r="L262" s="162">
        <v>46173</v>
      </c>
      <c r="M262" s="29" t="s">
        <v>360</v>
      </c>
      <c r="N262" s="29" t="s">
        <v>291</v>
      </c>
      <c r="O262" s="29" t="s">
        <v>272</v>
      </c>
      <c r="P262" s="29" t="s">
        <v>361</v>
      </c>
      <c r="Q262" s="29" t="s">
        <v>273</v>
      </c>
    </row>
    <row r="263" spans="1:17" s="29" customFormat="1">
      <c r="A263" s="160">
        <v>3.2677715925925922E-2</v>
      </c>
      <c r="B263" s="29" t="s">
        <v>116</v>
      </c>
      <c r="E263" s="29" t="s">
        <v>226</v>
      </c>
      <c r="G263" s="29" t="s">
        <v>117</v>
      </c>
      <c r="I263" s="161">
        <v>46238.466805555552</v>
      </c>
      <c r="J263" s="29" t="s">
        <v>359</v>
      </c>
      <c r="K263" s="29" t="s">
        <v>274</v>
      </c>
      <c r="L263" s="162">
        <v>46173</v>
      </c>
      <c r="M263" s="29" t="s">
        <v>360</v>
      </c>
      <c r="N263" s="29" t="s">
        <v>291</v>
      </c>
      <c r="O263" s="29" t="s">
        <v>272</v>
      </c>
      <c r="P263" s="29" t="s">
        <v>361</v>
      </c>
      <c r="Q263" s="29" t="s">
        <v>273</v>
      </c>
    </row>
    <row r="264" spans="1:17" s="29" customFormat="1">
      <c r="A264" s="160">
        <v>3.2619946423611108E-2</v>
      </c>
      <c r="B264" s="29" t="s">
        <v>116</v>
      </c>
      <c r="E264" s="29" t="s">
        <v>224</v>
      </c>
      <c r="G264" s="29" t="s">
        <v>117</v>
      </c>
      <c r="I264" s="161">
        <v>46238.466689814813</v>
      </c>
      <c r="J264" s="29" t="s">
        <v>359</v>
      </c>
      <c r="K264" s="29" t="s">
        <v>274</v>
      </c>
      <c r="L264" s="162">
        <v>46173</v>
      </c>
      <c r="M264" s="29" t="s">
        <v>360</v>
      </c>
      <c r="N264" s="29" t="s">
        <v>291</v>
      </c>
      <c r="O264" s="29" t="s">
        <v>272</v>
      </c>
      <c r="P264" s="29" t="s">
        <v>361</v>
      </c>
      <c r="Q264" s="29" t="s">
        <v>273</v>
      </c>
    </row>
    <row r="265" spans="1:17" s="29" customFormat="1">
      <c r="A265" s="160">
        <v>3.2551896701388888E-2</v>
      </c>
      <c r="B265" s="29" t="s">
        <v>116</v>
      </c>
      <c r="E265" s="29" t="s">
        <v>226</v>
      </c>
      <c r="G265" s="29" t="s">
        <v>117</v>
      </c>
      <c r="I265" s="161">
        <v>46238.46603009259</v>
      </c>
      <c r="J265" s="29" t="s">
        <v>359</v>
      </c>
      <c r="K265" s="29" t="s">
        <v>274</v>
      </c>
      <c r="L265" s="162">
        <v>46173</v>
      </c>
      <c r="M265" s="29" t="s">
        <v>360</v>
      </c>
      <c r="N265" s="29" t="s">
        <v>291</v>
      </c>
      <c r="O265" s="29" t="s">
        <v>272</v>
      </c>
      <c r="P265" s="29" t="s">
        <v>361</v>
      </c>
      <c r="Q265" s="29" t="s">
        <v>273</v>
      </c>
    </row>
    <row r="266" spans="1:17" s="29" customFormat="1">
      <c r="A266" s="160">
        <v>3.2459224074074075E-2</v>
      </c>
      <c r="B266" s="29" t="s">
        <v>116</v>
      </c>
      <c r="E266" s="29" t="s">
        <v>224</v>
      </c>
      <c r="G266" s="29" t="s">
        <v>117</v>
      </c>
      <c r="I266" s="161">
        <v>46238.465914351851</v>
      </c>
      <c r="J266" s="29" t="s">
        <v>359</v>
      </c>
      <c r="K266" s="29" t="s">
        <v>274</v>
      </c>
      <c r="L266" s="162">
        <v>46173</v>
      </c>
      <c r="M266" s="29" t="s">
        <v>360</v>
      </c>
      <c r="N266" s="29" t="s">
        <v>291</v>
      </c>
      <c r="O266" s="29" t="s">
        <v>272</v>
      </c>
      <c r="P266" s="29" t="s">
        <v>361</v>
      </c>
      <c r="Q266" s="29" t="s">
        <v>273</v>
      </c>
    </row>
    <row r="267" spans="1:17" s="29" customFormat="1">
      <c r="A267" s="160">
        <v>3.2378261539351853E-2</v>
      </c>
      <c r="B267" s="29" t="s">
        <v>116</v>
      </c>
      <c r="C267" s="29" t="s">
        <v>378</v>
      </c>
      <c r="E267" s="29" t="s">
        <v>231</v>
      </c>
      <c r="G267" s="29" t="s">
        <v>204</v>
      </c>
      <c r="I267" s="161">
        <v>46238.465763888889</v>
      </c>
      <c r="J267" s="29" t="s">
        <v>359</v>
      </c>
      <c r="K267" s="29" t="s">
        <v>274</v>
      </c>
      <c r="L267" s="162">
        <v>46173</v>
      </c>
      <c r="M267" s="29" t="s">
        <v>360</v>
      </c>
      <c r="N267" s="29" t="s">
        <v>291</v>
      </c>
      <c r="O267" s="29" t="s">
        <v>272</v>
      </c>
      <c r="P267" s="29" t="s">
        <v>361</v>
      </c>
      <c r="Q267" s="29" t="s">
        <v>273</v>
      </c>
    </row>
    <row r="268" spans="1:17" s="29" customFormat="1">
      <c r="A268" s="160">
        <v>3.2329114513888889E-2</v>
      </c>
      <c r="B268" s="29" t="s">
        <v>116</v>
      </c>
      <c r="C268" s="29" t="s">
        <v>371</v>
      </c>
      <c r="E268" s="29" t="s">
        <v>127</v>
      </c>
      <c r="G268" s="29" t="s">
        <v>204</v>
      </c>
      <c r="I268" s="161">
        <v>46238.464826388888</v>
      </c>
      <c r="J268" s="29" t="s">
        <v>359</v>
      </c>
      <c r="K268" s="29" t="s">
        <v>274</v>
      </c>
      <c r="L268" s="162">
        <v>46173</v>
      </c>
      <c r="M268" s="29" t="s">
        <v>360</v>
      </c>
      <c r="N268" s="29" t="s">
        <v>291</v>
      </c>
      <c r="O268" s="29" t="s">
        <v>272</v>
      </c>
      <c r="P268" s="29" t="s">
        <v>361</v>
      </c>
      <c r="Q268" s="29" t="s">
        <v>273</v>
      </c>
    </row>
    <row r="269" spans="1:17" s="29" customFormat="1">
      <c r="A269" s="160">
        <v>3.2302170520833333E-2</v>
      </c>
      <c r="B269" s="29" t="s">
        <v>116</v>
      </c>
      <c r="C269" s="29" t="s">
        <v>363</v>
      </c>
      <c r="E269" s="29" t="s">
        <v>127</v>
      </c>
      <c r="G269" s="29" t="s">
        <v>204</v>
      </c>
      <c r="I269" s="161">
        <v>46238.464386574073</v>
      </c>
      <c r="J269" s="29" t="s">
        <v>359</v>
      </c>
      <c r="K269" s="29" t="s">
        <v>274</v>
      </c>
      <c r="L269" s="162">
        <v>46173</v>
      </c>
      <c r="M269" s="29" t="s">
        <v>360</v>
      </c>
      <c r="N269" s="29" t="s">
        <v>291</v>
      </c>
      <c r="O269" s="29" t="s">
        <v>272</v>
      </c>
      <c r="P269" s="29" t="s">
        <v>361</v>
      </c>
      <c r="Q269" s="29" t="s">
        <v>273</v>
      </c>
    </row>
    <row r="270" spans="1:17" s="29" customFormat="1">
      <c r="A270" s="160">
        <v>3.2281455173611112E-2</v>
      </c>
      <c r="B270" s="29" t="s">
        <v>116</v>
      </c>
      <c r="C270" s="29" t="s">
        <v>364</v>
      </c>
      <c r="E270" s="29" t="s">
        <v>59</v>
      </c>
      <c r="G270" s="29" t="s">
        <v>204</v>
      </c>
      <c r="I270" s="161">
        <v>46238.46429398148</v>
      </c>
      <c r="J270" s="29" t="s">
        <v>359</v>
      </c>
      <c r="K270" s="29" t="s">
        <v>274</v>
      </c>
      <c r="L270" s="162">
        <v>46173</v>
      </c>
      <c r="M270" s="29" t="s">
        <v>360</v>
      </c>
      <c r="N270" s="29" t="s">
        <v>291</v>
      </c>
      <c r="O270" s="29" t="s">
        <v>272</v>
      </c>
      <c r="P270" s="29" t="s">
        <v>361</v>
      </c>
      <c r="Q270" s="29" t="s">
        <v>273</v>
      </c>
    </row>
    <row r="271" spans="1:17" s="29" customFormat="1">
      <c r="A271" s="160">
        <v>3.2279926516203705E-2</v>
      </c>
      <c r="B271" s="29" t="s">
        <v>116</v>
      </c>
      <c r="E271" s="29" t="s">
        <v>60</v>
      </c>
      <c r="G271" s="29" t="s">
        <v>117</v>
      </c>
      <c r="I271" s="161">
        <v>46238.463958333334</v>
      </c>
      <c r="J271" s="29" t="s">
        <v>359</v>
      </c>
      <c r="K271" s="29" t="s">
        <v>274</v>
      </c>
      <c r="L271" s="162">
        <v>46173</v>
      </c>
      <c r="M271" s="29" t="s">
        <v>360</v>
      </c>
      <c r="N271" s="29" t="s">
        <v>291</v>
      </c>
      <c r="O271" s="29" t="s">
        <v>272</v>
      </c>
      <c r="P271" s="29" t="s">
        <v>361</v>
      </c>
      <c r="Q271" s="29" t="s">
        <v>273</v>
      </c>
    </row>
    <row r="272" spans="1:17" s="29" customFormat="1">
      <c r="A272" s="160">
        <v>3.2177466678240736E-2</v>
      </c>
      <c r="B272" s="29" t="s">
        <v>116</v>
      </c>
      <c r="E272" s="29" t="s">
        <v>58</v>
      </c>
      <c r="G272" s="29" t="s">
        <v>117</v>
      </c>
      <c r="I272" s="161">
        <v>46238.46371527778</v>
      </c>
      <c r="J272" s="29" t="s">
        <v>359</v>
      </c>
      <c r="K272" s="29" t="s">
        <v>274</v>
      </c>
      <c r="L272" s="162">
        <v>46173</v>
      </c>
      <c r="M272" s="29" t="s">
        <v>360</v>
      </c>
      <c r="N272" s="29" t="s">
        <v>291</v>
      </c>
      <c r="O272" s="29" t="s">
        <v>272</v>
      </c>
      <c r="P272" s="29" t="s">
        <v>361</v>
      </c>
      <c r="Q272" s="29" t="s">
        <v>273</v>
      </c>
    </row>
    <row r="273" spans="1:17" s="29" customFormat="1">
      <c r="A273" s="160">
        <v>3.214060679398148E-2</v>
      </c>
      <c r="B273" s="29" t="s">
        <v>116</v>
      </c>
      <c r="E273" s="29" t="s">
        <v>127</v>
      </c>
      <c r="G273" s="29" t="s">
        <v>117</v>
      </c>
      <c r="I273" s="161">
        <v>46238.463680555556</v>
      </c>
      <c r="J273" s="29" t="s">
        <v>359</v>
      </c>
      <c r="K273" s="29" t="s">
        <v>274</v>
      </c>
      <c r="L273" s="162">
        <v>46173</v>
      </c>
      <c r="M273" s="29" t="s">
        <v>360</v>
      </c>
      <c r="N273" s="29" t="s">
        <v>291</v>
      </c>
      <c r="O273" s="29" t="s">
        <v>272</v>
      </c>
      <c r="P273" s="29" t="s">
        <v>361</v>
      </c>
      <c r="Q273" s="29" t="s">
        <v>273</v>
      </c>
    </row>
    <row r="274" spans="1:17" s="29" customFormat="1">
      <c r="A274" s="160">
        <v>3.2088623958333333E-2</v>
      </c>
      <c r="B274" s="29" t="s">
        <v>116</v>
      </c>
      <c r="E274" s="29" t="s">
        <v>127</v>
      </c>
      <c r="G274" s="29" t="s">
        <v>117</v>
      </c>
      <c r="I274" s="161">
        <v>46238.463622685187</v>
      </c>
      <c r="J274" s="29" t="s">
        <v>359</v>
      </c>
      <c r="K274" s="29" t="s">
        <v>274</v>
      </c>
      <c r="L274" s="162">
        <v>46173</v>
      </c>
      <c r="M274" s="29" t="s">
        <v>360</v>
      </c>
      <c r="N274" s="29" t="s">
        <v>291</v>
      </c>
      <c r="O274" s="29" t="s">
        <v>272</v>
      </c>
      <c r="P274" s="29" t="s">
        <v>361</v>
      </c>
      <c r="Q274" s="29" t="s">
        <v>273</v>
      </c>
    </row>
    <row r="275" spans="1:17" s="29" customFormat="1">
      <c r="A275" s="160">
        <v>3.2077065648148148E-2</v>
      </c>
      <c r="B275" s="29" t="s">
        <v>116</v>
      </c>
      <c r="E275" s="29" t="s">
        <v>127</v>
      </c>
      <c r="G275" s="29" t="s">
        <v>117</v>
      </c>
      <c r="I275" s="161">
        <v>46238.46361111111</v>
      </c>
      <c r="J275" s="29" t="s">
        <v>359</v>
      </c>
      <c r="K275" s="29" t="s">
        <v>274</v>
      </c>
      <c r="L275" s="162">
        <v>46173</v>
      </c>
      <c r="M275" s="29" t="s">
        <v>360</v>
      </c>
      <c r="N275" s="29" t="s">
        <v>291</v>
      </c>
      <c r="O275" s="29" t="s">
        <v>272</v>
      </c>
      <c r="P275" s="29" t="s">
        <v>361</v>
      </c>
      <c r="Q275" s="29" t="s">
        <v>273</v>
      </c>
    </row>
    <row r="276" spans="1:17" s="29" customFormat="1">
      <c r="A276" s="160">
        <v>3.198446216435185E-2</v>
      </c>
      <c r="B276" s="29" t="s">
        <v>116</v>
      </c>
      <c r="E276" s="29" t="s">
        <v>127</v>
      </c>
      <c r="G276" s="29" t="s">
        <v>117</v>
      </c>
      <c r="I276" s="161">
        <v>46238.463518518518</v>
      </c>
      <c r="J276" s="29" t="s">
        <v>359</v>
      </c>
      <c r="K276" s="29" t="s">
        <v>274</v>
      </c>
      <c r="L276" s="162">
        <v>46173</v>
      </c>
      <c r="M276" s="29" t="s">
        <v>360</v>
      </c>
      <c r="N276" s="29" t="s">
        <v>291</v>
      </c>
      <c r="O276" s="29" t="s">
        <v>272</v>
      </c>
      <c r="P276" s="29" t="s">
        <v>361</v>
      </c>
      <c r="Q276" s="29" t="s">
        <v>273</v>
      </c>
    </row>
    <row r="277" spans="1:17" s="29" customFormat="1">
      <c r="A277" s="160">
        <v>3.1851585462962961E-2</v>
      </c>
      <c r="B277" s="29" t="s">
        <v>116</v>
      </c>
      <c r="E277" s="29" t="s">
        <v>127</v>
      </c>
      <c r="G277" s="29" t="s">
        <v>117</v>
      </c>
      <c r="I277" s="161">
        <v>46238.463379629633</v>
      </c>
      <c r="J277" s="29" t="s">
        <v>359</v>
      </c>
      <c r="K277" s="29" t="s">
        <v>274</v>
      </c>
      <c r="L277" s="162">
        <v>46173</v>
      </c>
      <c r="M277" s="29" t="s">
        <v>360</v>
      </c>
      <c r="N277" s="29" t="s">
        <v>291</v>
      </c>
      <c r="O277" s="29" t="s">
        <v>272</v>
      </c>
      <c r="P277" s="29" t="s">
        <v>361</v>
      </c>
      <c r="Q277" s="29" t="s">
        <v>273</v>
      </c>
    </row>
    <row r="278" spans="1:17" s="29" customFormat="1">
      <c r="A278" s="160">
        <v>3.1790105185185186E-2</v>
      </c>
      <c r="B278" s="29" t="s">
        <v>116</v>
      </c>
      <c r="E278" s="29" t="s">
        <v>127</v>
      </c>
      <c r="G278" s="29" t="s">
        <v>117</v>
      </c>
      <c r="I278" s="161">
        <v>46238.463321759256</v>
      </c>
      <c r="J278" s="29" t="s">
        <v>359</v>
      </c>
      <c r="K278" s="29" t="s">
        <v>274</v>
      </c>
      <c r="L278" s="162">
        <v>46173</v>
      </c>
      <c r="M278" s="29" t="s">
        <v>360</v>
      </c>
      <c r="N278" s="29" t="s">
        <v>291</v>
      </c>
      <c r="O278" s="29" t="s">
        <v>272</v>
      </c>
      <c r="P278" s="29" t="s">
        <v>361</v>
      </c>
      <c r="Q278" s="29" t="s">
        <v>273</v>
      </c>
    </row>
    <row r="279" spans="1:17" s="29" customFormat="1">
      <c r="A279" s="160">
        <v>3.1741402187499997E-2</v>
      </c>
      <c r="B279" s="29" t="s">
        <v>116</v>
      </c>
      <c r="E279" s="29" t="s">
        <v>333</v>
      </c>
      <c r="G279" s="29" t="s">
        <v>117</v>
      </c>
      <c r="I279" s="161">
        <v>46238.463275462964</v>
      </c>
      <c r="J279" s="29" t="s">
        <v>359</v>
      </c>
      <c r="K279" s="29" t="s">
        <v>274</v>
      </c>
      <c r="L279" s="162">
        <v>46173</v>
      </c>
      <c r="M279" s="29" t="s">
        <v>360</v>
      </c>
      <c r="N279" s="29" t="s">
        <v>291</v>
      </c>
      <c r="O279" s="29" t="s">
        <v>272</v>
      </c>
      <c r="P279" s="29" t="s">
        <v>361</v>
      </c>
      <c r="Q279" s="29" t="s">
        <v>273</v>
      </c>
    </row>
    <row r="280" spans="1:17" s="29" customFormat="1">
      <c r="A280" s="160">
        <v>3.1541097488425929E-2</v>
      </c>
      <c r="B280" s="29" t="s">
        <v>116</v>
      </c>
      <c r="E280" s="29" t="s">
        <v>124</v>
      </c>
      <c r="G280" s="29" t="s">
        <v>117</v>
      </c>
      <c r="I280" s="161">
        <v>46238.463078703702</v>
      </c>
      <c r="J280" s="29" t="s">
        <v>359</v>
      </c>
      <c r="K280" s="29" t="s">
        <v>274</v>
      </c>
      <c r="L280" s="162">
        <v>46173</v>
      </c>
      <c r="M280" s="29" t="s">
        <v>360</v>
      </c>
      <c r="N280" s="29" t="s">
        <v>291</v>
      </c>
      <c r="O280" s="29" t="s">
        <v>272</v>
      </c>
      <c r="P280" s="29" t="s">
        <v>361</v>
      </c>
      <c r="Q280" s="29" t="s">
        <v>273</v>
      </c>
    </row>
    <row r="281" spans="1:17" s="29" customFormat="1">
      <c r="A281" s="160">
        <v>3.1359688263888887E-2</v>
      </c>
      <c r="B281" s="29" t="s">
        <v>116</v>
      </c>
      <c r="E281" s="29" t="s">
        <v>88</v>
      </c>
      <c r="G281" s="29" t="s">
        <v>117</v>
      </c>
      <c r="I281" s="161">
        <v>46238.462893518517</v>
      </c>
      <c r="J281" s="29" t="s">
        <v>359</v>
      </c>
      <c r="K281" s="29" t="s">
        <v>274</v>
      </c>
      <c r="L281" s="162">
        <v>46173</v>
      </c>
      <c r="M281" s="29" t="s">
        <v>360</v>
      </c>
      <c r="N281" s="29" t="s">
        <v>291</v>
      </c>
      <c r="O281" s="29" t="s">
        <v>272</v>
      </c>
      <c r="P281" s="29" t="s">
        <v>361</v>
      </c>
      <c r="Q281" s="29" t="s">
        <v>273</v>
      </c>
    </row>
    <row r="282" spans="1:17" s="29" customFormat="1">
      <c r="A282" s="160">
        <v>3.1316660821759254E-2</v>
      </c>
      <c r="B282" s="29" t="s">
        <v>116</v>
      </c>
      <c r="E282" s="29" t="s">
        <v>329</v>
      </c>
      <c r="G282" s="29" t="s">
        <v>204</v>
      </c>
      <c r="I282" s="161">
        <v>46238.462847222225</v>
      </c>
      <c r="J282" s="29" t="s">
        <v>359</v>
      </c>
      <c r="K282" s="29" t="s">
        <v>274</v>
      </c>
      <c r="L282" s="162">
        <v>46173</v>
      </c>
      <c r="M282" s="29" t="s">
        <v>360</v>
      </c>
      <c r="N282" s="29" t="s">
        <v>291</v>
      </c>
      <c r="O282" s="29" t="s">
        <v>272</v>
      </c>
      <c r="P282" s="29" t="s">
        <v>361</v>
      </c>
      <c r="Q282" s="29" t="s">
        <v>273</v>
      </c>
    </row>
    <row r="283" spans="1:17" s="29" customFormat="1">
      <c r="A283" s="160">
        <v>3.1278432754629625E-2</v>
      </c>
      <c r="B283" s="29" t="s">
        <v>116</v>
      </c>
      <c r="E283" s="29" t="s">
        <v>123</v>
      </c>
      <c r="G283" s="29" t="s">
        <v>204</v>
      </c>
      <c r="I283" s="161">
        <v>46238.462812500002</v>
      </c>
      <c r="J283" s="29" t="s">
        <v>359</v>
      </c>
      <c r="K283" s="29" t="s">
        <v>274</v>
      </c>
      <c r="L283" s="162">
        <v>46173</v>
      </c>
      <c r="M283" s="29" t="s">
        <v>360</v>
      </c>
      <c r="N283" s="29" t="s">
        <v>291</v>
      </c>
      <c r="O283" s="29" t="s">
        <v>272</v>
      </c>
      <c r="P283" s="29" t="s">
        <v>361</v>
      </c>
      <c r="Q283" s="29" t="s">
        <v>273</v>
      </c>
    </row>
    <row r="284" spans="1:17" s="29" customFormat="1">
      <c r="A284" s="160">
        <v>3.1134651550925929E-2</v>
      </c>
      <c r="B284" s="29" t="s">
        <v>116</v>
      </c>
      <c r="E284" s="29" t="s">
        <v>123</v>
      </c>
      <c r="G284" s="29" t="s">
        <v>204</v>
      </c>
      <c r="I284" s="161">
        <v>46238.39267361111</v>
      </c>
      <c r="J284" s="29" t="s">
        <v>359</v>
      </c>
      <c r="K284" s="29" t="s">
        <v>274</v>
      </c>
      <c r="L284" s="162">
        <v>46173</v>
      </c>
      <c r="M284" s="29" t="s">
        <v>360</v>
      </c>
      <c r="N284" s="29" t="s">
        <v>291</v>
      </c>
      <c r="O284" s="29" t="s">
        <v>272</v>
      </c>
      <c r="P284" s="29" t="s">
        <v>361</v>
      </c>
      <c r="Q284" s="29" t="s">
        <v>273</v>
      </c>
    </row>
    <row r="285" spans="1:17" s="29" customFormat="1">
      <c r="A285" s="160">
        <v>3.0864116469907405E-2</v>
      </c>
      <c r="B285" s="29" t="s">
        <v>116</v>
      </c>
      <c r="E285" s="29" t="s">
        <v>88</v>
      </c>
      <c r="G285" s="29" t="s">
        <v>117</v>
      </c>
      <c r="I285" s="161">
        <v>46238.392407407409</v>
      </c>
      <c r="J285" s="29" t="s">
        <v>359</v>
      </c>
      <c r="K285" s="29" t="s">
        <v>274</v>
      </c>
      <c r="L285" s="162">
        <v>46173</v>
      </c>
      <c r="M285" s="29" t="s">
        <v>360</v>
      </c>
      <c r="N285" s="29" t="s">
        <v>291</v>
      </c>
      <c r="O285" s="29" t="s">
        <v>272</v>
      </c>
      <c r="P285" s="29" t="s">
        <v>361</v>
      </c>
      <c r="Q285" s="29" t="s">
        <v>273</v>
      </c>
    </row>
    <row r="286" spans="1:17" s="29" customFormat="1">
      <c r="A286" s="160">
        <v>3.0771881377314816E-2</v>
      </c>
      <c r="B286" s="29" t="s">
        <v>116</v>
      </c>
      <c r="E286" s="29" t="s">
        <v>224</v>
      </c>
      <c r="G286" s="29" t="s">
        <v>117</v>
      </c>
      <c r="I286" s="161">
        <v>46238.392314814817</v>
      </c>
      <c r="J286" s="29" t="s">
        <v>359</v>
      </c>
      <c r="K286" s="29" t="s">
        <v>274</v>
      </c>
      <c r="L286" s="162">
        <v>46173</v>
      </c>
      <c r="M286" s="29" t="s">
        <v>360</v>
      </c>
      <c r="N286" s="29" t="s">
        <v>291</v>
      </c>
      <c r="O286" s="29" t="s">
        <v>272</v>
      </c>
      <c r="P286" s="29" t="s">
        <v>361</v>
      </c>
      <c r="Q286" s="29" t="s">
        <v>273</v>
      </c>
    </row>
    <row r="287" spans="1:17" s="29" customFormat="1">
      <c r="A287" s="160">
        <v>3.0669630069444443E-2</v>
      </c>
      <c r="B287" s="29" t="s">
        <v>116</v>
      </c>
      <c r="E287" s="29" t="s">
        <v>119</v>
      </c>
      <c r="G287" s="29" t="s">
        <v>117</v>
      </c>
      <c r="I287" s="161">
        <v>46238.392152777778</v>
      </c>
      <c r="J287" s="29" t="s">
        <v>359</v>
      </c>
      <c r="K287" s="29" t="s">
        <v>274</v>
      </c>
      <c r="L287" s="162">
        <v>46173</v>
      </c>
      <c r="M287" s="29" t="s">
        <v>360</v>
      </c>
      <c r="N287" s="29" t="s">
        <v>291</v>
      </c>
      <c r="O287" s="29" t="s">
        <v>272</v>
      </c>
      <c r="P287" s="29" t="s">
        <v>361</v>
      </c>
      <c r="Q287" s="29" t="s">
        <v>273</v>
      </c>
    </row>
    <row r="288" spans="1:17" s="29" customFormat="1">
      <c r="A288" s="160">
        <v>2.9468852708333333E-2</v>
      </c>
      <c r="B288" s="29" t="s">
        <v>116</v>
      </c>
      <c r="E288" s="29" t="s">
        <v>88</v>
      </c>
      <c r="G288" s="29" t="s">
        <v>117</v>
      </c>
      <c r="I288" s="161">
        <v>46238.391863425924</v>
      </c>
      <c r="J288" s="29" t="s">
        <v>359</v>
      </c>
      <c r="K288" s="29" t="s">
        <v>274</v>
      </c>
      <c r="L288" s="162">
        <v>46173</v>
      </c>
      <c r="M288" s="29" t="s">
        <v>360</v>
      </c>
      <c r="N288" s="29" t="s">
        <v>291</v>
      </c>
      <c r="O288" s="29" t="s">
        <v>272</v>
      </c>
      <c r="P288" s="29" t="s">
        <v>361</v>
      </c>
      <c r="Q288" s="29" t="s">
        <v>273</v>
      </c>
    </row>
    <row r="289" spans="1:17" s="29" customFormat="1">
      <c r="A289" s="160">
        <v>2.9438419074074077E-2</v>
      </c>
      <c r="B289" s="29" t="s">
        <v>116</v>
      </c>
      <c r="C289" s="29" t="s">
        <v>83</v>
      </c>
      <c r="E289" s="29" t="s">
        <v>122</v>
      </c>
      <c r="G289" s="29" t="s">
        <v>117</v>
      </c>
      <c r="I289" s="161">
        <v>46238.391840277778</v>
      </c>
      <c r="J289" s="29" t="s">
        <v>359</v>
      </c>
      <c r="K289" s="29" t="s">
        <v>274</v>
      </c>
      <c r="L289" s="162">
        <v>46173</v>
      </c>
      <c r="M289" s="29" t="s">
        <v>360</v>
      </c>
      <c r="N289" s="29" t="s">
        <v>291</v>
      </c>
      <c r="O289" s="29" t="s">
        <v>272</v>
      </c>
      <c r="P289" s="29" t="s">
        <v>361</v>
      </c>
      <c r="Q289" s="29" t="s">
        <v>273</v>
      </c>
    </row>
    <row r="290" spans="1:17" s="29" customFormat="1">
      <c r="A290" s="160">
        <v>2.9248653738425924E-2</v>
      </c>
      <c r="B290" s="29" t="s">
        <v>116</v>
      </c>
      <c r="C290" s="29" t="s">
        <v>366</v>
      </c>
      <c r="E290" s="29" t="s">
        <v>130</v>
      </c>
      <c r="G290" s="29" t="s">
        <v>117</v>
      </c>
      <c r="I290" s="161">
        <v>46238.391493055555</v>
      </c>
      <c r="J290" s="29" t="s">
        <v>359</v>
      </c>
      <c r="K290" s="29" t="s">
        <v>274</v>
      </c>
      <c r="L290" s="162">
        <v>46173</v>
      </c>
      <c r="M290" s="29" t="s">
        <v>360</v>
      </c>
      <c r="N290" s="29" t="s">
        <v>291</v>
      </c>
      <c r="O290" s="29" t="s">
        <v>272</v>
      </c>
      <c r="P290" s="29" t="s">
        <v>361</v>
      </c>
      <c r="Q290" s="29" t="s">
        <v>273</v>
      </c>
    </row>
    <row r="291" spans="1:17" s="29" customFormat="1">
      <c r="A291" s="160">
        <v>2.918691650462963E-2</v>
      </c>
      <c r="B291" s="29" t="s">
        <v>116</v>
      </c>
      <c r="E291" s="29" t="s">
        <v>123</v>
      </c>
      <c r="G291" s="29" t="s">
        <v>117</v>
      </c>
      <c r="I291" s="161">
        <v>46238.390150462961</v>
      </c>
      <c r="J291" s="29" t="s">
        <v>359</v>
      </c>
      <c r="K291" s="29" t="s">
        <v>274</v>
      </c>
      <c r="L291" s="162">
        <v>46173</v>
      </c>
      <c r="M291" s="29" t="s">
        <v>360</v>
      </c>
      <c r="N291" s="29" t="s">
        <v>291</v>
      </c>
      <c r="O291" s="29" t="s">
        <v>272</v>
      </c>
      <c r="P291" s="29" t="s">
        <v>361</v>
      </c>
      <c r="Q291" s="29" t="s">
        <v>273</v>
      </c>
    </row>
    <row r="292" spans="1:17" s="29" customFormat="1">
      <c r="A292" s="160">
        <v>2.8596676712962964E-2</v>
      </c>
      <c r="B292" s="29" t="s">
        <v>116</v>
      </c>
      <c r="E292" s="29" t="s">
        <v>88</v>
      </c>
      <c r="G292" s="29" t="s">
        <v>117</v>
      </c>
      <c r="I292" s="161">
        <v>46238.390023148146</v>
      </c>
      <c r="J292" s="29" t="s">
        <v>359</v>
      </c>
      <c r="K292" s="29" t="s">
        <v>274</v>
      </c>
      <c r="L292" s="162">
        <v>46173</v>
      </c>
      <c r="M292" s="29" t="s">
        <v>360</v>
      </c>
      <c r="N292" s="29" t="s">
        <v>291</v>
      </c>
      <c r="O292" s="29" t="s">
        <v>272</v>
      </c>
      <c r="P292" s="29" t="s">
        <v>361</v>
      </c>
      <c r="Q292" s="29" t="s">
        <v>273</v>
      </c>
    </row>
    <row r="293" spans="1:17" s="29" customFormat="1">
      <c r="A293" s="160">
        <v>2.86478571875E-2</v>
      </c>
      <c r="B293" s="29" t="s">
        <v>116</v>
      </c>
      <c r="E293" s="29" t="s">
        <v>253</v>
      </c>
      <c r="F293" s="29" t="s">
        <v>248</v>
      </c>
      <c r="G293" s="29" t="s">
        <v>117</v>
      </c>
      <c r="I293" s="161">
        <v>46238.389386574076</v>
      </c>
      <c r="J293" s="29" t="s">
        <v>359</v>
      </c>
      <c r="K293" s="29" t="s">
        <v>274</v>
      </c>
      <c r="L293" s="162">
        <v>46173</v>
      </c>
      <c r="M293" s="29" t="s">
        <v>360</v>
      </c>
      <c r="N293" s="29" t="s">
        <v>291</v>
      </c>
      <c r="O293" s="29" t="s">
        <v>272</v>
      </c>
      <c r="P293" s="29" t="s">
        <v>361</v>
      </c>
      <c r="Q293" s="29" t="s">
        <v>273</v>
      </c>
    </row>
    <row r="294" spans="1:17" s="29" customFormat="1">
      <c r="A294" s="160">
        <v>2.85556246875E-2</v>
      </c>
      <c r="B294" s="29" t="s">
        <v>116</v>
      </c>
      <c r="E294" s="29" t="s">
        <v>127</v>
      </c>
      <c r="G294" s="29" t="s">
        <v>117</v>
      </c>
      <c r="I294" s="161">
        <v>46238.389270833337</v>
      </c>
      <c r="J294" s="29" t="s">
        <v>359</v>
      </c>
      <c r="K294" s="29" t="s">
        <v>274</v>
      </c>
      <c r="L294" s="162">
        <v>46173</v>
      </c>
      <c r="M294" s="29" t="s">
        <v>360</v>
      </c>
      <c r="N294" s="29" t="s">
        <v>291</v>
      </c>
      <c r="O294" s="29" t="s">
        <v>272</v>
      </c>
      <c r="P294" s="29" t="s">
        <v>361</v>
      </c>
      <c r="Q294" s="29" t="s">
        <v>273</v>
      </c>
    </row>
    <row r="295" spans="1:17" s="29" customFormat="1">
      <c r="A295" s="160">
        <v>2.8457247384259258E-2</v>
      </c>
      <c r="B295" s="29" t="s">
        <v>116</v>
      </c>
      <c r="E295" s="29" t="s">
        <v>127</v>
      </c>
      <c r="G295" s="29" t="s">
        <v>117</v>
      </c>
      <c r="I295" s="161">
        <v>46238.389166666668</v>
      </c>
      <c r="J295" s="29" t="s">
        <v>359</v>
      </c>
      <c r="K295" s="29" t="s">
        <v>274</v>
      </c>
      <c r="L295" s="162">
        <v>46173</v>
      </c>
      <c r="M295" s="29" t="s">
        <v>360</v>
      </c>
      <c r="N295" s="29" t="s">
        <v>291</v>
      </c>
      <c r="O295" s="29" t="s">
        <v>272</v>
      </c>
      <c r="P295" s="29" t="s">
        <v>361</v>
      </c>
      <c r="Q295" s="29" t="s">
        <v>273</v>
      </c>
    </row>
    <row r="296" spans="1:17" s="29" customFormat="1">
      <c r="A296" s="160">
        <v>2.8404971597222224E-2</v>
      </c>
      <c r="B296" s="29" t="s">
        <v>116</v>
      </c>
      <c r="E296" s="29" t="s">
        <v>127</v>
      </c>
      <c r="G296" s="29" t="s">
        <v>117</v>
      </c>
      <c r="I296" s="161">
        <v>46238.389120370368</v>
      </c>
      <c r="J296" s="29" t="s">
        <v>359</v>
      </c>
      <c r="K296" s="29" t="s">
        <v>274</v>
      </c>
      <c r="L296" s="162">
        <v>46173</v>
      </c>
      <c r="M296" s="29" t="s">
        <v>360</v>
      </c>
      <c r="N296" s="29" t="s">
        <v>291</v>
      </c>
      <c r="O296" s="29" t="s">
        <v>272</v>
      </c>
      <c r="P296" s="29" t="s">
        <v>361</v>
      </c>
      <c r="Q296" s="29" t="s">
        <v>273</v>
      </c>
    </row>
    <row r="297" spans="1:17" s="29" customFormat="1">
      <c r="A297" s="160">
        <v>2.832809996527778E-2</v>
      </c>
      <c r="B297" s="29" t="s">
        <v>116</v>
      </c>
      <c r="E297" s="29" t="s">
        <v>120</v>
      </c>
      <c r="G297" s="29" t="s">
        <v>117</v>
      </c>
      <c r="I297" s="161">
        <v>46238.389039351852</v>
      </c>
      <c r="J297" s="29" t="s">
        <v>359</v>
      </c>
      <c r="K297" s="29" t="s">
        <v>274</v>
      </c>
      <c r="L297" s="162">
        <v>46173</v>
      </c>
      <c r="M297" s="29" t="s">
        <v>360</v>
      </c>
      <c r="N297" s="29" t="s">
        <v>291</v>
      </c>
      <c r="O297" s="29" t="s">
        <v>272</v>
      </c>
      <c r="P297" s="29" t="s">
        <v>361</v>
      </c>
      <c r="Q297" s="29" t="s">
        <v>273</v>
      </c>
    </row>
    <row r="298" spans="1:17" s="29" customFormat="1">
      <c r="A298" s="160">
        <v>2.8162072731481483E-2</v>
      </c>
      <c r="B298" s="29" t="s">
        <v>116</v>
      </c>
      <c r="E298" s="29" t="s">
        <v>88</v>
      </c>
      <c r="G298" s="29" t="s">
        <v>117</v>
      </c>
      <c r="I298" s="161">
        <v>46238.388877314814</v>
      </c>
      <c r="J298" s="29" t="s">
        <v>359</v>
      </c>
      <c r="K298" s="29" t="s">
        <v>274</v>
      </c>
      <c r="L298" s="162">
        <v>46173</v>
      </c>
      <c r="M298" s="29" t="s">
        <v>360</v>
      </c>
      <c r="N298" s="29" t="s">
        <v>291</v>
      </c>
      <c r="O298" s="29" t="s">
        <v>272</v>
      </c>
      <c r="P298" s="29" t="s">
        <v>361</v>
      </c>
      <c r="Q298" s="29" t="s">
        <v>273</v>
      </c>
    </row>
    <row r="299" spans="1:17" s="29" customFormat="1">
      <c r="A299" s="160">
        <v>2.8082145752314814E-2</v>
      </c>
      <c r="B299" s="29" t="s">
        <v>116</v>
      </c>
      <c r="E299" s="29" t="s">
        <v>253</v>
      </c>
      <c r="F299" s="29" t="s">
        <v>247</v>
      </c>
      <c r="G299" s="29" t="s">
        <v>117</v>
      </c>
      <c r="I299" s="161">
        <v>46238.388807870368</v>
      </c>
      <c r="J299" s="29" t="s">
        <v>359</v>
      </c>
      <c r="K299" s="29" t="s">
        <v>274</v>
      </c>
      <c r="L299" s="162">
        <v>46173</v>
      </c>
      <c r="M299" s="29" t="s">
        <v>360</v>
      </c>
      <c r="N299" s="29" t="s">
        <v>291</v>
      </c>
      <c r="O299" s="29" t="s">
        <v>272</v>
      </c>
      <c r="P299" s="29" t="s">
        <v>361</v>
      </c>
      <c r="Q299" s="29" t="s">
        <v>273</v>
      </c>
    </row>
    <row r="300" spans="1:17" s="29" customFormat="1">
      <c r="A300" s="160">
        <v>2.8026441064814816E-2</v>
      </c>
      <c r="B300" s="29" t="s">
        <v>116</v>
      </c>
      <c r="E300" s="29" t="s">
        <v>127</v>
      </c>
      <c r="G300" s="29" t="s">
        <v>117</v>
      </c>
      <c r="I300" s="161">
        <v>46238.388449074075</v>
      </c>
      <c r="J300" s="29" t="s">
        <v>359</v>
      </c>
      <c r="K300" s="29" t="s">
        <v>274</v>
      </c>
      <c r="L300" s="162">
        <v>46173</v>
      </c>
      <c r="M300" s="29" t="s">
        <v>360</v>
      </c>
      <c r="N300" s="29" t="s">
        <v>291</v>
      </c>
      <c r="O300" s="29" t="s">
        <v>272</v>
      </c>
      <c r="P300" s="29" t="s">
        <v>361</v>
      </c>
      <c r="Q300" s="29" t="s">
        <v>273</v>
      </c>
    </row>
    <row r="301" spans="1:17" s="29" customFormat="1">
      <c r="A301" s="160">
        <v>2.8017187037037039E-2</v>
      </c>
      <c r="B301" s="29" t="s">
        <v>116</v>
      </c>
      <c r="E301" s="29" t="s">
        <v>59</v>
      </c>
      <c r="G301" s="29" t="s">
        <v>117</v>
      </c>
      <c r="I301" s="161">
        <v>46238.388437499998</v>
      </c>
      <c r="J301" s="29" t="s">
        <v>359</v>
      </c>
      <c r="K301" s="29" t="s">
        <v>274</v>
      </c>
      <c r="L301" s="162">
        <v>46173</v>
      </c>
      <c r="M301" s="29" t="s">
        <v>360</v>
      </c>
      <c r="N301" s="29" t="s">
        <v>291</v>
      </c>
      <c r="O301" s="29" t="s">
        <v>272</v>
      </c>
      <c r="P301" s="29" t="s">
        <v>361</v>
      </c>
      <c r="Q301" s="29" t="s">
        <v>273</v>
      </c>
    </row>
    <row r="302" spans="1:17" s="29" customFormat="1">
      <c r="A302" s="160">
        <v>2.7908284664351853E-2</v>
      </c>
      <c r="B302" s="29" t="s">
        <v>116</v>
      </c>
      <c r="E302" s="29" t="s">
        <v>120</v>
      </c>
      <c r="G302" s="29" t="s">
        <v>117</v>
      </c>
      <c r="I302" s="161">
        <v>46238.38826388889</v>
      </c>
      <c r="J302" s="29" t="s">
        <v>359</v>
      </c>
      <c r="K302" s="29" t="s">
        <v>274</v>
      </c>
      <c r="L302" s="162">
        <v>46173</v>
      </c>
      <c r="M302" s="29" t="s">
        <v>360</v>
      </c>
      <c r="N302" s="29" t="s">
        <v>291</v>
      </c>
      <c r="O302" s="29" t="s">
        <v>272</v>
      </c>
      <c r="P302" s="29" t="s">
        <v>361</v>
      </c>
      <c r="Q302" s="29" t="s">
        <v>273</v>
      </c>
    </row>
    <row r="303" spans="1:17" s="29" customFormat="1">
      <c r="A303" s="160">
        <v>2.7525713784722221E-2</v>
      </c>
      <c r="B303" s="29" t="s">
        <v>116</v>
      </c>
      <c r="E303" s="29" t="s">
        <v>88</v>
      </c>
      <c r="G303" s="29" t="s">
        <v>117</v>
      </c>
      <c r="I303" s="161">
        <v>46238.387881944444</v>
      </c>
      <c r="J303" s="29" t="s">
        <v>359</v>
      </c>
      <c r="K303" s="29" t="s">
        <v>274</v>
      </c>
      <c r="L303" s="162">
        <v>46173</v>
      </c>
      <c r="M303" s="29" t="s">
        <v>360</v>
      </c>
      <c r="N303" s="29" t="s">
        <v>291</v>
      </c>
      <c r="O303" s="29" t="s">
        <v>272</v>
      </c>
      <c r="P303" s="29" t="s">
        <v>361</v>
      </c>
      <c r="Q303" s="29" t="s">
        <v>273</v>
      </c>
    </row>
    <row r="304" spans="1:17" s="29" customFormat="1">
      <c r="A304" s="160">
        <v>2.7492124293981481E-2</v>
      </c>
      <c r="B304" s="29" t="s">
        <v>116</v>
      </c>
      <c r="E304" s="29" t="s">
        <v>253</v>
      </c>
      <c r="F304" s="29" t="s">
        <v>83</v>
      </c>
      <c r="G304" s="29" t="s">
        <v>117</v>
      </c>
      <c r="I304" s="161">
        <v>46238.387870370374</v>
      </c>
      <c r="J304" s="29" t="s">
        <v>359</v>
      </c>
      <c r="K304" s="29" t="s">
        <v>274</v>
      </c>
      <c r="L304" s="162">
        <v>46173</v>
      </c>
      <c r="M304" s="29" t="s">
        <v>360</v>
      </c>
      <c r="N304" s="29" t="s">
        <v>291</v>
      </c>
      <c r="O304" s="29" t="s">
        <v>272</v>
      </c>
      <c r="P304" s="29" t="s">
        <v>361</v>
      </c>
      <c r="Q304" s="29" t="s">
        <v>273</v>
      </c>
    </row>
    <row r="305" spans="1:17" s="29" customFormat="1">
      <c r="A305" s="160">
        <v>2.7408656585648145E-2</v>
      </c>
      <c r="B305" s="29" t="s">
        <v>116</v>
      </c>
      <c r="E305" s="29" t="s">
        <v>127</v>
      </c>
      <c r="G305" s="29" t="s">
        <v>117</v>
      </c>
      <c r="I305" s="161">
        <v>46238.387291666666</v>
      </c>
      <c r="J305" s="29" t="s">
        <v>359</v>
      </c>
      <c r="K305" s="29" t="s">
        <v>274</v>
      </c>
      <c r="L305" s="162">
        <v>46173</v>
      </c>
      <c r="M305" s="29" t="s">
        <v>360</v>
      </c>
      <c r="N305" s="29" t="s">
        <v>291</v>
      </c>
      <c r="O305" s="29" t="s">
        <v>272</v>
      </c>
      <c r="P305" s="29" t="s">
        <v>361</v>
      </c>
      <c r="Q305" s="29" t="s">
        <v>273</v>
      </c>
    </row>
    <row r="306" spans="1:17" s="29" customFormat="1">
      <c r="A306" s="160">
        <v>2.7249984398148148E-2</v>
      </c>
      <c r="B306" s="29" t="s">
        <v>116</v>
      </c>
      <c r="C306" s="29" t="s">
        <v>368</v>
      </c>
      <c r="E306" s="29" t="s">
        <v>130</v>
      </c>
      <c r="G306" s="29" t="s">
        <v>117</v>
      </c>
      <c r="I306" s="161">
        <v>46238.385752314818</v>
      </c>
      <c r="J306" s="29" t="s">
        <v>359</v>
      </c>
      <c r="K306" s="29" t="s">
        <v>274</v>
      </c>
      <c r="L306" s="162">
        <v>46173</v>
      </c>
      <c r="M306" s="29" t="s">
        <v>360</v>
      </c>
      <c r="N306" s="29" t="s">
        <v>291</v>
      </c>
      <c r="O306" s="29" t="s">
        <v>272</v>
      </c>
      <c r="P306" s="29" t="s">
        <v>361</v>
      </c>
      <c r="Q306" s="29" t="s">
        <v>273</v>
      </c>
    </row>
    <row r="307" spans="1:17" s="29" customFormat="1">
      <c r="A307" s="160">
        <v>2.7138007384259259E-2</v>
      </c>
      <c r="B307" s="29" t="s">
        <v>116</v>
      </c>
      <c r="E307" s="29" t="s">
        <v>123</v>
      </c>
      <c r="G307" s="29" t="s">
        <v>117</v>
      </c>
      <c r="I307" s="161">
        <v>46238.385567129626</v>
      </c>
      <c r="J307" s="29" t="s">
        <v>359</v>
      </c>
      <c r="K307" s="29" t="s">
        <v>274</v>
      </c>
      <c r="L307" s="162">
        <v>46173</v>
      </c>
      <c r="M307" s="29" t="s">
        <v>360</v>
      </c>
      <c r="N307" s="29" t="s">
        <v>291</v>
      </c>
      <c r="O307" s="29" t="s">
        <v>272</v>
      </c>
      <c r="P307" s="29" t="s">
        <v>361</v>
      </c>
      <c r="Q307" s="29" t="s">
        <v>273</v>
      </c>
    </row>
    <row r="308" spans="1:17" s="29" customFormat="1">
      <c r="A308" s="160">
        <v>2.6692232766203704E-2</v>
      </c>
      <c r="B308" s="29" t="s">
        <v>116</v>
      </c>
      <c r="E308" s="29" t="s">
        <v>88</v>
      </c>
      <c r="G308" s="29" t="s">
        <v>117</v>
      </c>
      <c r="I308" s="161">
        <v>46238.385127314818</v>
      </c>
      <c r="J308" s="29" t="s">
        <v>359</v>
      </c>
      <c r="K308" s="29" t="s">
        <v>274</v>
      </c>
      <c r="L308" s="162">
        <v>46173</v>
      </c>
      <c r="M308" s="29" t="s">
        <v>360</v>
      </c>
      <c r="N308" s="29" t="s">
        <v>291</v>
      </c>
      <c r="O308" s="29" t="s">
        <v>272</v>
      </c>
      <c r="P308" s="29" t="s">
        <v>361</v>
      </c>
      <c r="Q308" s="29" t="s">
        <v>273</v>
      </c>
    </row>
    <row r="309" spans="1:17" s="29" customFormat="1">
      <c r="A309" s="160">
        <v>2.6627625694444441E-2</v>
      </c>
      <c r="B309" s="29" t="s">
        <v>116</v>
      </c>
      <c r="E309" s="29" t="s">
        <v>253</v>
      </c>
      <c r="F309" s="29" t="s">
        <v>83</v>
      </c>
      <c r="G309" s="29" t="s">
        <v>117</v>
      </c>
      <c r="I309" s="161">
        <v>46238.385115740741</v>
      </c>
      <c r="J309" s="29" t="s">
        <v>359</v>
      </c>
      <c r="K309" s="29" t="s">
        <v>274</v>
      </c>
      <c r="L309" s="162">
        <v>46173</v>
      </c>
      <c r="M309" s="29" t="s">
        <v>360</v>
      </c>
      <c r="N309" s="29" t="s">
        <v>291</v>
      </c>
      <c r="O309" s="29" t="s">
        <v>272</v>
      </c>
      <c r="P309" s="29" t="s">
        <v>361</v>
      </c>
      <c r="Q309" s="29" t="s">
        <v>273</v>
      </c>
    </row>
    <row r="310" spans="1:17" s="29" customFormat="1">
      <c r="A310" s="160">
        <v>2.656922203703704E-2</v>
      </c>
      <c r="B310" s="29" t="s">
        <v>116</v>
      </c>
      <c r="E310" s="29" t="s">
        <v>127</v>
      </c>
      <c r="G310" s="29" t="s">
        <v>117</v>
      </c>
      <c r="I310" s="161">
        <v>46238.385000000002</v>
      </c>
      <c r="J310" s="29" t="s">
        <v>359</v>
      </c>
      <c r="K310" s="29" t="s">
        <v>274</v>
      </c>
      <c r="L310" s="162">
        <v>46173</v>
      </c>
      <c r="M310" s="29" t="s">
        <v>360</v>
      </c>
      <c r="N310" s="29" t="s">
        <v>291</v>
      </c>
      <c r="O310" s="29" t="s">
        <v>272</v>
      </c>
      <c r="P310" s="29" t="s">
        <v>361</v>
      </c>
      <c r="Q310" s="29" t="s">
        <v>273</v>
      </c>
    </row>
    <row r="311" spans="1:17" s="29" customFormat="1">
      <c r="A311" s="160">
        <v>2.6461643645833335E-2</v>
      </c>
      <c r="B311" s="29" t="s">
        <v>116</v>
      </c>
      <c r="E311" s="29" t="s">
        <v>127</v>
      </c>
      <c r="G311" s="29" t="s">
        <v>117</v>
      </c>
      <c r="I311" s="161">
        <v>46238.384895833333</v>
      </c>
      <c r="J311" s="29" t="s">
        <v>359</v>
      </c>
      <c r="K311" s="29" t="s">
        <v>274</v>
      </c>
      <c r="L311" s="162">
        <v>46173</v>
      </c>
      <c r="M311" s="29" t="s">
        <v>360</v>
      </c>
      <c r="N311" s="29" t="s">
        <v>291</v>
      </c>
      <c r="O311" s="29" t="s">
        <v>272</v>
      </c>
      <c r="P311" s="29" t="s">
        <v>361</v>
      </c>
      <c r="Q311" s="29" t="s">
        <v>273</v>
      </c>
    </row>
    <row r="312" spans="1:17" s="29" customFormat="1">
      <c r="A312" s="160">
        <v>2.638786207175926E-2</v>
      </c>
      <c r="B312" s="29" t="s">
        <v>116</v>
      </c>
      <c r="E312" s="29" t="s">
        <v>127</v>
      </c>
      <c r="G312" s="29" t="s">
        <v>117</v>
      </c>
      <c r="I312" s="161">
        <v>46238.384826388887</v>
      </c>
      <c r="J312" s="29" t="s">
        <v>359</v>
      </c>
      <c r="K312" s="29" t="s">
        <v>274</v>
      </c>
      <c r="L312" s="162">
        <v>46173</v>
      </c>
      <c r="M312" s="29" t="s">
        <v>360</v>
      </c>
      <c r="N312" s="29" t="s">
        <v>291</v>
      </c>
      <c r="O312" s="29" t="s">
        <v>272</v>
      </c>
      <c r="P312" s="29" t="s">
        <v>361</v>
      </c>
      <c r="Q312" s="29" t="s">
        <v>273</v>
      </c>
    </row>
    <row r="313" spans="1:17" s="29" customFormat="1">
      <c r="A313" s="160">
        <v>2.6310998368055553E-2</v>
      </c>
      <c r="B313" s="29" t="s">
        <v>116</v>
      </c>
      <c r="E313" s="29" t="s">
        <v>127</v>
      </c>
      <c r="G313" s="29" t="s">
        <v>117</v>
      </c>
      <c r="I313" s="161">
        <v>46238.384745370371</v>
      </c>
      <c r="J313" s="29" t="s">
        <v>359</v>
      </c>
      <c r="K313" s="29" t="s">
        <v>274</v>
      </c>
      <c r="L313" s="162">
        <v>46173</v>
      </c>
      <c r="M313" s="29" t="s">
        <v>360</v>
      </c>
      <c r="N313" s="29" t="s">
        <v>291</v>
      </c>
      <c r="O313" s="29" t="s">
        <v>272</v>
      </c>
      <c r="P313" s="29" t="s">
        <v>361</v>
      </c>
      <c r="Q313" s="29" t="s">
        <v>273</v>
      </c>
    </row>
    <row r="314" spans="1:17" s="29" customFormat="1">
      <c r="A314" s="160">
        <v>2.6243332708333331E-2</v>
      </c>
      <c r="B314" s="29" t="s">
        <v>116</v>
      </c>
      <c r="E314" s="29" t="s">
        <v>127</v>
      </c>
      <c r="G314" s="29" t="s">
        <v>117</v>
      </c>
      <c r="I314" s="161">
        <v>46238.384675925925</v>
      </c>
      <c r="J314" s="29" t="s">
        <v>359</v>
      </c>
      <c r="K314" s="29" t="s">
        <v>274</v>
      </c>
      <c r="L314" s="162">
        <v>46173</v>
      </c>
      <c r="M314" s="29" t="s">
        <v>360</v>
      </c>
      <c r="N314" s="29" t="s">
        <v>291</v>
      </c>
      <c r="O314" s="29" t="s">
        <v>272</v>
      </c>
      <c r="P314" s="29" t="s">
        <v>361</v>
      </c>
      <c r="Q314" s="29" t="s">
        <v>273</v>
      </c>
    </row>
    <row r="315" spans="1:17" s="29" customFormat="1">
      <c r="A315" s="160">
        <v>2.6225610729166664E-2</v>
      </c>
      <c r="B315" s="29" t="s">
        <v>116</v>
      </c>
      <c r="E315" s="29" t="s">
        <v>127</v>
      </c>
      <c r="G315" s="29" t="s">
        <v>117</v>
      </c>
      <c r="I315" s="161">
        <v>46238.384652777779</v>
      </c>
      <c r="J315" s="29" t="s">
        <v>359</v>
      </c>
      <c r="K315" s="29" t="s">
        <v>274</v>
      </c>
      <c r="L315" s="162">
        <v>46173</v>
      </c>
      <c r="M315" s="29" t="s">
        <v>360</v>
      </c>
      <c r="N315" s="29" t="s">
        <v>291</v>
      </c>
      <c r="O315" s="29" t="s">
        <v>272</v>
      </c>
      <c r="P315" s="29" t="s">
        <v>361</v>
      </c>
      <c r="Q315" s="29" t="s">
        <v>273</v>
      </c>
    </row>
    <row r="316" spans="1:17" s="29" customFormat="1">
      <c r="A316" s="160">
        <v>2.6203333877314813E-2</v>
      </c>
      <c r="B316" s="29" t="s">
        <v>116</v>
      </c>
      <c r="E316" s="29" t="s">
        <v>127</v>
      </c>
      <c r="G316" s="29" t="s">
        <v>117</v>
      </c>
      <c r="I316" s="161">
        <v>46238.384641203702</v>
      </c>
      <c r="J316" s="29" t="s">
        <v>359</v>
      </c>
      <c r="K316" s="29" t="s">
        <v>274</v>
      </c>
      <c r="L316" s="162">
        <v>46173</v>
      </c>
      <c r="M316" s="29" t="s">
        <v>360</v>
      </c>
      <c r="N316" s="29" t="s">
        <v>291</v>
      </c>
      <c r="O316" s="29" t="s">
        <v>272</v>
      </c>
      <c r="P316" s="29" t="s">
        <v>361</v>
      </c>
      <c r="Q316" s="29" t="s">
        <v>273</v>
      </c>
    </row>
    <row r="317" spans="1:17" s="29" customFormat="1">
      <c r="A317" s="160">
        <v>2.6172648449074076E-2</v>
      </c>
      <c r="B317" s="29" t="s">
        <v>116</v>
      </c>
      <c r="E317" s="29" t="s">
        <v>127</v>
      </c>
      <c r="G317" s="29" t="s">
        <v>117</v>
      </c>
      <c r="I317" s="161">
        <v>46238.384606481479</v>
      </c>
      <c r="J317" s="29" t="s">
        <v>359</v>
      </c>
      <c r="K317" s="29" t="s">
        <v>274</v>
      </c>
      <c r="L317" s="162">
        <v>46173</v>
      </c>
      <c r="M317" s="29" t="s">
        <v>360</v>
      </c>
      <c r="N317" s="29" t="s">
        <v>291</v>
      </c>
      <c r="O317" s="29" t="s">
        <v>272</v>
      </c>
      <c r="P317" s="29" t="s">
        <v>361</v>
      </c>
      <c r="Q317" s="29" t="s">
        <v>273</v>
      </c>
    </row>
    <row r="318" spans="1:17" s="29" customFormat="1">
      <c r="A318" s="160">
        <v>2.6132997939814811E-2</v>
      </c>
      <c r="B318" s="29" t="s">
        <v>116</v>
      </c>
      <c r="E318" s="29" t="s">
        <v>226</v>
      </c>
      <c r="G318" s="29" t="s">
        <v>117</v>
      </c>
      <c r="I318" s="161">
        <v>46238.384560185186</v>
      </c>
      <c r="J318" s="29" t="s">
        <v>359</v>
      </c>
      <c r="K318" s="29" t="s">
        <v>274</v>
      </c>
      <c r="L318" s="162">
        <v>46173</v>
      </c>
      <c r="M318" s="29" t="s">
        <v>360</v>
      </c>
      <c r="N318" s="29" t="s">
        <v>291</v>
      </c>
      <c r="O318" s="29" t="s">
        <v>272</v>
      </c>
      <c r="P318" s="29" t="s">
        <v>361</v>
      </c>
      <c r="Q318" s="29" t="s">
        <v>273</v>
      </c>
    </row>
    <row r="319" spans="1:17" s="29" customFormat="1">
      <c r="A319" s="160">
        <v>2.6092701493055554E-2</v>
      </c>
      <c r="B319" s="29" t="s">
        <v>116</v>
      </c>
      <c r="E319" s="29" t="s">
        <v>224</v>
      </c>
      <c r="G319" s="29" t="s">
        <v>204</v>
      </c>
      <c r="I319" s="161">
        <v>46238.384525462963</v>
      </c>
      <c r="J319" s="29" t="s">
        <v>359</v>
      </c>
      <c r="K319" s="29" t="s">
        <v>274</v>
      </c>
      <c r="L319" s="162">
        <v>46173</v>
      </c>
      <c r="M319" s="29" t="s">
        <v>360</v>
      </c>
      <c r="N319" s="29" t="s">
        <v>291</v>
      </c>
      <c r="O319" s="29" t="s">
        <v>272</v>
      </c>
      <c r="P319" s="29" t="s">
        <v>361</v>
      </c>
      <c r="Q319" s="29" t="s">
        <v>273</v>
      </c>
    </row>
    <row r="320" spans="1:17" s="29" customFormat="1">
      <c r="A320" s="160">
        <v>2.6034301041666666E-2</v>
      </c>
      <c r="B320" s="29" t="s">
        <v>116</v>
      </c>
      <c r="E320" s="29" t="s">
        <v>120</v>
      </c>
      <c r="G320" s="29" t="s">
        <v>117</v>
      </c>
      <c r="I320" s="161">
        <v>46238.384467592594</v>
      </c>
      <c r="J320" s="29" t="s">
        <v>359</v>
      </c>
      <c r="K320" s="29" t="s">
        <v>274</v>
      </c>
      <c r="L320" s="162">
        <v>46173</v>
      </c>
      <c r="M320" s="29" t="s">
        <v>360</v>
      </c>
      <c r="N320" s="29" t="s">
        <v>291</v>
      </c>
      <c r="O320" s="29" t="s">
        <v>272</v>
      </c>
      <c r="P320" s="29" t="s">
        <v>361</v>
      </c>
      <c r="Q320" s="29" t="s">
        <v>273</v>
      </c>
    </row>
    <row r="321" spans="1:17" s="29" customFormat="1">
      <c r="A321" s="160">
        <v>2.5847074317129633E-2</v>
      </c>
      <c r="B321" s="29" t="s">
        <v>116</v>
      </c>
      <c r="E321" s="29" t="s">
        <v>253</v>
      </c>
      <c r="F321" s="29" t="s">
        <v>175</v>
      </c>
      <c r="G321" s="29" t="s">
        <v>117</v>
      </c>
      <c r="I321" s="161">
        <v>46238.384189814817</v>
      </c>
      <c r="J321" s="29" t="s">
        <v>359</v>
      </c>
      <c r="K321" s="29" t="s">
        <v>274</v>
      </c>
      <c r="L321" s="162">
        <v>46173</v>
      </c>
      <c r="M321" s="29" t="s">
        <v>360</v>
      </c>
      <c r="N321" s="29" t="s">
        <v>291</v>
      </c>
      <c r="O321" s="29" t="s">
        <v>272</v>
      </c>
      <c r="P321" s="29" t="s">
        <v>361</v>
      </c>
      <c r="Q321" s="29" t="s">
        <v>273</v>
      </c>
    </row>
    <row r="322" spans="1:17" s="29" customFormat="1">
      <c r="A322" s="160">
        <v>2.5814655891203703E-2</v>
      </c>
      <c r="B322" s="29" t="s">
        <v>116</v>
      </c>
      <c r="E322" s="29" t="s">
        <v>88</v>
      </c>
      <c r="G322" s="29" t="s">
        <v>117</v>
      </c>
      <c r="I322" s="161">
        <v>46238.383900462963</v>
      </c>
      <c r="J322" s="29" t="s">
        <v>359</v>
      </c>
      <c r="K322" s="29" t="s">
        <v>274</v>
      </c>
      <c r="L322" s="162">
        <v>46173</v>
      </c>
      <c r="M322" s="29" t="s">
        <v>360</v>
      </c>
      <c r="N322" s="29" t="s">
        <v>291</v>
      </c>
      <c r="O322" s="29" t="s">
        <v>272</v>
      </c>
      <c r="P322" s="29" t="s">
        <v>361</v>
      </c>
      <c r="Q322" s="29" t="s">
        <v>273</v>
      </c>
    </row>
    <row r="323" spans="1:17" s="29" customFormat="1">
      <c r="A323" s="160">
        <v>2.5744249618055555E-2</v>
      </c>
      <c r="B323" s="29" t="s">
        <v>116</v>
      </c>
      <c r="E323" s="29" t="s">
        <v>127</v>
      </c>
      <c r="G323" s="29" t="s">
        <v>117</v>
      </c>
      <c r="I323" s="161">
        <v>46238.383819444447</v>
      </c>
      <c r="J323" s="29" t="s">
        <v>359</v>
      </c>
      <c r="K323" s="29" t="s">
        <v>274</v>
      </c>
      <c r="L323" s="162">
        <v>46173</v>
      </c>
      <c r="M323" s="29" t="s">
        <v>360</v>
      </c>
      <c r="N323" s="29" t="s">
        <v>291</v>
      </c>
      <c r="O323" s="29" t="s">
        <v>272</v>
      </c>
      <c r="P323" s="29" t="s">
        <v>361</v>
      </c>
      <c r="Q323" s="29" t="s">
        <v>273</v>
      </c>
    </row>
    <row r="324" spans="1:17" s="29" customFormat="1">
      <c r="A324" s="160">
        <v>2.5716286342592591E-2</v>
      </c>
      <c r="B324" s="29" t="s">
        <v>116</v>
      </c>
      <c r="E324" s="29" t="s">
        <v>59</v>
      </c>
      <c r="G324" s="29" t="s">
        <v>117</v>
      </c>
      <c r="I324" s="161">
        <v>46238.383796296293</v>
      </c>
      <c r="J324" s="29" t="s">
        <v>359</v>
      </c>
      <c r="K324" s="29" t="s">
        <v>274</v>
      </c>
      <c r="L324" s="162">
        <v>46173</v>
      </c>
      <c r="M324" s="29" t="s">
        <v>360</v>
      </c>
      <c r="N324" s="29" t="s">
        <v>291</v>
      </c>
      <c r="O324" s="29" t="s">
        <v>272</v>
      </c>
      <c r="P324" s="29" t="s">
        <v>361</v>
      </c>
      <c r="Q324" s="29" t="s">
        <v>273</v>
      </c>
    </row>
    <row r="325" spans="1:17" s="29" customFormat="1">
      <c r="A325" s="160">
        <v>2.5653478402777777E-2</v>
      </c>
      <c r="B325" s="29" t="s">
        <v>116</v>
      </c>
      <c r="E325" s="29" t="s">
        <v>226</v>
      </c>
      <c r="G325" s="29" t="s">
        <v>117</v>
      </c>
      <c r="I325" s="161">
        <v>46238.383611111109</v>
      </c>
      <c r="J325" s="29" t="s">
        <v>359</v>
      </c>
      <c r="K325" s="29" t="s">
        <v>274</v>
      </c>
      <c r="L325" s="162">
        <v>46173</v>
      </c>
      <c r="M325" s="29" t="s">
        <v>360</v>
      </c>
      <c r="N325" s="29" t="s">
        <v>291</v>
      </c>
      <c r="O325" s="29" t="s">
        <v>272</v>
      </c>
      <c r="P325" s="29" t="s">
        <v>361</v>
      </c>
      <c r="Q325" s="29" t="s">
        <v>273</v>
      </c>
    </row>
    <row r="326" spans="1:17" s="29" customFormat="1">
      <c r="A326" s="160">
        <v>2.560400965277778E-2</v>
      </c>
      <c r="B326" s="29" t="s">
        <v>116</v>
      </c>
      <c r="E326" s="29" t="s">
        <v>224</v>
      </c>
      <c r="G326" s="29" t="s">
        <v>204</v>
      </c>
      <c r="I326" s="161">
        <v>46238.383564814816</v>
      </c>
      <c r="J326" s="29" t="s">
        <v>359</v>
      </c>
      <c r="K326" s="29" t="s">
        <v>274</v>
      </c>
      <c r="L326" s="162">
        <v>46173</v>
      </c>
      <c r="M326" s="29" t="s">
        <v>360</v>
      </c>
      <c r="N326" s="29" t="s">
        <v>291</v>
      </c>
      <c r="O326" s="29" t="s">
        <v>272</v>
      </c>
      <c r="P326" s="29" t="s">
        <v>361</v>
      </c>
      <c r="Q326" s="29" t="s">
        <v>273</v>
      </c>
    </row>
    <row r="327" spans="1:17" s="29" customFormat="1">
      <c r="A327" s="160">
        <v>2.5457998587962962E-2</v>
      </c>
      <c r="B327" s="29" t="s">
        <v>116</v>
      </c>
      <c r="C327" s="29" t="s">
        <v>379</v>
      </c>
      <c r="E327" s="29" t="s">
        <v>127</v>
      </c>
      <c r="G327" s="29" t="s">
        <v>204</v>
      </c>
      <c r="I327" s="161">
        <v>46238.383356481485</v>
      </c>
      <c r="J327" s="29" t="s">
        <v>359</v>
      </c>
      <c r="K327" s="29" t="s">
        <v>274</v>
      </c>
      <c r="L327" s="162">
        <v>46173</v>
      </c>
      <c r="M327" s="29" t="s">
        <v>360</v>
      </c>
      <c r="N327" s="29" t="s">
        <v>291</v>
      </c>
      <c r="O327" s="29" t="s">
        <v>272</v>
      </c>
      <c r="P327" s="29" t="s">
        <v>361</v>
      </c>
      <c r="Q327" s="29" t="s">
        <v>273</v>
      </c>
    </row>
    <row r="328" spans="1:17" s="29" customFormat="1">
      <c r="A328" s="160">
        <v>2.5384196574074071E-2</v>
      </c>
      <c r="B328" s="29" t="s">
        <v>116</v>
      </c>
      <c r="E328" s="29" t="s">
        <v>228</v>
      </c>
      <c r="G328" s="29" t="s">
        <v>204</v>
      </c>
      <c r="I328" s="161">
        <v>46238.383055555554</v>
      </c>
      <c r="J328" s="29" t="s">
        <v>359</v>
      </c>
      <c r="K328" s="29" t="s">
        <v>274</v>
      </c>
      <c r="L328" s="162">
        <v>46173</v>
      </c>
      <c r="M328" s="29" t="s">
        <v>360</v>
      </c>
      <c r="N328" s="29" t="s">
        <v>291</v>
      </c>
      <c r="O328" s="29" t="s">
        <v>272</v>
      </c>
      <c r="P328" s="29" t="s">
        <v>361</v>
      </c>
      <c r="Q328" s="29" t="s">
        <v>273</v>
      </c>
    </row>
    <row r="329" spans="1:17" s="29" customFormat="1">
      <c r="A329" s="160">
        <v>2.5294947662037038E-2</v>
      </c>
      <c r="B329" s="29" t="s">
        <v>116</v>
      </c>
      <c r="E329" s="29" t="s">
        <v>119</v>
      </c>
      <c r="G329" s="29" t="s">
        <v>204</v>
      </c>
      <c r="I329" s="161">
        <v>46238.382905092592</v>
      </c>
      <c r="J329" s="29" t="s">
        <v>359</v>
      </c>
      <c r="K329" s="29" t="s">
        <v>274</v>
      </c>
      <c r="L329" s="162">
        <v>46173</v>
      </c>
      <c r="M329" s="29" t="s">
        <v>360</v>
      </c>
      <c r="N329" s="29" t="s">
        <v>291</v>
      </c>
      <c r="O329" s="29" t="s">
        <v>272</v>
      </c>
      <c r="P329" s="29" t="s">
        <v>361</v>
      </c>
      <c r="Q329" s="29" t="s">
        <v>273</v>
      </c>
    </row>
    <row r="330" spans="1:17" s="29" customFormat="1">
      <c r="A330" s="160">
        <v>2.4130192743055556E-2</v>
      </c>
      <c r="B330" s="29" t="s">
        <v>116</v>
      </c>
      <c r="E330" s="29" t="s">
        <v>122</v>
      </c>
      <c r="G330" s="29" t="s">
        <v>204</v>
      </c>
      <c r="I330" s="161">
        <v>46238.382488425923</v>
      </c>
      <c r="J330" s="29" t="s">
        <v>359</v>
      </c>
      <c r="K330" s="29" t="s">
        <v>274</v>
      </c>
      <c r="L330" s="162">
        <v>46173</v>
      </c>
      <c r="M330" s="29" t="s">
        <v>360</v>
      </c>
      <c r="N330" s="29" t="s">
        <v>291</v>
      </c>
      <c r="O330" s="29" t="s">
        <v>272</v>
      </c>
      <c r="P330" s="29" t="s">
        <v>361</v>
      </c>
      <c r="Q330" s="29" t="s">
        <v>273</v>
      </c>
    </row>
    <row r="331" spans="1:17" s="29" customFormat="1">
      <c r="A331" s="160">
        <v>2.4060825381944446E-2</v>
      </c>
      <c r="B331" s="29" t="s">
        <v>116</v>
      </c>
      <c r="C331" s="29" t="s">
        <v>367</v>
      </c>
      <c r="E331" s="29" t="s">
        <v>59</v>
      </c>
      <c r="G331" s="29" t="s">
        <v>204</v>
      </c>
      <c r="I331" s="161">
        <v>46238.38244212963</v>
      </c>
      <c r="J331" s="29" t="s">
        <v>359</v>
      </c>
      <c r="K331" s="29" t="s">
        <v>274</v>
      </c>
      <c r="L331" s="162">
        <v>46173</v>
      </c>
      <c r="M331" s="29" t="s">
        <v>360</v>
      </c>
      <c r="N331" s="29" t="s">
        <v>291</v>
      </c>
      <c r="O331" s="29" t="s">
        <v>272</v>
      </c>
      <c r="P331" s="29" t="s">
        <v>361</v>
      </c>
      <c r="Q331" s="29" t="s">
        <v>273</v>
      </c>
    </row>
    <row r="332" spans="1:17" s="29" customFormat="1">
      <c r="A332" s="160">
        <v>2.4002127731481481E-2</v>
      </c>
      <c r="B332" s="29" t="s">
        <v>116</v>
      </c>
      <c r="C332" s="29" t="s">
        <v>365</v>
      </c>
      <c r="E332" s="29" t="s">
        <v>127</v>
      </c>
      <c r="G332" s="29" t="s">
        <v>204</v>
      </c>
      <c r="I332" s="161">
        <v>46238.382002314815</v>
      </c>
      <c r="J332" s="29" t="s">
        <v>359</v>
      </c>
      <c r="K332" s="29" t="s">
        <v>274</v>
      </c>
      <c r="L332" s="162">
        <v>46173</v>
      </c>
      <c r="M332" s="29" t="s">
        <v>360</v>
      </c>
      <c r="N332" s="29" t="s">
        <v>291</v>
      </c>
      <c r="O332" s="29" t="s">
        <v>272</v>
      </c>
      <c r="P332" s="29" t="s">
        <v>361</v>
      </c>
      <c r="Q332" s="29" t="s">
        <v>273</v>
      </c>
    </row>
    <row r="333" spans="1:17" s="29" customFormat="1">
      <c r="A333" s="160">
        <v>2.3933688275462963E-2</v>
      </c>
      <c r="B333" s="29" t="s">
        <v>116</v>
      </c>
      <c r="C333" s="29" t="s">
        <v>369</v>
      </c>
      <c r="E333" s="29" t="s">
        <v>127</v>
      </c>
      <c r="G333" s="29" t="s">
        <v>204</v>
      </c>
      <c r="I333" s="161">
        <v>46238.381296296298</v>
      </c>
      <c r="J333" s="29" t="s">
        <v>359</v>
      </c>
      <c r="K333" s="29" t="s">
        <v>274</v>
      </c>
      <c r="L333" s="162">
        <v>46173</v>
      </c>
      <c r="M333" s="29" t="s">
        <v>360</v>
      </c>
      <c r="N333" s="29" t="s">
        <v>291</v>
      </c>
      <c r="O333" s="29" t="s">
        <v>272</v>
      </c>
      <c r="P333" s="29" t="s">
        <v>361</v>
      </c>
      <c r="Q333" s="29" t="s">
        <v>273</v>
      </c>
    </row>
    <row r="334" spans="1:17" s="29" customFormat="1">
      <c r="A334" s="160">
        <v>2.389787939814815E-2</v>
      </c>
      <c r="B334" s="29" t="s">
        <v>116</v>
      </c>
      <c r="C334" s="29" t="s">
        <v>363</v>
      </c>
      <c r="E334" s="29" t="s">
        <v>59</v>
      </c>
      <c r="G334" s="29" t="s">
        <v>204</v>
      </c>
      <c r="I334" s="161">
        <v>46238.381018518521</v>
      </c>
      <c r="J334" s="29" t="s">
        <v>359</v>
      </c>
      <c r="K334" s="29" t="s">
        <v>274</v>
      </c>
      <c r="L334" s="162">
        <v>46173</v>
      </c>
      <c r="M334" s="29" t="s">
        <v>360</v>
      </c>
      <c r="N334" s="29" t="s">
        <v>291</v>
      </c>
      <c r="O334" s="29" t="s">
        <v>272</v>
      </c>
      <c r="P334" s="29" t="s">
        <v>361</v>
      </c>
      <c r="Q334" s="29" t="s">
        <v>273</v>
      </c>
    </row>
    <row r="335" spans="1:17" s="29" customFormat="1">
      <c r="A335" s="160">
        <v>2.3833799097222219E-2</v>
      </c>
      <c r="B335" s="29" t="s">
        <v>116</v>
      </c>
      <c r="C335" s="29" t="s">
        <v>372</v>
      </c>
      <c r="E335" s="29" t="s">
        <v>59</v>
      </c>
      <c r="G335" s="29" t="s">
        <v>204</v>
      </c>
      <c r="I335" s="161">
        <v>46238.380995370368</v>
      </c>
      <c r="J335" s="29" t="s">
        <v>359</v>
      </c>
      <c r="K335" s="29" t="s">
        <v>274</v>
      </c>
      <c r="L335" s="162">
        <v>46173</v>
      </c>
      <c r="M335" s="29" t="s">
        <v>360</v>
      </c>
      <c r="N335" s="29" t="s">
        <v>291</v>
      </c>
      <c r="O335" s="29" t="s">
        <v>272</v>
      </c>
      <c r="P335" s="29" t="s">
        <v>361</v>
      </c>
      <c r="Q335" s="29" t="s">
        <v>273</v>
      </c>
    </row>
    <row r="336" spans="1:17" s="29" customFormat="1">
      <c r="A336" s="160">
        <v>2.3785874733796297E-2</v>
      </c>
      <c r="B336" s="29" t="s">
        <v>116</v>
      </c>
      <c r="C336" s="29" t="s">
        <v>364</v>
      </c>
      <c r="E336" s="29" t="s">
        <v>127</v>
      </c>
      <c r="G336" s="29" t="s">
        <v>204</v>
      </c>
      <c r="I336" s="161">
        <v>46238.380729166667</v>
      </c>
      <c r="J336" s="29" t="s">
        <v>359</v>
      </c>
      <c r="K336" s="29" t="s">
        <v>274</v>
      </c>
      <c r="L336" s="162">
        <v>46173</v>
      </c>
      <c r="M336" s="29" t="s">
        <v>360</v>
      </c>
      <c r="N336" s="29" t="s">
        <v>291</v>
      </c>
      <c r="O336" s="29" t="s">
        <v>272</v>
      </c>
      <c r="P336" s="29" t="s">
        <v>361</v>
      </c>
      <c r="Q336" s="29" t="s">
        <v>273</v>
      </c>
    </row>
    <row r="337" spans="1:17" s="29" customFormat="1">
      <c r="A337" s="160">
        <v>2.3725271134259259E-2</v>
      </c>
      <c r="B337" s="29" t="s">
        <v>116</v>
      </c>
      <c r="C337" s="29" t="s">
        <v>376</v>
      </c>
      <c r="E337" s="29" t="s">
        <v>127</v>
      </c>
      <c r="G337" s="29" t="s">
        <v>204</v>
      </c>
      <c r="I337" s="161">
        <v>46238.380312499998</v>
      </c>
      <c r="J337" s="29" t="s">
        <v>359</v>
      </c>
      <c r="K337" s="29" t="s">
        <v>274</v>
      </c>
      <c r="L337" s="162">
        <v>46173</v>
      </c>
      <c r="M337" s="29" t="s">
        <v>360</v>
      </c>
      <c r="N337" s="29" t="s">
        <v>291</v>
      </c>
      <c r="O337" s="29" t="s">
        <v>272</v>
      </c>
      <c r="P337" s="29" t="s">
        <v>361</v>
      </c>
      <c r="Q337" s="29" t="s">
        <v>273</v>
      </c>
    </row>
    <row r="338" spans="1:17" s="29" customFormat="1">
      <c r="A338" s="160">
        <v>2.3683575370370372E-2</v>
      </c>
      <c r="B338" s="29" t="s">
        <v>116</v>
      </c>
      <c r="C338" s="29" t="s">
        <v>366</v>
      </c>
      <c r="E338" s="29" t="s">
        <v>127</v>
      </c>
      <c r="G338" s="29" t="s">
        <v>204</v>
      </c>
      <c r="I338" s="161">
        <v>46238.38009259259</v>
      </c>
      <c r="J338" s="29" t="s">
        <v>359</v>
      </c>
      <c r="K338" s="29" t="s">
        <v>274</v>
      </c>
      <c r="L338" s="162">
        <v>46173</v>
      </c>
      <c r="M338" s="29" t="s">
        <v>360</v>
      </c>
      <c r="N338" s="29" t="s">
        <v>291</v>
      </c>
      <c r="O338" s="29" t="s">
        <v>272</v>
      </c>
      <c r="P338" s="29" t="s">
        <v>361</v>
      </c>
      <c r="Q338" s="29" t="s">
        <v>273</v>
      </c>
    </row>
    <row r="339" spans="1:17" s="29" customFormat="1">
      <c r="A339" s="160">
        <v>2.3682636122685185E-2</v>
      </c>
      <c r="B339" s="29" t="s">
        <v>116</v>
      </c>
      <c r="E339" s="29" t="s">
        <v>228</v>
      </c>
      <c r="G339" s="29" t="s">
        <v>204</v>
      </c>
      <c r="I339" s="161">
        <v>46238.379976851851</v>
      </c>
      <c r="J339" s="29" t="s">
        <v>359</v>
      </c>
      <c r="K339" s="29" t="s">
        <v>274</v>
      </c>
      <c r="L339" s="162">
        <v>46173</v>
      </c>
      <c r="M339" s="29" t="s">
        <v>360</v>
      </c>
      <c r="N339" s="29" t="s">
        <v>291</v>
      </c>
      <c r="O339" s="29" t="s">
        <v>272</v>
      </c>
      <c r="P339" s="29" t="s">
        <v>361</v>
      </c>
      <c r="Q339" s="29" t="s">
        <v>273</v>
      </c>
    </row>
    <row r="340" spans="1:17" s="29" customFormat="1">
      <c r="A340" s="160">
        <v>2.3639119606481483E-2</v>
      </c>
      <c r="B340" s="29" t="s">
        <v>116</v>
      </c>
      <c r="E340" s="29" t="s">
        <v>224</v>
      </c>
      <c r="G340" s="29" t="s">
        <v>204</v>
      </c>
      <c r="I340" s="161">
        <v>46238.379942129628</v>
      </c>
      <c r="J340" s="29" t="s">
        <v>359</v>
      </c>
      <c r="K340" s="29" t="s">
        <v>274</v>
      </c>
      <c r="L340" s="162">
        <v>46173</v>
      </c>
      <c r="M340" s="29" t="s">
        <v>360</v>
      </c>
      <c r="N340" s="29" t="s">
        <v>291</v>
      </c>
      <c r="O340" s="29" t="s">
        <v>272</v>
      </c>
      <c r="P340" s="29" t="s">
        <v>361</v>
      </c>
      <c r="Q340" s="29" t="s">
        <v>273</v>
      </c>
    </row>
    <row r="341" spans="1:17" s="29" customFormat="1">
      <c r="A341" s="160">
        <v>2.3572573113425928E-2</v>
      </c>
      <c r="B341" s="29" t="s">
        <v>116</v>
      </c>
      <c r="C341" s="29" t="s">
        <v>367</v>
      </c>
      <c r="E341" s="29" t="s">
        <v>127</v>
      </c>
      <c r="G341" s="29" t="s">
        <v>204</v>
      </c>
      <c r="I341" s="161">
        <v>46238.379849537036</v>
      </c>
      <c r="J341" s="29" t="s">
        <v>359</v>
      </c>
      <c r="K341" s="29" t="s">
        <v>274</v>
      </c>
      <c r="L341" s="162">
        <v>46173</v>
      </c>
      <c r="M341" s="29" t="s">
        <v>360</v>
      </c>
      <c r="N341" s="29" t="s">
        <v>291</v>
      </c>
      <c r="O341" s="29" t="s">
        <v>272</v>
      </c>
      <c r="P341" s="29" t="s">
        <v>361</v>
      </c>
      <c r="Q341" s="29" t="s">
        <v>273</v>
      </c>
    </row>
    <row r="342" spans="1:17" s="29" customFormat="1">
      <c r="A342" s="160">
        <v>2.3480336863425925E-2</v>
      </c>
      <c r="B342" s="29" t="s">
        <v>116</v>
      </c>
      <c r="C342" s="29" t="s">
        <v>367</v>
      </c>
      <c r="E342" s="29" t="s">
        <v>58</v>
      </c>
      <c r="G342" s="29" t="s">
        <v>204</v>
      </c>
      <c r="I342" s="161">
        <v>46238.379756944443</v>
      </c>
      <c r="J342" s="29" t="s">
        <v>359</v>
      </c>
      <c r="K342" s="29" t="s">
        <v>274</v>
      </c>
      <c r="L342" s="162">
        <v>46173</v>
      </c>
      <c r="M342" s="29" t="s">
        <v>360</v>
      </c>
      <c r="N342" s="29" t="s">
        <v>291</v>
      </c>
      <c r="O342" s="29" t="s">
        <v>272</v>
      </c>
      <c r="P342" s="29" t="s">
        <v>361</v>
      </c>
      <c r="Q342" s="29" t="s">
        <v>273</v>
      </c>
    </row>
    <row r="343" spans="1:17" s="29" customFormat="1">
      <c r="A343" s="160">
        <v>2.339469917824074E-2</v>
      </c>
      <c r="B343" s="29" t="s">
        <v>116</v>
      </c>
      <c r="C343" s="29" t="s">
        <v>363</v>
      </c>
      <c r="E343" s="29" t="s">
        <v>127</v>
      </c>
      <c r="G343" s="29" t="s">
        <v>204</v>
      </c>
      <c r="I343" s="161">
        <v>46238.378125000003</v>
      </c>
      <c r="J343" s="29" t="s">
        <v>359</v>
      </c>
      <c r="K343" s="29" t="s">
        <v>274</v>
      </c>
      <c r="L343" s="162">
        <v>46173</v>
      </c>
      <c r="M343" s="29" t="s">
        <v>360</v>
      </c>
      <c r="N343" s="29" t="s">
        <v>291</v>
      </c>
      <c r="O343" s="29" t="s">
        <v>272</v>
      </c>
      <c r="P343" s="29" t="s">
        <v>361</v>
      </c>
      <c r="Q343" s="29" t="s">
        <v>273</v>
      </c>
    </row>
    <row r="344" spans="1:17" s="29" customFormat="1">
      <c r="A344" s="160">
        <v>2.3347993703703704E-2</v>
      </c>
      <c r="B344" s="29" t="s">
        <v>116</v>
      </c>
      <c r="E344" s="29" t="s">
        <v>132</v>
      </c>
      <c r="G344" s="29" t="s">
        <v>204</v>
      </c>
      <c r="I344" s="161">
        <v>46238.377939814818</v>
      </c>
      <c r="J344" s="29" t="s">
        <v>359</v>
      </c>
      <c r="K344" s="29" t="s">
        <v>274</v>
      </c>
      <c r="L344" s="162">
        <v>46173</v>
      </c>
      <c r="M344" s="29" t="s">
        <v>360</v>
      </c>
      <c r="N344" s="29" t="s">
        <v>291</v>
      </c>
      <c r="O344" s="29" t="s">
        <v>272</v>
      </c>
      <c r="P344" s="29" t="s">
        <v>361</v>
      </c>
      <c r="Q344" s="29" t="s">
        <v>273</v>
      </c>
    </row>
    <row r="345" spans="1:17" s="29" customFormat="1">
      <c r="A345" s="160">
        <v>2.2994413680555555E-2</v>
      </c>
      <c r="B345" s="29" t="s">
        <v>116</v>
      </c>
      <c r="E345" s="29" t="s">
        <v>123</v>
      </c>
      <c r="G345" s="29" t="s">
        <v>204</v>
      </c>
      <c r="I345" s="161">
        <v>46238.377592592595</v>
      </c>
      <c r="J345" s="29" t="s">
        <v>359</v>
      </c>
      <c r="K345" s="29" t="s">
        <v>274</v>
      </c>
      <c r="L345" s="162">
        <v>46173</v>
      </c>
      <c r="M345" s="29" t="s">
        <v>360</v>
      </c>
      <c r="N345" s="29" t="s">
        <v>291</v>
      </c>
      <c r="O345" s="29" t="s">
        <v>272</v>
      </c>
      <c r="P345" s="29" t="s">
        <v>361</v>
      </c>
      <c r="Q345" s="29" t="s">
        <v>273</v>
      </c>
    </row>
    <row r="346" spans="1:17" s="29" customFormat="1">
      <c r="A346" s="160">
        <v>2.2639595497685183E-2</v>
      </c>
      <c r="B346" s="29" t="s">
        <v>116</v>
      </c>
      <c r="C346" s="29" t="s">
        <v>83</v>
      </c>
      <c r="D346" s="29" t="s">
        <v>83</v>
      </c>
      <c r="E346" s="29" t="s">
        <v>254</v>
      </c>
      <c r="F346" s="29" t="s">
        <v>247</v>
      </c>
      <c r="G346" s="29" t="s">
        <v>117</v>
      </c>
      <c r="I346" s="161">
        <v>46238.377581018518</v>
      </c>
      <c r="J346" s="29" t="s">
        <v>359</v>
      </c>
      <c r="K346" s="29" t="s">
        <v>274</v>
      </c>
      <c r="L346" s="162">
        <v>46173</v>
      </c>
      <c r="M346" s="29" t="s">
        <v>360</v>
      </c>
      <c r="N346" s="29" t="s">
        <v>291</v>
      </c>
      <c r="O346" s="29" t="s">
        <v>272</v>
      </c>
      <c r="P346" s="29" t="s">
        <v>361</v>
      </c>
      <c r="Q346" s="29" t="s">
        <v>273</v>
      </c>
    </row>
    <row r="347" spans="1:17" s="29" customFormat="1">
      <c r="A347" s="160">
        <v>2.2581727835648147E-2</v>
      </c>
      <c r="B347" s="29" t="s">
        <v>116</v>
      </c>
      <c r="C347" s="29" t="s">
        <v>83</v>
      </c>
      <c r="E347" s="29" t="s">
        <v>127</v>
      </c>
      <c r="G347" s="29" t="s">
        <v>117</v>
      </c>
      <c r="I347" s="161">
        <v>46238.376863425925</v>
      </c>
      <c r="J347" s="29" t="s">
        <v>359</v>
      </c>
      <c r="K347" s="29" t="s">
        <v>274</v>
      </c>
      <c r="L347" s="162">
        <v>46173</v>
      </c>
      <c r="M347" s="29" t="s">
        <v>360</v>
      </c>
      <c r="N347" s="29" t="s">
        <v>291</v>
      </c>
      <c r="O347" s="29" t="s">
        <v>272</v>
      </c>
      <c r="P347" s="29" t="s">
        <v>361</v>
      </c>
      <c r="Q347" s="29" t="s">
        <v>273</v>
      </c>
    </row>
    <row r="348" spans="1:17" s="29" customFormat="1">
      <c r="A348" s="160">
        <v>2.2555346018518517E-2</v>
      </c>
      <c r="B348" s="29" t="s">
        <v>116</v>
      </c>
      <c r="C348" s="29" t="s">
        <v>83</v>
      </c>
      <c r="E348" s="29" t="s">
        <v>59</v>
      </c>
      <c r="G348" s="29" t="s">
        <v>117</v>
      </c>
      <c r="I348" s="161">
        <v>46238.376805555556</v>
      </c>
      <c r="J348" s="29" t="s">
        <v>359</v>
      </c>
      <c r="K348" s="29" t="s">
        <v>274</v>
      </c>
      <c r="L348" s="162">
        <v>46173</v>
      </c>
      <c r="M348" s="29" t="s">
        <v>360</v>
      </c>
      <c r="N348" s="29" t="s">
        <v>291</v>
      </c>
      <c r="O348" s="29" t="s">
        <v>272</v>
      </c>
      <c r="P348" s="29" t="s">
        <v>361</v>
      </c>
      <c r="Q348" s="29" t="s">
        <v>273</v>
      </c>
    </row>
    <row r="349" spans="1:17" s="29" customFormat="1">
      <c r="A349" s="160">
        <v>2.2473538761574076E-2</v>
      </c>
      <c r="B349" s="29" t="s">
        <v>116</v>
      </c>
      <c r="C349" s="29" t="s">
        <v>83</v>
      </c>
      <c r="E349" s="29" t="s">
        <v>127</v>
      </c>
      <c r="G349" s="29" t="s">
        <v>117</v>
      </c>
      <c r="I349" s="161">
        <v>46238.376770833333</v>
      </c>
      <c r="J349" s="29" t="s">
        <v>359</v>
      </c>
      <c r="K349" s="29" t="s">
        <v>274</v>
      </c>
      <c r="L349" s="162">
        <v>46173</v>
      </c>
      <c r="M349" s="29" t="s">
        <v>360</v>
      </c>
      <c r="N349" s="29" t="s">
        <v>291</v>
      </c>
      <c r="O349" s="29" t="s">
        <v>272</v>
      </c>
      <c r="P349" s="29" t="s">
        <v>361</v>
      </c>
      <c r="Q349" s="29" t="s">
        <v>273</v>
      </c>
    </row>
    <row r="350" spans="1:17" s="29" customFormat="1">
      <c r="A350" s="160">
        <v>2.2448960312500002E-2</v>
      </c>
      <c r="B350" s="29" t="s">
        <v>116</v>
      </c>
      <c r="C350" s="29" t="s">
        <v>83</v>
      </c>
      <c r="E350" s="29" t="s">
        <v>59</v>
      </c>
      <c r="G350" s="29" t="s">
        <v>117</v>
      </c>
      <c r="I350" s="161">
        <v>46238.376631944448</v>
      </c>
      <c r="J350" s="29" t="s">
        <v>359</v>
      </c>
      <c r="K350" s="29" t="s">
        <v>274</v>
      </c>
      <c r="L350" s="162">
        <v>46173</v>
      </c>
      <c r="M350" s="29" t="s">
        <v>360</v>
      </c>
      <c r="N350" s="29" t="s">
        <v>291</v>
      </c>
      <c r="O350" s="29" t="s">
        <v>272</v>
      </c>
      <c r="P350" s="29" t="s">
        <v>361</v>
      </c>
      <c r="Q350" s="29" t="s">
        <v>273</v>
      </c>
    </row>
    <row r="351" spans="1:17" s="29" customFormat="1">
      <c r="A351" s="160">
        <v>2.2324046932870371E-2</v>
      </c>
      <c r="B351" s="29" t="s">
        <v>116</v>
      </c>
      <c r="C351" s="29" t="s">
        <v>83</v>
      </c>
      <c r="E351" s="29" t="s">
        <v>127</v>
      </c>
      <c r="G351" s="29" t="s">
        <v>117</v>
      </c>
      <c r="I351" s="161">
        <v>46238.376608796294</v>
      </c>
      <c r="J351" s="29" t="s">
        <v>359</v>
      </c>
      <c r="K351" s="29" t="s">
        <v>274</v>
      </c>
      <c r="L351" s="162">
        <v>46173</v>
      </c>
      <c r="M351" s="29" t="s">
        <v>360</v>
      </c>
      <c r="N351" s="29" t="s">
        <v>291</v>
      </c>
      <c r="O351" s="29" t="s">
        <v>272</v>
      </c>
      <c r="P351" s="29" t="s">
        <v>361</v>
      </c>
      <c r="Q351" s="29" t="s">
        <v>273</v>
      </c>
    </row>
    <row r="352" spans="1:17" s="29" customFormat="1">
      <c r="A352" s="160">
        <v>2.2290224039351849E-2</v>
      </c>
      <c r="B352" s="29" t="s">
        <v>116</v>
      </c>
      <c r="C352" s="29" t="s">
        <v>83</v>
      </c>
      <c r="E352" s="29" t="s">
        <v>59</v>
      </c>
      <c r="G352" s="29" t="s">
        <v>117</v>
      </c>
      <c r="I352" s="161">
        <v>46238.376423611109</v>
      </c>
      <c r="J352" s="29" t="s">
        <v>359</v>
      </c>
      <c r="K352" s="29" t="s">
        <v>274</v>
      </c>
      <c r="L352" s="162">
        <v>46173</v>
      </c>
      <c r="M352" s="29" t="s">
        <v>360</v>
      </c>
      <c r="N352" s="29" t="s">
        <v>291</v>
      </c>
      <c r="O352" s="29" t="s">
        <v>272</v>
      </c>
      <c r="P352" s="29" t="s">
        <v>361</v>
      </c>
      <c r="Q352" s="29" t="s">
        <v>273</v>
      </c>
    </row>
    <row r="353" spans="1:17" s="29" customFormat="1">
      <c r="A353" s="160">
        <v>2.2237156493055556E-2</v>
      </c>
      <c r="B353" s="29" t="s">
        <v>116</v>
      </c>
      <c r="E353" s="29" t="s">
        <v>228</v>
      </c>
      <c r="G353" s="29" t="s">
        <v>117</v>
      </c>
      <c r="I353" s="161">
        <v>46238.376284722224</v>
      </c>
      <c r="J353" s="29" t="s">
        <v>359</v>
      </c>
      <c r="K353" s="29" t="s">
        <v>274</v>
      </c>
      <c r="L353" s="162">
        <v>46173</v>
      </c>
      <c r="M353" s="29" t="s">
        <v>360</v>
      </c>
      <c r="N353" s="29" t="s">
        <v>291</v>
      </c>
      <c r="O353" s="29" t="s">
        <v>272</v>
      </c>
      <c r="P353" s="29" t="s">
        <v>361</v>
      </c>
      <c r="Q353" s="29" t="s">
        <v>273</v>
      </c>
    </row>
    <row r="354" spans="1:17" s="29" customFormat="1">
      <c r="A354" s="160">
        <v>2.2184575879629631E-2</v>
      </c>
      <c r="B354" s="29" t="s">
        <v>116</v>
      </c>
      <c r="E354" s="29" t="s">
        <v>224</v>
      </c>
      <c r="G354" s="29" t="s">
        <v>204</v>
      </c>
      <c r="I354" s="161">
        <v>46238.376238425924</v>
      </c>
      <c r="J354" s="29" t="s">
        <v>359</v>
      </c>
      <c r="K354" s="29" t="s">
        <v>274</v>
      </c>
      <c r="L354" s="162">
        <v>46173</v>
      </c>
      <c r="M354" s="29" t="s">
        <v>360</v>
      </c>
      <c r="N354" s="29" t="s">
        <v>291</v>
      </c>
      <c r="O354" s="29" t="s">
        <v>272</v>
      </c>
      <c r="P354" s="29" t="s">
        <v>361</v>
      </c>
      <c r="Q354" s="29" t="s">
        <v>273</v>
      </c>
    </row>
    <row r="355" spans="1:17" s="29" customFormat="1">
      <c r="A355" s="160">
        <v>2.204491074074074E-2</v>
      </c>
      <c r="C355" s="29" t="s">
        <v>369</v>
      </c>
      <c r="E355" s="29" t="s">
        <v>127</v>
      </c>
      <c r="G355" s="29" t="s">
        <v>204</v>
      </c>
      <c r="I355" s="161">
        <v>46237.819895833331</v>
      </c>
      <c r="J355" s="29" t="s">
        <v>359</v>
      </c>
      <c r="K355" s="29" t="s">
        <v>274</v>
      </c>
      <c r="L355" s="162">
        <v>46173</v>
      </c>
      <c r="M355" s="29" t="s">
        <v>360</v>
      </c>
      <c r="N355" s="29" t="s">
        <v>291</v>
      </c>
      <c r="O355" s="29" t="s">
        <v>272</v>
      </c>
      <c r="P355" s="29" t="s">
        <v>361</v>
      </c>
      <c r="Q355" s="29" t="s">
        <v>273</v>
      </c>
    </row>
    <row r="356" spans="1:17" s="29" customFormat="1">
      <c r="A356" s="160">
        <v>2.2038380312499998E-2</v>
      </c>
      <c r="C356" s="29" t="s">
        <v>367</v>
      </c>
      <c r="E356" s="29" t="s">
        <v>59</v>
      </c>
      <c r="G356" s="29" t="s">
        <v>204</v>
      </c>
      <c r="I356" s="161">
        <v>46237.818020833336</v>
      </c>
      <c r="J356" s="29" t="s">
        <v>359</v>
      </c>
      <c r="K356" s="29" t="s">
        <v>274</v>
      </c>
      <c r="L356" s="162">
        <v>46173</v>
      </c>
      <c r="M356" s="29" t="s">
        <v>360</v>
      </c>
      <c r="N356" s="29" t="s">
        <v>291</v>
      </c>
      <c r="O356" s="29" t="s">
        <v>272</v>
      </c>
      <c r="P356" s="29" t="s">
        <v>361</v>
      </c>
      <c r="Q356" s="29" t="s">
        <v>273</v>
      </c>
    </row>
    <row r="357" spans="1:17" s="29" customFormat="1">
      <c r="A357" s="160">
        <v>2.1899945856481483E-2</v>
      </c>
      <c r="C357" s="29" t="s">
        <v>362</v>
      </c>
      <c r="E357" s="29" t="s">
        <v>127</v>
      </c>
      <c r="G357" s="29" t="s">
        <v>204</v>
      </c>
      <c r="I357" s="161">
        <v>46237.81759259259</v>
      </c>
      <c r="J357" s="29" t="s">
        <v>359</v>
      </c>
      <c r="K357" s="29" t="s">
        <v>274</v>
      </c>
      <c r="L357" s="162">
        <v>46173</v>
      </c>
      <c r="M357" s="29" t="s">
        <v>360</v>
      </c>
      <c r="N357" s="29" t="s">
        <v>291</v>
      </c>
      <c r="O357" s="29" t="s">
        <v>272</v>
      </c>
      <c r="P357" s="29" t="s">
        <v>361</v>
      </c>
      <c r="Q357" s="29" t="s">
        <v>273</v>
      </c>
    </row>
    <row r="358" spans="1:17" s="29" customFormat="1">
      <c r="A358" s="160">
        <v>2.1755995358796295E-2</v>
      </c>
      <c r="C358" s="29" t="s">
        <v>370</v>
      </c>
      <c r="E358" s="29" t="s">
        <v>127</v>
      </c>
      <c r="G358" s="29" t="s">
        <v>204</v>
      </c>
      <c r="I358" s="161">
        <v>46237.817303240743</v>
      </c>
      <c r="J358" s="29" t="s">
        <v>359</v>
      </c>
      <c r="K358" s="29" t="s">
        <v>274</v>
      </c>
      <c r="L358" s="162">
        <v>46173</v>
      </c>
      <c r="M358" s="29" t="s">
        <v>360</v>
      </c>
      <c r="N358" s="29" t="s">
        <v>291</v>
      </c>
      <c r="O358" s="29" t="s">
        <v>272</v>
      </c>
      <c r="P358" s="29" t="s">
        <v>361</v>
      </c>
      <c r="Q358" s="29" t="s">
        <v>273</v>
      </c>
    </row>
    <row r="359" spans="1:17" s="29" customFormat="1">
      <c r="A359" s="160">
        <v>2.1738491782407408E-2</v>
      </c>
      <c r="E359" s="29" t="s">
        <v>228</v>
      </c>
      <c r="G359" s="29" t="s">
        <v>204</v>
      </c>
      <c r="I359" s="161">
        <v>46237.817164351851</v>
      </c>
      <c r="J359" s="29" t="s">
        <v>359</v>
      </c>
      <c r="K359" s="29" t="s">
        <v>274</v>
      </c>
      <c r="L359" s="162">
        <v>46173</v>
      </c>
      <c r="M359" s="29" t="s">
        <v>360</v>
      </c>
      <c r="N359" s="29" t="s">
        <v>291</v>
      </c>
      <c r="O359" s="29" t="s">
        <v>272</v>
      </c>
      <c r="P359" s="29" t="s">
        <v>361</v>
      </c>
      <c r="Q359" s="29" t="s">
        <v>273</v>
      </c>
    </row>
    <row r="360" spans="1:17" s="29" customFormat="1">
      <c r="A360" s="160">
        <v>2.1617428020833333E-2</v>
      </c>
      <c r="E360" s="29" t="s">
        <v>119</v>
      </c>
      <c r="G360" s="29" t="s">
        <v>117</v>
      </c>
      <c r="I360" s="161">
        <v>46237.81689814815</v>
      </c>
      <c r="J360" s="29" t="s">
        <v>359</v>
      </c>
      <c r="K360" s="29" t="s">
        <v>274</v>
      </c>
      <c r="L360" s="162">
        <v>46173</v>
      </c>
      <c r="M360" s="29" t="s">
        <v>360</v>
      </c>
      <c r="N360" s="29" t="s">
        <v>291</v>
      </c>
      <c r="O360" s="29" t="s">
        <v>272</v>
      </c>
      <c r="P360" s="29" t="s">
        <v>361</v>
      </c>
      <c r="Q360" s="29" t="s">
        <v>273</v>
      </c>
    </row>
    <row r="361" spans="1:17" s="29" customFormat="1">
      <c r="A361" s="160">
        <v>2.0559822881944446E-2</v>
      </c>
      <c r="E361" s="29" t="s">
        <v>122</v>
      </c>
      <c r="G361" s="29" t="s">
        <v>204</v>
      </c>
      <c r="I361" s="161">
        <v>46237.815983796296</v>
      </c>
      <c r="J361" s="29" t="s">
        <v>359</v>
      </c>
      <c r="K361" s="29" t="s">
        <v>274</v>
      </c>
      <c r="L361" s="162">
        <v>46173</v>
      </c>
      <c r="M361" s="29" t="s">
        <v>360</v>
      </c>
      <c r="N361" s="29" t="s">
        <v>291</v>
      </c>
      <c r="O361" s="29" t="s">
        <v>272</v>
      </c>
      <c r="P361" s="29" t="s">
        <v>361</v>
      </c>
      <c r="Q361" s="29" t="s">
        <v>273</v>
      </c>
    </row>
    <row r="362" spans="1:17" s="29" customFormat="1">
      <c r="A362" s="160">
        <v>2.046665184027778E-2</v>
      </c>
      <c r="C362" s="29" t="s">
        <v>363</v>
      </c>
      <c r="E362" s="29" t="s">
        <v>59</v>
      </c>
      <c r="G362" s="29" t="s">
        <v>204</v>
      </c>
      <c r="I362" s="161">
        <v>46237.815925925926</v>
      </c>
      <c r="J362" s="29" t="s">
        <v>359</v>
      </c>
      <c r="K362" s="29" t="s">
        <v>274</v>
      </c>
      <c r="L362" s="162">
        <v>46173</v>
      </c>
      <c r="M362" s="29" t="s">
        <v>360</v>
      </c>
      <c r="N362" s="29" t="s">
        <v>291</v>
      </c>
      <c r="O362" s="29" t="s">
        <v>272</v>
      </c>
      <c r="P362" s="29" t="s">
        <v>361</v>
      </c>
      <c r="Q362" s="29" t="s">
        <v>273</v>
      </c>
    </row>
    <row r="363" spans="1:17" s="29" customFormat="1">
      <c r="A363" s="160">
        <v>2.0443386041666668E-2</v>
      </c>
      <c r="C363" s="29" t="s">
        <v>370</v>
      </c>
      <c r="E363" s="29" t="s">
        <v>127</v>
      </c>
      <c r="G363" s="29" t="s">
        <v>204</v>
      </c>
      <c r="I363" s="161">
        <v>46237.813645833332</v>
      </c>
      <c r="J363" s="29" t="s">
        <v>359</v>
      </c>
      <c r="K363" s="29" t="s">
        <v>274</v>
      </c>
      <c r="L363" s="162">
        <v>46173</v>
      </c>
      <c r="M363" s="29" t="s">
        <v>360</v>
      </c>
      <c r="N363" s="29" t="s">
        <v>291</v>
      </c>
      <c r="O363" s="29" t="s">
        <v>272</v>
      </c>
      <c r="P363" s="29" t="s">
        <v>361</v>
      </c>
      <c r="Q363" s="29" t="s">
        <v>273</v>
      </c>
    </row>
    <row r="364" spans="1:17" s="29" customFormat="1">
      <c r="A364" s="160">
        <v>2.0443386041666668E-2</v>
      </c>
      <c r="C364" s="29" t="s">
        <v>366</v>
      </c>
      <c r="E364" s="29" t="s">
        <v>127</v>
      </c>
      <c r="G364" s="29" t="s">
        <v>204</v>
      </c>
      <c r="I364" s="161">
        <v>46237.813611111109</v>
      </c>
      <c r="J364" s="29" t="s">
        <v>359</v>
      </c>
      <c r="K364" s="29" t="s">
        <v>274</v>
      </c>
      <c r="L364" s="162">
        <v>46173</v>
      </c>
      <c r="M364" s="29" t="s">
        <v>360</v>
      </c>
      <c r="N364" s="29" t="s">
        <v>291</v>
      </c>
      <c r="O364" s="29" t="s">
        <v>272</v>
      </c>
      <c r="P364" s="29" t="s">
        <v>361</v>
      </c>
      <c r="Q364" s="29" t="s">
        <v>273</v>
      </c>
    </row>
    <row r="365" spans="1:17" s="29" customFormat="1">
      <c r="A365" s="160">
        <v>2.0326797893518517E-2</v>
      </c>
      <c r="C365" s="29" t="s">
        <v>367</v>
      </c>
      <c r="E365" s="29" t="s">
        <v>58</v>
      </c>
      <c r="G365" s="29" t="s">
        <v>204</v>
      </c>
      <c r="I365" s="161">
        <v>46237.789502314816</v>
      </c>
      <c r="J365" s="29" t="s">
        <v>359</v>
      </c>
      <c r="K365" s="29" t="s">
        <v>274</v>
      </c>
      <c r="L365" s="162">
        <v>46173</v>
      </c>
      <c r="M365" s="29" t="s">
        <v>360</v>
      </c>
      <c r="N365" s="29" t="s">
        <v>291</v>
      </c>
      <c r="O365" s="29" t="s">
        <v>272</v>
      </c>
      <c r="P365" s="29" t="s">
        <v>361</v>
      </c>
      <c r="Q365" s="29" t="s">
        <v>273</v>
      </c>
    </row>
    <row r="366" spans="1:17" s="29" customFormat="1">
      <c r="A366" s="160">
        <v>2.0292497870370369E-2</v>
      </c>
      <c r="C366" s="29" t="s">
        <v>376</v>
      </c>
      <c r="E366" s="29" t="s">
        <v>127</v>
      </c>
      <c r="G366" s="29" t="s">
        <v>204</v>
      </c>
      <c r="I366" s="161">
        <v>46237.789236111108</v>
      </c>
      <c r="J366" s="29" t="s">
        <v>359</v>
      </c>
      <c r="K366" s="29" t="s">
        <v>274</v>
      </c>
      <c r="L366" s="162">
        <v>46173</v>
      </c>
      <c r="M366" s="29" t="s">
        <v>360</v>
      </c>
      <c r="N366" s="29" t="s">
        <v>291</v>
      </c>
      <c r="O366" s="29" t="s">
        <v>272</v>
      </c>
      <c r="P366" s="29" t="s">
        <v>361</v>
      </c>
      <c r="Q366" s="29" t="s">
        <v>273</v>
      </c>
    </row>
    <row r="367" spans="1:17" s="29" customFormat="1">
      <c r="A367" s="160">
        <v>2.0259089293981482E-2</v>
      </c>
      <c r="C367" s="29" t="s">
        <v>374</v>
      </c>
      <c r="E367" s="29" t="s">
        <v>127</v>
      </c>
      <c r="G367" s="29" t="s">
        <v>204</v>
      </c>
      <c r="I367" s="161">
        <v>46237.788993055554</v>
      </c>
      <c r="J367" s="29" t="s">
        <v>359</v>
      </c>
      <c r="K367" s="29" t="s">
        <v>274</v>
      </c>
      <c r="L367" s="162">
        <v>46173</v>
      </c>
      <c r="M367" s="29" t="s">
        <v>360</v>
      </c>
      <c r="N367" s="29" t="s">
        <v>291</v>
      </c>
      <c r="O367" s="29" t="s">
        <v>272</v>
      </c>
      <c r="P367" s="29" t="s">
        <v>361</v>
      </c>
      <c r="Q367" s="29" t="s">
        <v>273</v>
      </c>
    </row>
    <row r="368" spans="1:17" s="29" customFormat="1">
      <c r="A368" s="160">
        <v>2.0145402789351851E-2</v>
      </c>
      <c r="C368" s="29" t="s">
        <v>370</v>
      </c>
      <c r="E368" s="29" t="s">
        <v>127</v>
      </c>
      <c r="G368" s="29" t="s">
        <v>204</v>
      </c>
      <c r="I368" s="161">
        <v>46237.788645833331</v>
      </c>
      <c r="J368" s="29" t="s">
        <v>359</v>
      </c>
      <c r="K368" s="29" t="s">
        <v>274</v>
      </c>
      <c r="L368" s="162">
        <v>46173</v>
      </c>
      <c r="M368" s="29" t="s">
        <v>360</v>
      </c>
      <c r="N368" s="29" t="s">
        <v>291</v>
      </c>
      <c r="O368" s="29" t="s">
        <v>272</v>
      </c>
      <c r="P368" s="29" t="s">
        <v>361</v>
      </c>
      <c r="Q368" s="29" t="s">
        <v>273</v>
      </c>
    </row>
    <row r="369" spans="1:17" s="29" customFormat="1">
      <c r="A369" s="160">
        <v>2.0061986041666667E-2</v>
      </c>
      <c r="C369" s="29" t="s">
        <v>362</v>
      </c>
      <c r="E369" s="29" t="s">
        <v>127</v>
      </c>
      <c r="G369" s="29" t="s">
        <v>204</v>
      </c>
      <c r="I369" s="161">
        <v>46237.788148148145</v>
      </c>
      <c r="J369" s="29" t="s">
        <v>359</v>
      </c>
      <c r="K369" s="29" t="s">
        <v>274</v>
      </c>
      <c r="L369" s="162">
        <v>46173</v>
      </c>
      <c r="M369" s="29" t="s">
        <v>360</v>
      </c>
      <c r="N369" s="29" t="s">
        <v>291</v>
      </c>
      <c r="O369" s="29" t="s">
        <v>272</v>
      </c>
      <c r="P369" s="29" t="s">
        <v>361</v>
      </c>
      <c r="Q369" s="29" t="s">
        <v>273</v>
      </c>
    </row>
    <row r="370" spans="1:17" s="29" customFormat="1">
      <c r="A370" s="160">
        <v>2.0050258055555555E-2</v>
      </c>
      <c r="C370" s="29" t="s">
        <v>371</v>
      </c>
      <c r="E370" s="29" t="s">
        <v>59</v>
      </c>
      <c r="G370" s="29" t="s">
        <v>204</v>
      </c>
      <c r="I370" s="161">
        <v>46237.787997685184</v>
      </c>
      <c r="J370" s="29" t="s">
        <v>359</v>
      </c>
      <c r="K370" s="29" t="s">
        <v>274</v>
      </c>
      <c r="L370" s="162">
        <v>46173</v>
      </c>
      <c r="M370" s="29" t="s">
        <v>360</v>
      </c>
      <c r="N370" s="29" t="s">
        <v>291</v>
      </c>
      <c r="O370" s="29" t="s">
        <v>272</v>
      </c>
      <c r="P370" s="29" t="s">
        <v>361</v>
      </c>
      <c r="Q370" s="29" t="s">
        <v>273</v>
      </c>
    </row>
    <row r="371" spans="1:17" s="29" customFormat="1">
      <c r="A371" s="160">
        <v>1.9992867511574076E-2</v>
      </c>
      <c r="C371" s="29" t="s">
        <v>370</v>
      </c>
      <c r="E371" s="29" t="s">
        <v>58</v>
      </c>
      <c r="G371" s="29" t="s">
        <v>204</v>
      </c>
      <c r="I371" s="161">
        <v>46237.787685185183</v>
      </c>
      <c r="J371" s="29" t="s">
        <v>359</v>
      </c>
      <c r="K371" s="29" t="s">
        <v>274</v>
      </c>
      <c r="L371" s="162">
        <v>46173</v>
      </c>
      <c r="M371" s="29" t="s">
        <v>360</v>
      </c>
      <c r="N371" s="29" t="s">
        <v>291</v>
      </c>
      <c r="O371" s="29" t="s">
        <v>272</v>
      </c>
      <c r="P371" s="29" t="s">
        <v>361</v>
      </c>
      <c r="Q371" s="29" t="s">
        <v>273</v>
      </c>
    </row>
    <row r="372" spans="1:17" s="29" customFormat="1">
      <c r="A372" s="160">
        <v>1.9975522627314814E-2</v>
      </c>
      <c r="C372" s="29" t="s">
        <v>362</v>
      </c>
      <c r="E372" s="29" t="s">
        <v>59</v>
      </c>
      <c r="G372" s="29" t="s">
        <v>204</v>
      </c>
      <c r="I372" s="161">
        <v>46237.787546296298</v>
      </c>
      <c r="J372" s="29" t="s">
        <v>359</v>
      </c>
      <c r="K372" s="29" t="s">
        <v>274</v>
      </c>
      <c r="L372" s="162">
        <v>46173</v>
      </c>
      <c r="M372" s="29" t="s">
        <v>360</v>
      </c>
      <c r="N372" s="29" t="s">
        <v>291</v>
      </c>
      <c r="O372" s="29" t="s">
        <v>272</v>
      </c>
      <c r="P372" s="29" t="s">
        <v>361</v>
      </c>
      <c r="Q372" s="29" t="s">
        <v>273</v>
      </c>
    </row>
    <row r="373" spans="1:17" s="29" customFormat="1">
      <c r="A373" s="160">
        <v>1.9883395752314816E-2</v>
      </c>
      <c r="C373" s="29" t="s">
        <v>380</v>
      </c>
      <c r="E373" s="29" t="s">
        <v>127</v>
      </c>
      <c r="G373" s="29" t="s">
        <v>204</v>
      </c>
      <c r="I373" s="161">
        <v>46237.787210648145</v>
      </c>
      <c r="J373" s="29" t="s">
        <v>359</v>
      </c>
      <c r="K373" s="29" t="s">
        <v>274</v>
      </c>
      <c r="L373" s="162">
        <v>46173</v>
      </c>
      <c r="M373" s="29" t="s">
        <v>360</v>
      </c>
      <c r="N373" s="29" t="s">
        <v>291</v>
      </c>
      <c r="O373" s="29" t="s">
        <v>272</v>
      </c>
      <c r="P373" s="29" t="s">
        <v>361</v>
      </c>
      <c r="Q373" s="29" t="s">
        <v>273</v>
      </c>
    </row>
    <row r="374" spans="1:17" s="29" customFormat="1">
      <c r="A374" s="160">
        <v>1.9819729085648146E-2</v>
      </c>
      <c r="C374" s="29" t="s">
        <v>83</v>
      </c>
      <c r="E374" s="29" t="s">
        <v>127</v>
      </c>
      <c r="G374" s="29" t="s">
        <v>204</v>
      </c>
      <c r="I374" s="161">
        <v>46237.787094907406</v>
      </c>
      <c r="J374" s="29" t="s">
        <v>359</v>
      </c>
      <c r="K374" s="29" t="s">
        <v>274</v>
      </c>
      <c r="L374" s="162">
        <v>46173</v>
      </c>
      <c r="M374" s="29" t="s">
        <v>360</v>
      </c>
      <c r="N374" s="29" t="s">
        <v>291</v>
      </c>
      <c r="O374" s="29" t="s">
        <v>272</v>
      </c>
      <c r="P374" s="29" t="s">
        <v>361</v>
      </c>
      <c r="Q374" s="29" t="s">
        <v>273</v>
      </c>
    </row>
    <row r="375" spans="1:17" s="29" customFormat="1">
      <c r="A375" s="160">
        <v>1.9780772118055553E-2</v>
      </c>
      <c r="C375" s="29" t="s">
        <v>375</v>
      </c>
      <c r="E375" s="29" t="s">
        <v>127</v>
      </c>
      <c r="G375" s="29" t="s">
        <v>204</v>
      </c>
      <c r="I375" s="161">
        <v>46237.786828703705</v>
      </c>
      <c r="J375" s="29" t="s">
        <v>359</v>
      </c>
      <c r="K375" s="29" t="s">
        <v>274</v>
      </c>
      <c r="L375" s="162">
        <v>46173</v>
      </c>
      <c r="M375" s="29" t="s">
        <v>360</v>
      </c>
      <c r="N375" s="29" t="s">
        <v>291</v>
      </c>
      <c r="O375" s="29" t="s">
        <v>272</v>
      </c>
      <c r="P375" s="29" t="s">
        <v>361</v>
      </c>
      <c r="Q375" s="29" t="s">
        <v>273</v>
      </c>
    </row>
    <row r="376" spans="1:17" s="29" customFormat="1">
      <c r="A376" s="160">
        <v>1.9734655914351851E-2</v>
      </c>
      <c r="E376" s="29" t="s">
        <v>228</v>
      </c>
      <c r="G376" s="29" t="s">
        <v>204</v>
      </c>
      <c r="I376" s="161">
        <v>46237.786666666667</v>
      </c>
      <c r="J376" s="29" t="s">
        <v>359</v>
      </c>
      <c r="K376" s="29" t="s">
        <v>274</v>
      </c>
      <c r="L376" s="162">
        <v>46173</v>
      </c>
      <c r="M376" s="29" t="s">
        <v>360</v>
      </c>
      <c r="N376" s="29" t="s">
        <v>291</v>
      </c>
      <c r="O376" s="29" t="s">
        <v>272</v>
      </c>
      <c r="P376" s="29" t="s">
        <v>361</v>
      </c>
      <c r="Q376" s="29" t="s">
        <v>273</v>
      </c>
    </row>
    <row r="377" spans="1:17" s="29" customFormat="1">
      <c r="A377" s="160">
        <v>1.9670080532407406E-2</v>
      </c>
      <c r="E377" s="29" t="s">
        <v>224</v>
      </c>
      <c r="G377" s="29" t="s">
        <v>117</v>
      </c>
      <c r="I377" s="161">
        <v>46237.786608796298</v>
      </c>
      <c r="J377" s="29" t="s">
        <v>359</v>
      </c>
      <c r="K377" s="29" t="s">
        <v>274</v>
      </c>
      <c r="L377" s="162">
        <v>46173</v>
      </c>
      <c r="M377" s="29" t="s">
        <v>360</v>
      </c>
      <c r="N377" s="29" t="s">
        <v>291</v>
      </c>
      <c r="O377" s="29" t="s">
        <v>272</v>
      </c>
      <c r="P377" s="29" t="s">
        <v>361</v>
      </c>
      <c r="Q377" s="29" t="s">
        <v>273</v>
      </c>
    </row>
    <row r="378" spans="1:17" s="29" customFormat="1">
      <c r="A378" s="160">
        <v>1.9553276157407408E-2</v>
      </c>
      <c r="E378" s="29" t="s">
        <v>127</v>
      </c>
      <c r="G378" s="29" t="s">
        <v>117</v>
      </c>
      <c r="I378" s="161">
        <v>46237.786481481482</v>
      </c>
      <c r="J378" s="29" t="s">
        <v>359</v>
      </c>
      <c r="K378" s="29" t="s">
        <v>274</v>
      </c>
      <c r="L378" s="162">
        <v>46173</v>
      </c>
      <c r="M378" s="29" t="s">
        <v>360</v>
      </c>
      <c r="N378" s="29" t="s">
        <v>291</v>
      </c>
      <c r="O378" s="29" t="s">
        <v>272</v>
      </c>
      <c r="P378" s="29" t="s">
        <v>361</v>
      </c>
      <c r="Q378" s="29" t="s">
        <v>273</v>
      </c>
    </row>
    <row r="379" spans="1:17" s="29" customFormat="1">
      <c r="A379" s="160">
        <v>1.9525829166666665E-2</v>
      </c>
      <c r="E379" s="29" t="s">
        <v>226</v>
      </c>
      <c r="G379" s="29" t="s">
        <v>117</v>
      </c>
      <c r="I379" s="161">
        <v>46237.786458333336</v>
      </c>
      <c r="J379" s="29" t="s">
        <v>359</v>
      </c>
      <c r="K379" s="29" t="s">
        <v>274</v>
      </c>
      <c r="L379" s="162">
        <v>46173</v>
      </c>
      <c r="M379" s="29" t="s">
        <v>360</v>
      </c>
      <c r="N379" s="29" t="s">
        <v>291</v>
      </c>
      <c r="O379" s="29" t="s">
        <v>272</v>
      </c>
      <c r="P379" s="29" t="s">
        <v>361</v>
      </c>
      <c r="Q379" s="29" t="s">
        <v>273</v>
      </c>
    </row>
    <row r="380" spans="1:17" s="29" customFormat="1">
      <c r="A380" s="160">
        <v>1.9494860069444446E-2</v>
      </c>
      <c r="E380" s="29" t="s">
        <v>119</v>
      </c>
      <c r="G380" s="29" t="s">
        <v>204</v>
      </c>
      <c r="I380" s="161">
        <v>46237.786423611113</v>
      </c>
      <c r="J380" s="29" t="s">
        <v>359</v>
      </c>
      <c r="K380" s="29" t="s">
        <v>274</v>
      </c>
      <c r="L380" s="162">
        <v>46173</v>
      </c>
      <c r="M380" s="29" t="s">
        <v>360</v>
      </c>
      <c r="N380" s="29" t="s">
        <v>291</v>
      </c>
      <c r="O380" s="29" t="s">
        <v>272</v>
      </c>
      <c r="P380" s="29" t="s">
        <v>361</v>
      </c>
      <c r="Q380" s="29" t="s">
        <v>273</v>
      </c>
    </row>
    <row r="381" spans="1:17" s="29" customFormat="1">
      <c r="A381" s="160">
        <v>1.9159756851851853E-2</v>
      </c>
      <c r="E381" s="29" t="s">
        <v>88</v>
      </c>
      <c r="G381" s="29" t="s">
        <v>117</v>
      </c>
      <c r="I381" s="161">
        <v>46237.786087962966</v>
      </c>
      <c r="J381" s="29" t="s">
        <v>359</v>
      </c>
      <c r="K381" s="29" t="s">
        <v>274</v>
      </c>
      <c r="L381" s="162">
        <v>46173</v>
      </c>
      <c r="M381" s="29" t="s">
        <v>360</v>
      </c>
      <c r="N381" s="29" t="s">
        <v>291</v>
      </c>
      <c r="O381" s="29" t="s">
        <v>272</v>
      </c>
      <c r="P381" s="29" t="s">
        <v>361</v>
      </c>
      <c r="Q381" s="29" t="s">
        <v>273</v>
      </c>
    </row>
    <row r="382" spans="1:17" s="29" customFormat="1">
      <c r="A382" s="160">
        <v>1.911057060185185E-2</v>
      </c>
      <c r="C382" s="29" t="s">
        <v>83</v>
      </c>
      <c r="E382" s="29" t="s">
        <v>135</v>
      </c>
      <c r="G382" s="29" t="s">
        <v>117</v>
      </c>
      <c r="I382" s="161">
        <v>46237.786076388889</v>
      </c>
      <c r="J382" s="29" t="s">
        <v>359</v>
      </c>
      <c r="K382" s="29" t="s">
        <v>274</v>
      </c>
      <c r="L382" s="162">
        <v>46173</v>
      </c>
      <c r="M382" s="29" t="s">
        <v>360</v>
      </c>
      <c r="N382" s="29" t="s">
        <v>291</v>
      </c>
      <c r="O382" s="29" t="s">
        <v>272</v>
      </c>
      <c r="P382" s="29" t="s">
        <v>361</v>
      </c>
      <c r="Q382" s="29" t="s">
        <v>273</v>
      </c>
    </row>
    <row r="383" spans="1:17" s="29" customFormat="1">
      <c r="A383" s="160">
        <v>1.8266636226851853E-2</v>
      </c>
      <c r="E383" s="29" t="s">
        <v>253</v>
      </c>
      <c r="F383" s="29" t="s">
        <v>247</v>
      </c>
      <c r="G383" s="29" t="s">
        <v>117</v>
      </c>
      <c r="I383" s="161">
        <v>46237.785428240742</v>
      </c>
      <c r="J383" s="29" t="s">
        <v>359</v>
      </c>
      <c r="K383" s="29" t="s">
        <v>274</v>
      </c>
      <c r="L383" s="162">
        <v>46173</v>
      </c>
      <c r="M383" s="29" t="s">
        <v>360</v>
      </c>
      <c r="N383" s="29" t="s">
        <v>291</v>
      </c>
      <c r="O383" s="29" t="s">
        <v>272</v>
      </c>
      <c r="P383" s="29" t="s">
        <v>361</v>
      </c>
      <c r="Q383" s="29" t="s">
        <v>273</v>
      </c>
    </row>
    <row r="384" spans="1:17" s="29" customFormat="1">
      <c r="A384" s="160">
        <v>1.8168290775462961E-2</v>
      </c>
      <c r="E384" s="29" t="s">
        <v>127</v>
      </c>
      <c r="G384" s="29" t="s">
        <v>117</v>
      </c>
      <c r="I384" s="161">
        <v>46237.785046296296</v>
      </c>
      <c r="J384" s="29" t="s">
        <v>359</v>
      </c>
      <c r="K384" s="29" t="s">
        <v>274</v>
      </c>
      <c r="L384" s="162">
        <v>46173</v>
      </c>
      <c r="M384" s="29" t="s">
        <v>360</v>
      </c>
      <c r="N384" s="29" t="s">
        <v>291</v>
      </c>
      <c r="O384" s="29" t="s">
        <v>272</v>
      </c>
      <c r="P384" s="29" t="s">
        <v>361</v>
      </c>
      <c r="Q384" s="29" t="s">
        <v>273</v>
      </c>
    </row>
    <row r="385" spans="1:17" s="29" customFormat="1">
      <c r="A385" s="160">
        <v>1.8116142719907406E-2</v>
      </c>
      <c r="E385" s="29" t="s">
        <v>127</v>
      </c>
      <c r="G385" s="29" t="s">
        <v>117</v>
      </c>
      <c r="I385" s="161">
        <v>46237.784918981481</v>
      </c>
      <c r="J385" s="29" t="s">
        <v>359</v>
      </c>
      <c r="K385" s="29" t="s">
        <v>274</v>
      </c>
      <c r="L385" s="162">
        <v>46173</v>
      </c>
      <c r="M385" s="29" t="s">
        <v>360</v>
      </c>
      <c r="N385" s="29" t="s">
        <v>291</v>
      </c>
      <c r="O385" s="29" t="s">
        <v>272</v>
      </c>
      <c r="P385" s="29" t="s">
        <v>361</v>
      </c>
      <c r="Q385" s="29" t="s">
        <v>273</v>
      </c>
    </row>
    <row r="386" spans="1:17" s="29" customFormat="1">
      <c r="A386" s="160">
        <v>1.8095429502314814E-2</v>
      </c>
      <c r="E386" s="29" t="s">
        <v>127</v>
      </c>
      <c r="G386" s="29" t="s">
        <v>117</v>
      </c>
      <c r="I386" s="161">
        <v>46237.784895833334</v>
      </c>
      <c r="J386" s="29" t="s">
        <v>359</v>
      </c>
      <c r="K386" s="29" t="s">
        <v>274</v>
      </c>
      <c r="L386" s="162">
        <v>46173</v>
      </c>
      <c r="M386" s="29" t="s">
        <v>360</v>
      </c>
      <c r="N386" s="29" t="s">
        <v>291</v>
      </c>
      <c r="O386" s="29" t="s">
        <v>272</v>
      </c>
      <c r="P386" s="29" t="s">
        <v>361</v>
      </c>
      <c r="Q386" s="29" t="s">
        <v>273</v>
      </c>
    </row>
    <row r="387" spans="1:17" s="29" customFormat="1">
      <c r="A387" s="160">
        <v>1.8000124143518519E-2</v>
      </c>
      <c r="E387" s="29" t="s">
        <v>226</v>
      </c>
      <c r="G387" s="29" t="s">
        <v>117</v>
      </c>
      <c r="I387" s="161">
        <v>46237.784803240742</v>
      </c>
      <c r="J387" s="29" t="s">
        <v>359</v>
      </c>
      <c r="K387" s="29" t="s">
        <v>274</v>
      </c>
      <c r="L387" s="162">
        <v>46173</v>
      </c>
      <c r="M387" s="29" t="s">
        <v>360</v>
      </c>
      <c r="N387" s="29" t="s">
        <v>291</v>
      </c>
      <c r="O387" s="29" t="s">
        <v>272</v>
      </c>
      <c r="P387" s="29" t="s">
        <v>361</v>
      </c>
      <c r="Q387" s="29" t="s">
        <v>273</v>
      </c>
    </row>
    <row r="388" spans="1:17" s="29" customFormat="1">
      <c r="A388" s="160">
        <v>1.7960152800925926E-2</v>
      </c>
      <c r="E388" s="29" t="s">
        <v>224</v>
      </c>
      <c r="G388" s="29" t="s">
        <v>204</v>
      </c>
      <c r="I388" s="161">
        <v>46237.784756944442</v>
      </c>
      <c r="J388" s="29" t="s">
        <v>359</v>
      </c>
      <c r="K388" s="29" t="s">
        <v>274</v>
      </c>
      <c r="L388" s="162">
        <v>46173</v>
      </c>
      <c r="M388" s="29" t="s">
        <v>360</v>
      </c>
      <c r="N388" s="29" t="s">
        <v>291</v>
      </c>
      <c r="O388" s="29" t="s">
        <v>272</v>
      </c>
      <c r="P388" s="29" t="s">
        <v>361</v>
      </c>
      <c r="Q388" s="29" t="s">
        <v>273</v>
      </c>
    </row>
    <row r="389" spans="1:17" s="29" customFormat="1">
      <c r="A389" s="160">
        <v>1.7809414155092594E-2</v>
      </c>
      <c r="C389" s="29" t="s">
        <v>83</v>
      </c>
      <c r="E389" s="29" t="s">
        <v>127</v>
      </c>
      <c r="G389" s="29" t="s">
        <v>204</v>
      </c>
      <c r="I389" s="161">
        <v>46237.784594907411</v>
      </c>
      <c r="J389" s="29" t="s">
        <v>359</v>
      </c>
      <c r="K389" s="29" t="s">
        <v>274</v>
      </c>
      <c r="L389" s="162">
        <v>46173</v>
      </c>
      <c r="M389" s="29" t="s">
        <v>360</v>
      </c>
      <c r="N389" s="29" t="s">
        <v>291</v>
      </c>
      <c r="O389" s="29" t="s">
        <v>272</v>
      </c>
      <c r="P389" s="29" t="s">
        <v>361</v>
      </c>
      <c r="Q389" s="29" t="s">
        <v>273</v>
      </c>
    </row>
    <row r="390" spans="1:17" s="29" customFormat="1">
      <c r="A390" s="160">
        <v>1.7792925601851854E-2</v>
      </c>
      <c r="C390" s="29" t="s">
        <v>375</v>
      </c>
      <c r="E390" s="29" t="s">
        <v>127</v>
      </c>
      <c r="G390" s="29" t="s">
        <v>204</v>
      </c>
      <c r="I390" s="161">
        <v>46237.784456018519</v>
      </c>
      <c r="J390" s="29" t="s">
        <v>359</v>
      </c>
      <c r="K390" s="29" t="s">
        <v>274</v>
      </c>
      <c r="L390" s="162">
        <v>46173</v>
      </c>
      <c r="M390" s="29" t="s">
        <v>360</v>
      </c>
      <c r="N390" s="29" t="s">
        <v>291</v>
      </c>
      <c r="O390" s="29" t="s">
        <v>272</v>
      </c>
      <c r="P390" s="29" t="s">
        <v>361</v>
      </c>
      <c r="Q390" s="29" t="s">
        <v>273</v>
      </c>
    </row>
    <row r="391" spans="1:17" s="29" customFormat="1">
      <c r="A391" s="160">
        <v>1.7782572060185187E-2</v>
      </c>
      <c r="E391" s="29" t="s">
        <v>228</v>
      </c>
      <c r="G391" s="29" t="s">
        <v>204</v>
      </c>
      <c r="I391" s="161">
        <v>46237.784108796295</v>
      </c>
      <c r="J391" s="29" t="s">
        <v>359</v>
      </c>
      <c r="K391" s="29" t="s">
        <v>274</v>
      </c>
      <c r="L391" s="162">
        <v>46173</v>
      </c>
      <c r="M391" s="29" t="s">
        <v>360</v>
      </c>
      <c r="N391" s="29" t="s">
        <v>291</v>
      </c>
      <c r="O391" s="29" t="s">
        <v>272</v>
      </c>
      <c r="P391" s="29" t="s">
        <v>361</v>
      </c>
      <c r="Q391" s="29" t="s">
        <v>273</v>
      </c>
    </row>
    <row r="392" spans="1:17" s="29" customFormat="1">
      <c r="A392" s="160">
        <v>1.7683204652777777E-2</v>
      </c>
      <c r="E392" s="29" t="s">
        <v>119</v>
      </c>
      <c r="I392" s="161">
        <v>46237.784004629626</v>
      </c>
      <c r="J392" s="29" t="s">
        <v>359</v>
      </c>
      <c r="K392" s="29" t="s">
        <v>274</v>
      </c>
      <c r="L392" s="162">
        <v>46173</v>
      </c>
      <c r="M392" s="29" t="s">
        <v>360</v>
      </c>
      <c r="N392" s="29" t="s">
        <v>291</v>
      </c>
      <c r="O392" s="29" t="s">
        <v>272</v>
      </c>
      <c r="P392" s="29" t="s">
        <v>361</v>
      </c>
      <c r="Q392" s="29" t="s">
        <v>273</v>
      </c>
    </row>
    <row r="393" spans="1:17" s="29" customFormat="1">
      <c r="A393" s="160">
        <v>1.7431583391203705E-2</v>
      </c>
      <c r="B393" s="29" t="s">
        <v>116</v>
      </c>
      <c r="E393" s="29" t="s">
        <v>134</v>
      </c>
      <c r="G393" s="29" t="s">
        <v>204</v>
      </c>
      <c r="I393" s="161">
        <v>46237.783194444448</v>
      </c>
      <c r="J393" s="29" t="s">
        <v>359</v>
      </c>
      <c r="K393" s="29" t="s">
        <v>274</v>
      </c>
      <c r="L393" s="162">
        <v>46173</v>
      </c>
      <c r="M393" s="29" t="s">
        <v>360</v>
      </c>
      <c r="N393" s="29" t="s">
        <v>291</v>
      </c>
      <c r="O393" s="29" t="s">
        <v>272</v>
      </c>
      <c r="P393" s="29" t="s">
        <v>361</v>
      </c>
      <c r="Q393" s="29" t="s">
        <v>273</v>
      </c>
    </row>
    <row r="394" spans="1:17" s="29" customFormat="1">
      <c r="A394" s="160">
        <v>1.6832117662037037E-2</v>
      </c>
      <c r="B394" s="29" t="s">
        <v>116</v>
      </c>
      <c r="E394" s="29" t="s">
        <v>122</v>
      </c>
      <c r="G394" s="29" t="s">
        <v>204</v>
      </c>
      <c r="I394" s="161">
        <v>46237.782962962963</v>
      </c>
      <c r="J394" s="29" t="s">
        <v>359</v>
      </c>
      <c r="K394" s="29" t="s">
        <v>274</v>
      </c>
      <c r="L394" s="162">
        <v>46173</v>
      </c>
      <c r="M394" s="29" t="s">
        <v>360</v>
      </c>
      <c r="N394" s="29" t="s">
        <v>291</v>
      </c>
      <c r="O394" s="29" t="s">
        <v>272</v>
      </c>
      <c r="P394" s="29" t="s">
        <v>361</v>
      </c>
      <c r="Q394" s="29" t="s">
        <v>273</v>
      </c>
    </row>
    <row r="395" spans="1:17" s="29" customFormat="1">
      <c r="A395" s="160">
        <v>1.676824138888889E-2</v>
      </c>
      <c r="B395" s="29" t="s">
        <v>116</v>
      </c>
      <c r="C395" s="29" t="s">
        <v>370</v>
      </c>
      <c r="E395" s="29" t="s">
        <v>127</v>
      </c>
      <c r="G395" s="29" t="s">
        <v>204</v>
      </c>
      <c r="I395" s="161">
        <v>46237.782847222225</v>
      </c>
      <c r="J395" s="29" t="s">
        <v>359</v>
      </c>
      <c r="K395" s="29" t="s">
        <v>274</v>
      </c>
      <c r="L395" s="162">
        <v>46173</v>
      </c>
      <c r="M395" s="29" t="s">
        <v>360</v>
      </c>
      <c r="N395" s="29" t="s">
        <v>291</v>
      </c>
      <c r="O395" s="29" t="s">
        <v>272</v>
      </c>
      <c r="P395" s="29" t="s">
        <v>361</v>
      </c>
      <c r="Q395" s="29" t="s">
        <v>273</v>
      </c>
    </row>
    <row r="396" spans="1:17" s="29" customFormat="1">
      <c r="A396" s="160">
        <v>1.6721907627314816E-2</v>
      </c>
      <c r="B396" s="29" t="s">
        <v>116</v>
      </c>
      <c r="C396" s="29" t="s">
        <v>363</v>
      </c>
      <c r="E396" s="29" t="s">
        <v>127</v>
      </c>
      <c r="G396" s="29" t="s">
        <v>204</v>
      </c>
      <c r="I396" s="161">
        <v>46237.782731481479</v>
      </c>
      <c r="J396" s="29" t="s">
        <v>359</v>
      </c>
      <c r="K396" s="29" t="s">
        <v>274</v>
      </c>
      <c r="L396" s="162">
        <v>46173</v>
      </c>
      <c r="M396" s="29" t="s">
        <v>360</v>
      </c>
      <c r="N396" s="29" t="s">
        <v>291</v>
      </c>
      <c r="O396" s="29" t="s">
        <v>272</v>
      </c>
      <c r="P396" s="29" t="s">
        <v>361</v>
      </c>
      <c r="Q396" s="29" t="s">
        <v>273</v>
      </c>
    </row>
    <row r="397" spans="1:17" s="29" customFormat="1">
      <c r="A397" s="160">
        <v>1.6496174606481482E-2</v>
      </c>
      <c r="B397" s="29" t="s">
        <v>116</v>
      </c>
      <c r="E397" s="29" t="s">
        <v>124</v>
      </c>
      <c r="G397" s="29" t="s">
        <v>204</v>
      </c>
      <c r="I397" s="161">
        <v>46237.782337962963</v>
      </c>
      <c r="J397" s="29" t="s">
        <v>359</v>
      </c>
      <c r="K397" s="29" t="s">
        <v>274</v>
      </c>
      <c r="L397" s="162">
        <v>46173</v>
      </c>
      <c r="M397" s="29" t="s">
        <v>360</v>
      </c>
      <c r="N397" s="29" t="s">
        <v>291</v>
      </c>
      <c r="O397" s="29" t="s">
        <v>272</v>
      </c>
      <c r="P397" s="29" t="s">
        <v>361</v>
      </c>
      <c r="Q397" s="29" t="s">
        <v>273</v>
      </c>
    </row>
    <row r="398" spans="1:17" s="29" customFormat="1">
      <c r="A398" s="160">
        <v>1.6191628564814813E-2</v>
      </c>
      <c r="B398" s="29" t="s">
        <v>116</v>
      </c>
      <c r="E398" s="29" t="s">
        <v>88</v>
      </c>
      <c r="G398" s="29" t="s">
        <v>117</v>
      </c>
      <c r="I398" s="161">
        <v>46237.782037037039</v>
      </c>
      <c r="J398" s="29" t="s">
        <v>359</v>
      </c>
      <c r="K398" s="29" t="s">
        <v>274</v>
      </c>
      <c r="L398" s="162">
        <v>46173</v>
      </c>
      <c r="M398" s="29" t="s">
        <v>360</v>
      </c>
      <c r="N398" s="29" t="s">
        <v>291</v>
      </c>
      <c r="O398" s="29" t="s">
        <v>272</v>
      </c>
      <c r="P398" s="29" t="s">
        <v>361</v>
      </c>
      <c r="Q398" s="29" t="s">
        <v>273</v>
      </c>
    </row>
    <row r="399" spans="1:17" s="29" customFormat="1">
      <c r="A399" s="160">
        <v>1.615473449074074E-2</v>
      </c>
      <c r="B399" s="29" t="s">
        <v>116</v>
      </c>
      <c r="E399" s="29" t="s">
        <v>226</v>
      </c>
      <c r="G399" s="29" t="s">
        <v>117</v>
      </c>
      <c r="I399" s="161">
        <v>46237.781956018516</v>
      </c>
      <c r="J399" s="29" t="s">
        <v>359</v>
      </c>
      <c r="K399" s="29" t="s">
        <v>274</v>
      </c>
      <c r="L399" s="162">
        <v>46173</v>
      </c>
      <c r="M399" s="29" t="s">
        <v>360</v>
      </c>
      <c r="N399" s="29" t="s">
        <v>291</v>
      </c>
      <c r="O399" s="29" t="s">
        <v>272</v>
      </c>
      <c r="P399" s="29" t="s">
        <v>361</v>
      </c>
      <c r="Q399" s="29" t="s">
        <v>273</v>
      </c>
    </row>
    <row r="400" spans="1:17" s="29" customFormat="1">
      <c r="A400" s="160">
        <v>1.6050566805555555E-2</v>
      </c>
      <c r="B400" s="29" t="s">
        <v>116</v>
      </c>
      <c r="E400" s="29" t="s">
        <v>224</v>
      </c>
      <c r="G400" s="29" t="s">
        <v>204</v>
      </c>
      <c r="I400" s="161">
        <v>46237.781782407408</v>
      </c>
      <c r="J400" s="29" t="s">
        <v>359</v>
      </c>
      <c r="K400" s="29" t="s">
        <v>274</v>
      </c>
      <c r="L400" s="162">
        <v>46173</v>
      </c>
      <c r="M400" s="29" t="s">
        <v>360</v>
      </c>
      <c r="N400" s="29" t="s">
        <v>291</v>
      </c>
      <c r="O400" s="29" t="s">
        <v>272</v>
      </c>
      <c r="P400" s="29" t="s">
        <v>361</v>
      </c>
      <c r="Q400" s="29" t="s">
        <v>273</v>
      </c>
    </row>
    <row r="401" spans="1:17" s="29" customFormat="1">
      <c r="A401" s="160">
        <v>1.6033627789351853E-2</v>
      </c>
      <c r="B401" s="29" t="s">
        <v>116</v>
      </c>
      <c r="C401" s="29" t="s">
        <v>375</v>
      </c>
      <c r="E401" s="29" t="s">
        <v>127</v>
      </c>
      <c r="G401" s="29" t="s">
        <v>204</v>
      </c>
      <c r="I401" s="161">
        <v>46237.781585648147</v>
      </c>
      <c r="J401" s="29" t="s">
        <v>359</v>
      </c>
      <c r="K401" s="29" t="s">
        <v>274</v>
      </c>
      <c r="L401" s="162">
        <v>46173</v>
      </c>
      <c r="M401" s="29" t="s">
        <v>360</v>
      </c>
      <c r="N401" s="29" t="s">
        <v>291</v>
      </c>
      <c r="O401" s="29" t="s">
        <v>272</v>
      </c>
      <c r="P401" s="29" t="s">
        <v>361</v>
      </c>
      <c r="Q401" s="29" t="s">
        <v>273</v>
      </c>
    </row>
    <row r="402" spans="1:17" s="29" customFormat="1">
      <c r="A402" s="160">
        <v>1.6004850648148147E-2</v>
      </c>
      <c r="B402" s="29" t="s">
        <v>116</v>
      </c>
      <c r="E402" s="29" t="s">
        <v>228</v>
      </c>
      <c r="G402" s="29" t="s">
        <v>204</v>
      </c>
      <c r="I402" s="161">
        <v>46237.781493055554</v>
      </c>
      <c r="J402" s="29" t="s">
        <v>359</v>
      </c>
      <c r="K402" s="29" t="s">
        <v>274</v>
      </c>
      <c r="L402" s="162">
        <v>46173</v>
      </c>
      <c r="M402" s="29" t="s">
        <v>360</v>
      </c>
      <c r="N402" s="29" t="s">
        <v>291</v>
      </c>
      <c r="O402" s="29" t="s">
        <v>272</v>
      </c>
      <c r="P402" s="29" t="s">
        <v>361</v>
      </c>
      <c r="Q402" s="29" t="s">
        <v>273</v>
      </c>
    </row>
    <row r="403" spans="1:17" s="29" customFormat="1">
      <c r="A403" s="160">
        <v>1.5917736597222221E-2</v>
      </c>
      <c r="B403" s="29" t="s">
        <v>116</v>
      </c>
      <c r="E403" s="29" t="s">
        <v>224</v>
      </c>
      <c r="G403" s="29" t="s">
        <v>117</v>
      </c>
      <c r="I403" s="161">
        <v>46237.781412037039</v>
      </c>
      <c r="J403" s="29" t="s">
        <v>359</v>
      </c>
      <c r="K403" s="29" t="s">
        <v>274</v>
      </c>
      <c r="L403" s="162">
        <v>46173</v>
      </c>
      <c r="M403" s="29" t="s">
        <v>360</v>
      </c>
      <c r="N403" s="29" t="s">
        <v>291</v>
      </c>
      <c r="O403" s="29" t="s">
        <v>272</v>
      </c>
      <c r="P403" s="29" t="s">
        <v>361</v>
      </c>
      <c r="Q403" s="29" t="s">
        <v>273</v>
      </c>
    </row>
    <row r="404" spans="1:17" s="29" customFormat="1">
      <c r="A404" s="160">
        <v>1.5755650277777779E-2</v>
      </c>
      <c r="B404" s="29" t="s">
        <v>116</v>
      </c>
      <c r="C404" s="29" t="s">
        <v>368</v>
      </c>
      <c r="E404" s="29" t="s">
        <v>130</v>
      </c>
      <c r="G404" s="29" t="s">
        <v>117</v>
      </c>
      <c r="I404" s="161">
        <v>46237.7812037037</v>
      </c>
      <c r="J404" s="29" t="s">
        <v>359</v>
      </c>
      <c r="K404" s="29" t="s">
        <v>274</v>
      </c>
      <c r="L404" s="162">
        <v>46173</v>
      </c>
      <c r="M404" s="29" t="s">
        <v>360</v>
      </c>
      <c r="N404" s="29" t="s">
        <v>291</v>
      </c>
      <c r="O404" s="29" t="s">
        <v>272</v>
      </c>
      <c r="P404" s="29" t="s">
        <v>361</v>
      </c>
      <c r="Q404" s="29" t="s">
        <v>273</v>
      </c>
    </row>
    <row r="405" spans="1:17" s="29" customFormat="1">
      <c r="A405" s="160">
        <v>1.5699896261574073E-2</v>
      </c>
      <c r="B405" s="29" t="s">
        <v>116</v>
      </c>
      <c r="E405" s="29" t="s">
        <v>123</v>
      </c>
      <c r="G405" s="29" t="s">
        <v>117</v>
      </c>
      <c r="I405" s="161">
        <v>46237.781064814815</v>
      </c>
      <c r="J405" s="29" t="s">
        <v>359</v>
      </c>
      <c r="K405" s="29" t="s">
        <v>274</v>
      </c>
      <c r="L405" s="162">
        <v>46173</v>
      </c>
      <c r="M405" s="29" t="s">
        <v>360</v>
      </c>
      <c r="N405" s="29" t="s">
        <v>291</v>
      </c>
      <c r="O405" s="29" t="s">
        <v>272</v>
      </c>
      <c r="P405" s="29" t="s">
        <v>361</v>
      </c>
      <c r="Q405" s="29" t="s">
        <v>273</v>
      </c>
    </row>
    <row r="406" spans="1:17" s="29" customFormat="1">
      <c r="A406" s="160">
        <v>1.5248017442129631E-2</v>
      </c>
      <c r="B406" s="29" t="s">
        <v>116</v>
      </c>
      <c r="E406" s="29" t="s">
        <v>88</v>
      </c>
      <c r="G406" s="29" t="s">
        <v>117</v>
      </c>
      <c r="I406" s="161">
        <v>46237.780613425923</v>
      </c>
      <c r="J406" s="29" t="s">
        <v>359</v>
      </c>
      <c r="K406" s="29" t="s">
        <v>274</v>
      </c>
      <c r="L406" s="162">
        <v>46173</v>
      </c>
      <c r="M406" s="29" t="s">
        <v>360</v>
      </c>
      <c r="N406" s="29" t="s">
        <v>291</v>
      </c>
      <c r="O406" s="29" t="s">
        <v>272</v>
      </c>
      <c r="P406" s="29" t="s">
        <v>361</v>
      </c>
      <c r="Q406" s="29" t="s">
        <v>273</v>
      </c>
    </row>
    <row r="407" spans="1:17" s="29" customFormat="1">
      <c r="A407" s="160">
        <v>1.5218348020833333E-2</v>
      </c>
      <c r="B407" s="29" t="s">
        <v>116</v>
      </c>
      <c r="E407" s="29" t="s">
        <v>253</v>
      </c>
      <c r="F407" s="29" t="s">
        <v>83</v>
      </c>
      <c r="G407" s="29" t="s">
        <v>117</v>
      </c>
      <c r="I407" s="161">
        <v>46237.780601851853</v>
      </c>
      <c r="J407" s="29" t="s">
        <v>359</v>
      </c>
      <c r="K407" s="29" t="s">
        <v>274</v>
      </c>
      <c r="L407" s="162">
        <v>46173</v>
      </c>
      <c r="M407" s="29" t="s">
        <v>360</v>
      </c>
      <c r="N407" s="29" t="s">
        <v>291</v>
      </c>
      <c r="O407" s="29" t="s">
        <v>272</v>
      </c>
      <c r="P407" s="29" t="s">
        <v>361</v>
      </c>
      <c r="Q407" s="29" t="s">
        <v>273</v>
      </c>
    </row>
    <row r="408" spans="1:17" s="29" customFormat="1">
      <c r="A408" s="160">
        <v>1.5177885243055555E-2</v>
      </c>
      <c r="B408" s="29" t="s">
        <v>116</v>
      </c>
      <c r="C408" s="29" t="s">
        <v>367</v>
      </c>
      <c r="E408" s="29" t="s">
        <v>127</v>
      </c>
      <c r="G408" s="29" t="s">
        <v>204</v>
      </c>
      <c r="I408" s="161">
        <v>46237.780335648145</v>
      </c>
      <c r="J408" s="29" t="s">
        <v>359</v>
      </c>
      <c r="K408" s="29" t="s">
        <v>274</v>
      </c>
      <c r="L408" s="162">
        <v>46173</v>
      </c>
      <c r="M408" s="29" t="s">
        <v>360</v>
      </c>
      <c r="N408" s="29" t="s">
        <v>291</v>
      </c>
      <c r="O408" s="29" t="s">
        <v>272</v>
      </c>
      <c r="P408" s="29" t="s">
        <v>361</v>
      </c>
      <c r="Q408" s="29" t="s">
        <v>273</v>
      </c>
    </row>
    <row r="409" spans="1:17" s="29" customFormat="1">
      <c r="A409" s="160">
        <v>1.5120461909722223E-2</v>
      </c>
      <c r="B409" s="29" t="s">
        <v>116</v>
      </c>
      <c r="C409" s="29" t="s">
        <v>370</v>
      </c>
      <c r="E409" s="29" t="s">
        <v>127</v>
      </c>
      <c r="G409" s="29" t="s">
        <v>204</v>
      </c>
      <c r="I409" s="161">
        <v>46237.780023148145</v>
      </c>
      <c r="J409" s="29" t="s">
        <v>359</v>
      </c>
      <c r="K409" s="29" t="s">
        <v>274</v>
      </c>
      <c r="L409" s="162">
        <v>46173</v>
      </c>
      <c r="M409" s="29" t="s">
        <v>360</v>
      </c>
      <c r="N409" s="29" t="s">
        <v>291</v>
      </c>
      <c r="O409" s="29" t="s">
        <v>272</v>
      </c>
      <c r="P409" s="29" t="s">
        <v>361</v>
      </c>
      <c r="Q409" s="29" t="s">
        <v>273</v>
      </c>
    </row>
    <row r="410" spans="1:17" s="29" customFormat="1">
      <c r="A410" s="160">
        <v>1.5099388888888888E-2</v>
      </c>
      <c r="B410" s="29" t="s">
        <v>116</v>
      </c>
      <c r="C410" s="29" t="s">
        <v>376</v>
      </c>
      <c r="E410" s="29" t="s">
        <v>127</v>
      </c>
      <c r="G410" s="29" t="s">
        <v>204</v>
      </c>
      <c r="I410" s="161">
        <v>46237.77925925926</v>
      </c>
      <c r="J410" s="29" t="s">
        <v>359</v>
      </c>
      <c r="K410" s="29" t="s">
        <v>274</v>
      </c>
      <c r="L410" s="162">
        <v>46173</v>
      </c>
      <c r="M410" s="29" t="s">
        <v>360</v>
      </c>
      <c r="N410" s="29" t="s">
        <v>291</v>
      </c>
      <c r="O410" s="29" t="s">
        <v>272</v>
      </c>
      <c r="P410" s="29" t="s">
        <v>361</v>
      </c>
      <c r="Q410" s="29" t="s">
        <v>273</v>
      </c>
    </row>
    <row r="411" spans="1:17" s="29" customFormat="1">
      <c r="A411" s="160">
        <v>1.5066100763888889E-2</v>
      </c>
      <c r="B411" s="29" t="s">
        <v>116</v>
      </c>
      <c r="C411" s="29" t="s">
        <v>368</v>
      </c>
      <c r="E411" s="29" t="s">
        <v>127</v>
      </c>
      <c r="G411" s="29" t="s">
        <v>204</v>
      </c>
      <c r="I411" s="161">
        <v>46237.778749999998</v>
      </c>
      <c r="J411" s="29" t="s">
        <v>359</v>
      </c>
      <c r="K411" s="29" t="s">
        <v>274</v>
      </c>
      <c r="L411" s="162">
        <v>46173</v>
      </c>
      <c r="M411" s="29" t="s">
        <v>360</v>
      </c>
      <c r="N411" s="29" t="s">
        <v>291</v>
      </c>
      <c r="O411" s="29" t="s">
        <v>272</v>
      </c>
      <c r="P411" s="29" t="s">
        <v>361</v>
      </c>
      <c r="Q411" s="29" t="s">
        <v>273</v>
      </c>
    </row>
    <row r="412" spans="1:17" s="29" customFormat="1">
      <c r="A412" s="160">
        <v>1.5031441192129631E-2</v>
      </c>
      <c r="B412" s="29" t="s">
        <v>116</v>
      </c>
      <c r="C412" s="29" t="s">
        <v>380</v>
      </c>
      <c r="E412" s="29" t="s">
        <v>327</v>
      </c>
      <c r="G412" s="29" t="s">
        <v>117</v>
      </c>
      <c r="I412" s="161">
        <v>46237.772858796299</v>
      </c>
      <c r="J412" s="29" t="s">
        <v>359</v>
      </c>
      <c r="K412" s="29" t="s">
        <v>274</v>
      </c>
      <c r="L412" s="162">
        <v>46173</v>
      </c>
      <c r="M412" s="29" t="s">
        <v>360</v>
      </c>
      <c r="N412" s="29" t="s">
        <v>291</v>
      </c>
      <c r="O412" s="29" t="s">
        <v>272</v>
      </c>
      <c r="P412" s="29" t="s">
        <v>361</v>
      </c>
      <c r="Q412" s="29" t="s">
        <v>273</v>
      </c>
    </row>
    <row r="413" spans="1:17" s="29" customFormat="1">
      <c r="A413" s="160">
        <v>1.5020605150462964E-2</v>
      </c>
      <c r="B413" s="29" t="s">
        <v>116</v>
      </c>
      <c r="E413" s="29" t="s">
        <v>127</v>
      </c>
      <c r="G413" s="29" t="s">
        <v>117</v>
      </c>
      <c r="I413" s="161">
        <v>46237.761770833335</v>
      </c>
      <c r="J413" s="29" t="s">
        <v>359</v>
      </c>
      <c r="K413" s="29" t="s">
        <v>274</v>
      </c>
      <c r="L413" s="162">
        <v>46173</v>
      </c>
      <c r="M413" s="29" t="s">
        <v>360</v>
      </c>
      <c r="N413" s="29" t="s">
        <v>291</v>
      </c>
      <c r="O413" s="29" t="s">
        <v>272</v>
      </c>
      <c r="P413" s="29" t="s">
        <v>361</v>
      </c>
      <c r="Q413" s="29" t="s">
        <v>273</v>
      </c>
    </row>
    <row r="414" spans="1:17" s="29" customFormat="1">
      <c r="A414" s="160">
        <v>1.499148917824074E-2</v>
      </c>
      <c r="B414" s="29" t="s">
        <v>116</v>
      </c>
      <c r="C414" s="29" t="s">
        <v>367</v>
      </c>
      <c r="E414" s="29" t="s">
        <v>129</v>
      </c>
      <c r="G414" s="29" t="s">
        <v>204</v>
      </c>
      <c r="I414" s="161">
        <v>46237.761678240742</v>
      </c>
      <c r="J414" s="29" t="s">
        <v>359</v>
      </c>
      <c r="K414" s="29" t="s">
        <v>274</v>
      </c>
      <c r="L414" s="162">
        <v>46173</v>
      </c>
      <c r="M414" s="29" t="s">
        <v>360</v>
      </c>
      <c r="N414" s="29" t="s">
        <v>291</v>
      </c>
      <c r="O414" s="29" t="s">
        <v>272</v>
      </c>
      <c r="P414" s="29" t="s">
        <v>361</v>
      </c>
      <c r="Q414" s="29" t="s">
        <v>273</v>
      </c>
    </row>
    <row r="415" spans="1:17" s="29" customFormat="1">
      <c r="A415" s="160">
        <v>1.4922950879629629E-2</v>
      </c>
      <c r="B415" s="29" t="s">
        <v>116</v>
      </c>
      <c r="E415" s="29" t="s">
        <v>123</v>
      </c>
      <c r="G415" s="29" t="s">
        <v>204</v>
      </c>
      <c r="I415" s="161">
        <v>46237.761435185188</v>
      </c>
      <c r="J415" s="29" t="s">
        <v>359</v>
      </c>
      <c r="K415" s="29" t="s">
        <v>274</v>
      </c>
      <c r="L415" s="162">
        <v>46173</v>
      </c>
      <c r="M415" s="29" t="s">
        <v>360</v>
      </c>
      <c r="N415" s="29" t="s">
        <v>291</v>
      </c>
      <c r="O415" s="29" t="s">
        <v>272</v>
      </c>
      <c r="P415" s="29" t="s">
        <v>361</v>
      </c>
      <c r="Q415" s="29" t="s">
        <v>273</v>
      </c>
    </row>
    <row r="416" spans="1:17" s="29" customFormat="1">
      <c r="A416" s="160">
        <v>1.4378790578703705E-2</v>
      </c>
      <c r="B416" s="29" t="s">
        <v>116</v>
      </c>
      <c r="E416" s="29" t="s">
        <v>88</v>
      </c>
      <c r="G416" s="29" t="s">
        <v>204</v>
      </c>
      <c r="I416" s="161">
        <v>46237.760891203703</v>
      </c>
      <c r="J416" s="29" t="s">
        <v>359</v>
      </c>
      <c r="K416" s="29" t="s">
        <v>274</v>
      </c>
      <c r="L416" s="162">
        <v>46173</v>
      </c>
      <c r="M416" s="29" t="s">
        <v>360</v>
      </c>
      <c r="N416" s="29" t="s">
        <v>291</v>
      </c>
      <c r="O416" s="29" t="s">
        <v>272</v>
      </c>
      <c r="P416" s="29" t="s">
        <v>361</v>
      </c>
      <c r="Q416" s="29" t="s">
        <v>273</v>
      </c>
    </row>
    <row r="417" spans="1:17" s="29" customFormat="1">
      <c r="A417" s="160">
        <v>1.4258830104166667E-2</v>
      </c>
      <c r="B417" s="29" t="s">
        <v>116</v>
      </c>
      <c r="C417" s="29" t="s">
        <v>83</v>
      </c>
      <c r="D417" s="29" t="s">
        <v>83</v>
      </c>
      <c r="E417" s="29" t="s">
        <v>254</v>
      </c>
      <c r="F417" s="29" t="s">
        <v>173</v>
      </c>
      <c r="G417" s="29" t="s">
        <v>204</v>
      </c>
      <c r="I417" s="161">
        <v>46237.760879629626</v>
      </c>
      <c r="J417" s="29" t="s">
        <v>359</v>
      </c>
      <c r="K417" s="29" t="s">
        <v>274</v>
      </c>
      <c r="L417" s="162">
        <v>46173</v>
      </c>
      <c r="M417" s="29" t="s">
        <v>360</v>
      </c>
      <c r="N417" s="29" t="s">
        <v>291</v>
      </c>
      <c r="O417" s="29" t="s">
        <v>272</v>
      </c>
      <c r="P417" s="29" t="s">
        <v>361</v>
      </c>
      <c r="Q417" s="29" t="s">
        <v>273</v>
      </c>
    </row>
    <row r="418" spans="1:17" s="29" customFormat="1">
      <c r="A418" s="160">
        <v>1.4175887766203703E-2</v>
      </c>
      <c r="B418" s="29" t="s">
        <v>116</v>
      </c>
      <c r="C418" s="29" t="s">
        <v>371</v>
      </c>
      <c r="E418" s="29" t="s">
        <v>59</v>
      </c>
      <c r="G418" s="29" t="s">
        <v>204</v>
      </c>
      <c r="I418" s="161">
        <v>46237.760659722226</v>
      </c>
      <c r="J418" s="29" t="s">
        <v>359</v>
      </c>
      <c r="K418" s="29" t="s">
        <v>274</v>
      </c>
      <c r="L418" s="162">
        <v>46173</v>
      </c>
      <c r="M418" s="29" t="s">
        <v>360</v>
      </c>
      <c r="N418" s="29" t="s">
        <v>291</v>
      </c>
      <c r="O418" s="29" t="s">
        <v>272</v>
      </c>
      <c r="P418" s="29" t="s">
        <v>361</v>
      </c>
      <c r="Q418" s="29" t="s">
        <v>273</v>
      </c>
    </row>
    <row r="419" spans="1:17" s="29" customFormat="1">
      <c r="A419" s="160">
        <v>1.4107161226851852E-2</v>
      </c>
      <c r="B419" s="29" t="s">
        <v>116</v>
      </c>
      <c r="C419" s="29" t="s">
        <v>364</v>
      </c>
      <c r="E419" s="29" t="s">
        <v>173</v>
      </c>
      <c r="G419" s="29" t="s">
        <v>204</v>
      </c>
      <c r="I419" s="161">
        <v>46237.760289351849</v>
      </c>
      <c r="J419" s="29" t="s">
        <v>359</v>
      </c>
      <c r="K419" s="29" t="s">
        <v>274</v>
      </c>
      <c r="L419" s="162">
        <v>46173</v>
      </c>
      <c r="M419" s="29" t="s">
        <v>360</v>
      </c>
      <c r="N419" s="29" t="s">
        <v>291</v>
      </c>
      <c r="O419" s="29" t="s">
        <v>272</v>
      </c>
      <c r="P419" s="29" t="s">
        <v>361</v>
      </c>
      <c r="Q419" s="29" t="s">
        <v>273</v>
      </c>
    </row>
    <row r="420" spans="1:17" s="29" customFormat="1">
      <c r="A420" s="160">
        <v>1.4020228356481481E-2</v>
      </c>
      <c r="B420" s="29" t="s">
        <v>116</v>
      </c>
      <c r="C420" s="29" t="s">
        <v>370</v>
      </c>
      <c r="E420" s="29" t="s">
        <v>127</v>
      </c>
      <c r="G420" s="29" t="s">
        <v>204</v>
      </c>
      <c r="I420" s="161">
        <v>46237.759930555556</v>
      </c>
      <c r="J420" s="29" t="s">
        <v>359</v>
      </c>
      <c r="K420" s="29" t="s">
        <v>274</v>
      </c>
      <c r="L420" s="162">
        <v>46173</v>
      </c>
      <c r="M420" s="29" t="s">
        <v>360</v>
      </c>
      <c r="N420" s="29" t="s">
        <v>291</v>
      </c>
      <c r="O420" s="29" t="s">
        <v>272</v>
      </c>
      <c r="P420" s="29" t="s">
        <v>361</v>
      </c>
      <c r="Q420" s="29" t="s">
        <v>273</v>
      </c>
    </row>
    <row r="421" spans="1:17" s="29" customFormat="1">
      <c r="A421" s="160">
        <v>1.3974287291666667E-2</v>
      </c>
      <c r="B421" s="29" t="s">
        <v>116</v>
      </c>
      <c r="C421" s="29" t="s">
        <v>362</v>
      </c>
      <c r="E421" s="29" t="s">
        <v>127</v>
      </c>
      <c r="G421" s="29" t="s">
        <v>204</v>
      </c>
      <c r="I421" s="161">
        <v>46237.759710648148</v>
      </c>
      <c r="J421" s="29" t="s">
        <v>359</v>
      </c>
      <c r="K421" s="29" t="s">
        <v>274</v>
      </c>
      <c r="L421" s="162">
        <v>46173</v>
      </c>
      <c r="M421" s="29" t="s">
        <v>360</v>
      </c>
      <c r="N421" s="29" t="s">
        <v>291</v>
      </c>
      <c r="O421" s="29" t="s">
        <v>272</v>
      </c>
      <c r="P421" s="29" t="s">
        <v>361</v>
      </c>
      <c r="Q421" s="29" t="s">
        <v>273</v>
      </c>
    </row>
    <row r="422" spans="1:17" s="29" customFormat="1">
      <c r="A422" s="160">
        <v>1.3927909918981482E-2</v>
      </c>
      <c r="B422" s="29" t="s">
        <v>116</v>
      </c>
      <c r="C422" s="29" t="s">
        <v>363</v>
      </c>
      <c r="E422" s="29" t="s">
        <v>127</v>
      </c>
      <c r="G422" s="29" t="s">
        <v>204</v>
      </c>
      <c r="I422" s="161">
        <v>46237.759594907409</v>
      </c>
      <c r="J422" s="29" t="s">
        <v>359</v>
      </c>
      <c r="K422" s="29" t="s">
        <v>274</v>
      </c>
      <c r="L422" s="162">
        <v>46173</v>
      </c>
      <c r="M422" s="29" t="s">
        <v>360</v>
      </c>
      <c r="N422" s="29" t="s">
        <v>291</v>
      </c>
      <c r="O422" s="29" t="s">
        <v>272</v>
      </c>
      <c r="P422" s="29" t="s">
        <v>361</v>
      </c>
      <c r="Q422" s="29" t="s">
        <v>273</v>
      </c>
    </row>
    <row r="423" spans="1:17" s="29" customFormat="1">
      <c r="A423" s="160">
        <v>1.3676461631944446E-2</v>
      </c>
      <c r="B423" s="29" t="s">
        <v>116</v>
      </c>
      <c r="E423" s="29" t="s">
        <v>124</v>
      </c>
      <c r="G423" s="29" t="s">
        <v>204</v>
      </c>
      <c r="I423" s="161">
        <v>46237.759270833332</v>
      </c>
      <c r="J423" s="29" t="s">
        <v>359</v>
      </c>
      <c r="K423" s="29" t="s">
        <v>274</v>
      </c>
      <c r="L423" s="162">
        <v>46173</v>
      </c>
      <c r="M423" s="29" t="s">
        <v>360</v>
      </c>
      <c r="N423" s="29" t="s">
        <v>291</v>
      </c>
      <c r="O423" s="29" t="s">
        <v>272</v>
      </c>
      <c r="P423" s="29" t="s">
        <v>361</v>
      </c>
      <c r="Q423" s="29" t="s">
        <v>273</v>
      </c>
    </row>
    <row r="424" spans="1:17" s="29" customFormat="1">
      <c r="A424" s="160">
        <v>1.3452067314814816E-2</v>
      </c>
      <c r="B424" s="29" t="s">
        <v>116</v>
      </c>
      <c r="E424" s="29" t="s">
        <v>88</v>
      </c>
      <c r="G424" s="29" t="s">
        <v>117</v>
      </c>
      <c r="I424" s="161">
        <v>46237.759039351855</v>
      </c>
      <c r="J424" s="29" t="s">
        <v>359</v>
      </c>
      <c r="K424" s="29" t="s">
        <v>274</v>
      </c>
      <c r="L424" s="162">
        <v>46173</v>
      </c>
      <c r="M424" s="29" t="s">
        <v>360</v>
      </c>
      <c r="N424" s="29" t="s">
        <v>291</v>
      </c>
      <c r="O424" s="29" t="s">
        <v>272</v>
      </c>
      <c r="P424" s="29" t="s">
        <v>361</v>
      </c>
      <c r="Q424" s="29" t="s">
        <v>273</v>
      </c>
    </row>
    <row r="425" spans="1:17" s="29" customFormat="1">
      <c r="A425" s="160">
        <v>1.3325469363425926E-2</v>
      </c>
      <c r="B425" s="29" t="s">
        <v>116</v>
      </c>
      <c r="E425" s="29" t="s">
        <v>224</v>
      </c>
      <c r="G425" s="29" t="s">
        <v>117</v>
      </c>
      <c r="I425" s="161">
        <v>46237.758773148147</v>
      </c>
      <c r="J425" s="29" t="s">
        <v>359</v>
      </c>
      <c r="K425" s="29" t="s">
        <v>274</v>
      </c>
      <c r="L425" s="162">
        <v>46173</v>
      </c>
      <c r="M425" s="29" t="s">
        <v>360</v>
      </c>
      <c r="N425" s="29" t="s">
        <v>291</v>
      </c>
      <c r="O425" s="29" t="s">
        <v>272</v>
      </c>
      <c r="P425" s="29" t="s">
        <v>361</v>
      </c>
      <c r="Q425" s="29" t="s">
        <v>273</v>
      </c>
    </row>
    <row r="426" spans="1:17" s="29" customFormat="1">
      <c r="A426" s="160">
        <v>1.3238540995370371E-2</v>
      </c>
      <c r="B426" s="29" t="s">
        <v>116</v>
      </c>
      <c r="E426" s="29" t="s">
        <v>127</v>
      </c>
      <c r="G426" s="29" t="s">
        <v>117</v>
      </c>
      <c r="I426" s="161">
        <v>46237.758622685185</v>
      </c>
      <c r="J426" s="29" t="s">
        <v>359</v>
      </c>
      <c r="K426" s="29" t="s">
        <v>274</v>
      </c>
      <c r="L426" s="162">
        <v>46173</v>
      </c>
      <c r="M426" s="29" t="s">
        <v>360</v>
      </c>
      <c r="N426" s="29" t="s">
        <v>291</v>
      </c>
      <c r="O426" s="29" t="s">
        <v>272</v>
      </c>
      <c r="P426" s="29" t="s">
        <v>361</v>
      </c>
      <c r="Q426" s="29" t="s">
        <v>273</v>
      </c>
    </row>
    <row r="427" spans="1:17" s="29" customFormat="1">
      <c r="A427" s="160">
        <v>1.3151683287037039E-2</v>
      </c>
      <c r="B427" s="29" t="s">
        <v>116</v>
      </c>
      <c r="E427" s="29" t="s">
        <v>127</v>
      </c>
      <c r="G427" s="29" t="s">
        <v>117</v>
      </c>
      <c r="I427" s="161">
        <v>46237.758460648147</v>
      </c>
      <c r="J427" s="29" t="s">
        <v>359</v>
      </c>
      <c r="K427" s="29" t="s">
        <v>274</v>
      </c>
      <c r="L427" s="162">
        <v>46173</v>
      </c>
      <c r="M427" s="29" t="s">
        <v>360</v>
      </c>
      <c r="N427" s="29" t="s">
        <v>291</v>
      </c>
      <c r="O427" s="29" t="s">
        <v>272</v>
      </c>
      <c r="P427" s="29" t="s">
        <v>361</v>
      </c>
      <c r="Q427" s="29" t="s">
        <v>273</v>
      </c>
    </row>
    <row r="428" spans="1:17" s="29" customFormat="1">
      <c r="A428" s="160">
        <v>1.3094874085648148E-2</v>
      </c>
      <c r="B428" s="29" t="s">
        <v>116</v>
      </c>
      <c r="E428" s="29" t="s">
        <v>223</v>
      </c>
      <c r="G428" s="29" t="s">
        <v>204</v>
      </c>
      <c r="I428" s="161">
        <v>46237.758321759262</v>
      </c>
      <c r="J428" s="29" t="s">
        <v>359</v>
      </c>
      <c r="K428" s="29" t="s">
        <v>274</v>
      </c>
      <c r="L428" s="162">
        <v>46173</v>
      </c>
      <c r="M428" s="29" t="s">
        <v>360</v>
      </c>
      <c r="N428" s="29" t="s">
        <v>291</v>
      </c>
      <c r="O428" s="29" t="s">
        <v>272</v>
      </c>
      <c r="P428" s="29" t="s">
        <v>361</v>
      </c>
      <c r="Q428" s="29" t="s">
        <v>273</v>
      </c>
    </row>
    <row r="429" spans="1:17" s="29" customFormat="1">
      <c r="A429" s="160">
        <v>1.3031137592592593E-2</v>
      </c>
      <c r="B429" s="29" t="s">
        <v>116</v>
      </c>
      <c r="C429" s="29" t="s">
        <v>380</v>
      </c>
      <c r="E429" s="29" t="s">
        <v>127</v>
      </c>
      <c r="G429" s="29" t="s">
        <v>204</v>
      </c>
      <c r="I429" s="161">
        <v>46237.758067129631</v>
      </c>
      <c r="J429" s="29" t="s">
        <v>359</v>
      </c>
      <c r="K429" s="29" t="s">
        <v>274</v>
      </c>
      <c r="L429" s="162">
        <v>46173</v>
      </c>
      <c r="M429" s="29" t="s">
        <v>360</v>
      </c>
      <c r="N429" s="29" t="s">
        <v>291</v>
      </c>
      <c r="O429" s="29" t="s">
        <v>272</v>
      </c>
      <c r="P429" s="29" t="s">
        <v>361</v>
      </c>
      <c r="Q429" s="29" t="s">
        <v>273</v>
      </c>
    </row>
    <row r="430" spans="1:17" s="29" customFormat="1">
      <c r="A430" s="160">
        <v>1.3019574976851852E-2</v>
      </c>
      <c r="B430" s="29" t="s">
        <v>116</v>
      </c>
      <c r="C430" s="29" t="s">
        <v>372</v>
      </c>
      <c r="E430" s="29" t="s">
        <v>127</v>
      </c>
      <c r="G430" s="29" t="s">
        <v>204</v>
      </c>
      <c r="I430" s="161">
        <v>46237.758009259262</v>
      </c>
      <c r="J430" s="29" t="s">
        <v>359</v>
      </c>
      <c r="K430" s="29" t="s">
        <v>274</v>
      </c>
      <c r="L430" s="162">
        <v>46173</v>
      </c>
      <c r="M430" s="29" t="s">
        <v>360</v>
      </c>
      <c r="N430" s="29" t="s">
        <v>291</v>
      </c>
      <c r="O430" s="29" t="s">
        <v>272</v>
      </c>
      <c r="P430" s="29" t="s">
        <v>361</v>
      </c>
      <c r="Q430" s="29" t="s">
        <v>273</v>
      </c>
    </row>
    <row r="431" spans="1:17" s="29" customFormat="1">
      <c r="A431" s="160">
        <v>1.2932969108796297E-2</v>
      </c>
      <c r="B431" s="29" t="s">
        <v>116</v>
      </c>
      <c r="C431" s="29" t="s">
        <v>366</v>
      </c>
      <c r="E431" s="29" t="s">
        <v>127</v>
      </c>
      <c r="G431" s="29" t="s">
        <v>204</v>
      </c>
      <c r="I431" s="161">
        <v>46237.757685185185</v>
      </c>
      <c r="J431" s="29" t="s">
        <v>359</v>
      </c>
      <c r="K431" s="29" t="s">
        <v>274</v>
      </c>
      <c r="L431" s="162">
        <v>46173</v>
      </c>
      <c r="M431" s="29" t="s">
        <v>360</v>
      </c>
      <c r="N431" s="29" t="s">
        <v>291</v>
      </c>
      <c r="O431" s="29" t="s">
        <v>272</v>
      </c>
      <c r="P431" s="29" t="s">
        <v>361</v>
      </c>
      <c r="Q431" s="29" t="s">
        <v>273</v>
      </c>
    </row>
    <row r="432" spans="1:17" s="29" customFormat="1">
      <c r="A432" s="160">
        <v>1.2840621145833335E-2</v>
      </c>
      <c r="B432" s="29" t="s">
        <v>116</v>
      </c>
      <c r="E432" s="29" t="s">
        <v>228</v>
      </c>
      <c r="G432" s="29" t="s">
        <v>204</v>
      </c>
      <c r="I432" s="161">
        <v>46237.757395833331</v>
      </c>
      <c r="J432" s="29" t="s">
        <v>359</v>
      </c>
      <c r="K432" s="29" t="s">
        <v>274</v>
      </c>
      <c r="L432" s="162">
        <v>46173</v>
      </c>
      <c r="M432" s="29" t="s">
        <v>360</v>
      </c>
      <c r="N432" s="29" t="s">
        <v>291</v>
      </c>
      <c r="O432" s="29" t="s">
        <v>272</v>
      </c>
      <c r="P432" s="29" t="s">
        <v>361</v>
      </c>
      <c r="Q432" s="29" t="s">
        <v>273</v>
      </c>
    </row>
    <row r="433" spans="1:17" s="29" customFormat="1">
      <c r="A433" s="160">
        <v>1.2643430972222224E-2</v>
      </c>
      <c r="B433" s="29" t="s">
        <v>116</v>
      </c>
      <c r="E433" s="29" t="s">
        <v>119</v>
      </c>
      <c r="G433" s="29" t="s">
        <v>117</v>
      </c>
      <c r="I433" s="161">
        <v>46237.757071759261</v>
      </c>
      <c r="J433" s="29" t="s">
        <v>359</v>
      </c>
      <c r="K433" s="29" t="s">
        <v>274</v>
      </c>
      <c r="L433" s="162">
        <v>46173</v>
      </c>
      <c r="M433" s="29" t="s">
        <v>360</v>
      </c>
      <c r="N433" s="29" t="s">
        <v>291</v>
      </c>
      <c r="O433" s="29" t="s">
        <v>272</v>
      </c>
      <c r="P433" s="29" t="s">
        <v>361</v>
      </c>
      <c r="Q433" s="29" t="s">
        <v>273</v>
      </c>
    </row>
    <row r="434" spans="1:17" s="29" customFormat="1">
      <c r="A434" s="160">
        <v>1.2384992847222222E-2</v>
      </c>
      <c r="B434" s="29" t="s">
        <v>116</v>
      </c>
      <c r="E434" s="29" t="s">
        <v>134</v>
      </c>
      <c r="G434" s="29" t="s">
        <v>204</v>
      </c>
      <c r="I434" s="161">
        <v>46237.756932870368</v>
      </c>
      <c r="J434" s="29" t="s">
        <v>359</v>
      </c>
      <c r="K434" s="29" t="s">
        <v>274</v>
      </c>
      <c r="L434" s="162">
        <v>46173</v>
      </c>
      <c r="M434" s="29" t="s">
        <v>360</v>
      </c>
      <c r="N434" s="29" t="s">
        <v>291</v>
      </c>
      <c r="O434" s="29" t="s">
        <v>272</v>
      </c>
      <c r="P434" s="29" t="s">
        <v>361</v>
      </c>
      <c r="Q434" s="29" t="s">
        <v>273</v>
      </c>
    </row>
    <row r="435" spans="1:17" s="29" customFormat="1">
      <c r="A435" s="160">
        <v>1.1626655208333333E-2</v>
      </c>
      <c r="B435" s="29" t="s">
        <v>116</v>
      </c>
      <c r="E435" s="29" t="s">
        <v>122</v>
      </c>
      <c r="G435" s="29" t="s">
        <v>204</v>
      </c>
      <c r="I435" s="161">
        <v>46237.756423611114</v>
      </c>
      <c r="J435" s="29" t="s">
        <v>359</v>
      </c>
      <c r="K435" s="29" t="s">
        <v>274</v>
      </c>
      <c r="L435" s="162">
        <v>46173</v>
      </c>
      <c r="M435" s="29" t="s">
        <v>360</v>
      </c>
      <c r="N435" s="29" t="s">
        <v>291</v>
      </c>
      <c r="O435" s="29" t="s">
        <v>272</v>
      </c>
      <c r="P435" s="29" t="s">
        <v>361</v>
      </c>
      <c r="Q435" s="29" t="s">
        <v>273</v>
      </c>
    </row>
    <row r="436" spans="1:17" s="29" customFormat="1">
      <c r="A436" s="160">
        <v>1.1581607893518519E-2</v>
      </c>
      <c r="B436" s="29" t="s">
        <v>116</v>
      </c>
      <c r="C436" s="29" t="s">
        <v>380</v>
      </c>
      <c r="E436" s="29" t="s">
        <v>127</v>
      </c>
      <c r="G436" s="29" t="s">
        <v>204</v>
      </c>
      <c r="I436" s="161">
        <v>46237.756319444445</v>
      </c>
      <c r="J436" s="29" t="s">
        <v>359</v>
      </c>
      <c r="K436" s="29" t="s">
        <v>274</v>
      </c>
      <c r="L436" s="162">
        <v>46173</v>
      </c>
      <c r="M436" s="29" t="s">
        <v>360</v>
      </c>
      <c r="N436" s="29" t="s">
        <v>291</v>
      </c>
      <c r="O436" s="29" t="s">
        <v>272</v>
      </c>
      <c r="P436" s="29" t="s">
        <v>361</v>
      </c>
      <c r="Q436" s="29" t="s">
        <v>273</v>
      </c>
    </row>
    <row r="437" spans="1:17" s="29" customFormat="1">
      <c r="A437" s="160">
        <v>1.1508946886574074E-2</v>
      </c>
      <c r="B437" s="29" t="s">
        <v>116</v>
      </c>
      <c r="C437" s="29" t="s">
        <v>363</v>
      </c>
      <c r="E437" s="29" t="s">
        <v>127</v>
      </c>
      <c r="G437" s="29" t="s">
        <v>204</v>
      </c>
      <c r="I437" s="161">
        <v>46237.755914351852</v>
      </c>
      <c r="J437" s="29" t="s">
        <v>359</v>
      </c>
      <c r="K437" s="29" t="s">
        <v>274</v>
      </c>
      <c r="L437" s="162">
        <v>46173</v>
      </c>
      <c r="M437" s="29" t="s">
        <v>360</v>
      </c>
      <c r="N437" s="29" t="s">
        <v>291</v>
      </c>
      <c r="O437" s="29" t="s">
        <v>272</v>
      </c>
      <c r="P437" s="29" t="s">
        <v>361</v>
      </c>
      <c r="Q437" s="29" t="s">
        <v>273</v>
      </c>
    </row>
    <row r="438" spans="1:17" s="29" customFormat="1">
      <c r="A438" s="160">
        <v>1.1440524965277778E-2</v>
      </c>
      <c r="B438" s="29" t="s">
        <v>116</v>
      </c>
      <c r="C438" s="29" t="s">
        <v>372</v>
      </c>
      <c r="E438" s="29" t="s">
        <v>127</v>
      </c>
      <c r="G438" s="29" t="s">
        <v>204</v>
      </c>
      <c r="I438" s="161">
        <v>46237.75540509259</v>
      </c>
      <c r="J438" s="29" t="s">
        <v>359</v>
      </c>
      <c r="K438" s="29" t="s">
        <v>274</v>
      </c>
      <c r="L438" s="162">
        <v>46173</v>
      </c>
      <c r="M438" s="29" t="s">
        <v>360</v>
      </c>
      <c r="N438" s="29" t="s">
        <v>291</v>
      </c>
      <c r="O438" s="29" t="s">
        <v>272</v>
      </c>
      <c r="P438" s="29" t="s">
        <v>361</v>
      </c>
      <c r="Q438" s="29" t="s">
        <v>273</v>
      </c>
    </row>
    <row r="439" spans="1:17" s="29" customFormat="1">
      <c r="A439" s="160">
        <v>1.1396453645833334E-2</v>
      </c>
      <c r="B439" s="29" t="s">
        <v>116</v>
      </c>
      <c r="C439" s="29" t="s">
        <v>376</v>
      </c>
      <c r="E439" s="29" t="s">
        <v>127</v>
      </c>
      <c r="G439" s="29" t="s">
        <v>204</v>
      </c>
      <c r="I439" s="161">
        <v>46237.755046296297</v>
      </c>
      <c r="J439" s="29" t="s">
        <v>359</v>
      </c>
      <c r="K439" s="29" t="s">
        <v>274</v>
      </c>
      <c r="L439" s="162">
        <v>46173</v>
      </c>
      <c r="M439" s="29" t="s">
        <v>360</v>
      </c>
      <c r="N439" s="29" t="s">
        <v>291</v>
      </c>
      <c r="O439" s="29" t="s">
        <v>272</v>
      </c>
      <c r="P439" s="29" t="s">
        <v>361</v>
      </c>
      <c r="Q439" s="29" t="s">
        <v>273</v>
      </c>
    </row>
    <row r="440" spans="1:17" s="29" customFormat="1">
      <c r="A440" s="160">
        <v>1.1323477708333333E-2</v>
      </c>
      <c r="B440" s="29" t="s">
        <v>116</v>
      </c>
      <c r="C440" s="29" t="s">
        <v>366</v>
      </c>
      <c r="E440" s="29" t="s">
        <v>127</v>
      </c>
      <c r="G440" s="29" t="s">
        <v>204</v>
      </c>
      <c r="I440" s="161">
        <v>46237.754699074074</v>
      </c>
      <c r="J440" s="29" t="s">
        <v>359</v>
      </c>
      <c r="K440" s="29" t="s">
        <v>274</v>
      </c>
      <c r="L440" s="162">
        <v>46173</v>
      </c>
      <c r="M440" s="29" t="s">
        <v>360</v>
      </c>
      <c r="N440" s="29" t="s">
        <v>291</v>
      </c>
      <c r="O440" s="29" t="s">
        <v>272</v>
      </c>
      <c r="P440" s="29" t="s">
        <v>361</v>
      </c>
      <c r="Q440" s="29" t="s">
        <v>273</v>
      </c>
    </row>
    <row r="441" spans="1:17" s="29" customFormat="1">
      <c r="A441" s="160">
        <v>1.1312566666666666E-2</v>
      </c>
      <c r="B441" s="29" t="s">
        <v>116</v>
      </c>
      <c r="C441" s="29" t="s">
        <v>367</v>
      </c>
      <c r="E441" s="29" t="s">
        <v>59</v>
      </c>
      <c r="G441" s="29" t="s">
        <v>204</v>
      </c>
      <c r="I441" s="161">
        <v>46237.754027777781</v>
      </c>
      <c r="J441" s="29" t="s">
        <v>359</v>
      </c>
      <c r="K441" s="29" t="s">
        <v>274</v>
      </c>
      <c r="L441" s="162">
        <v>46173</v>
      </c>
      <c r="M441" s="29" t="s">
        <v>360</v>
      </c>
      <c r="N441" s="29" t="s">
        <v>291</v>
      </c>
      <c r="O441" s="29" t="s">
        <v>272</v>
      </c>
      <c r="P441" s="29" t="s">
        <v>361</v>
      </c>
      <c r="Q441" s="29" t="s">
        <v>273</v>
      </c>
    </row>
    <row r="442" spans="1:17" s="29" customFormat="1">
      <c r="A442" s="160">
        <v>1.1217348599537037E-2</v>
      </c>
      <c r="B442" s="29" t="s">
        <v>116</v>
      </c>
      <c r="C442" s="29" t="s">
        <v>83</v>
      </c>
      <c r="E442" s="29" t="s">
        <v>58</v>
      </c>
      <c r="G442" s="29" t="s">
        <v>204</v>
      </c>
      <c r="I442" s="161">
        <v>46237.753078703703</v>
      </c>
      <c r="J442" s="29" t="s">
        <v>359</v>
      </c>
      <c r="K442" s="29" t="s">
        <v>274</v>
      </c>
      <c r="L442" s="162">
        <v>46173</v>
      </c>
      <c r="M442" s="29" t="s">
        <v>360</v>
      </c>
      <c r="N442" s="29" t="s">
        <v>291</v>
      </c>
      <c r="O442" s="29" t="s">
        <v>272</v>
      </c>
      <c r="P442" s="29" t="s">
        <v>361</v>
      </c>
      <c r="Q442" s="29" t="s">
        <v>273</v>
      </c>
    </row>
    <row r="443" spans="1:17" s="29" customFormat="1">
      <c r="A443" s="160">
        <v>1.1169977129629629E-2</v>
      </c>
      <c r="B443" s="29" t="s">
        <v>116</v>
      </c>
      <c r="C443" s="29" t="s">
        <v>367</v>
      </c>
      <c r="E443" s="29" t="s">
        <v>127</v>
      </c>
      <c r="G443" s="29" t="s">
        <v>204</v>
      </c>
      <c r="I443" s="161">
        <v>46237.752581018518</v>
      </c>
      <c r="J443" s="29" t="s">
        <v>359</v>
      </c>
      <c r="K443" s="29" t="s">
        <v>274</v>
      </c>
      <c r="L443" s="162">
        <v>46173</v>
      </c>
      <c r="M443" s="29" t="s">
        <v>360</v>
      </c>
      <c r="N443" s="29" t="s">
        <v>291</v>
      </c>
      <c r="O443" s="29" t="s">
        <v>272</v>
      </c>
      <c r="P443" s="29" t="s">
        <v>361</v>
      </c>
      <c r="Q443" s="29" t="s">
        <v>273</v>
      </c>
    </row>
    <row r="444" spans="1:17" s="29" customFormat="1">
      <c r="A444" s="160">
        <v>1.1121843576388889E-2</v>
      </c>
      <c r="B444" s="29" t="s">
        <v>116</v>
      </c>
      <c r="C444" s="29" t="s">
        <v>380</v>
      </c>
      <c r="E444" s="29" t="s">
        <v>127</v>
      </c>
      <c r="G444" s="29" t="s">
        <v>204</v>
      </c>
      <c r="I444" s="161">
        <v>46237.752222222225</v>
      </c>
      <c r="J444" s="29" t="s">
        <v>359</v>
      </c>
      <c r="K444" s="29" t="s">
        <v>274</v>
      </c>
      <c r="L444" s="162">
        <v>46173</v>
      </c>
      <c r="M444" s="29" t="s">
        <v>360</v>
      </c>
      <c r="N444" s="29" t="s">
        <v>291</v>
      </c>
      <c r="O444" s="29" t="s">
        <v>272</v>
      </c>
      <c r="P444" s="29" t="s">
        <v>361</v>
      </c>
      <c r="Q444" s="29" t="s">
        <v>273</v>
      </c>
    </row>
    <row r="445" spans="1:17" s="29" customFormat="1">
      <c r="A445" s="160">
        <v>1.1040820405092593E-2</v>
      </c>
      <c r="B445" s="29" t="s">
        <v>116</v>
      </c>
      <c r="C445" s="29" t="s">
        <v>83</v>
      </c>
      <c r="E445" s="29" t="s">
        <v>127</v>
      </c>
      <c r="G445" s="29" t="s">
        <v>204</v>
      </c>
      <c r="I445" s="161">
        <v>46237.75209490741</v>
      </c>
      <c r="J445" s="29" t="s">
        <v>359</v>
      </c>
      <c r="K445" s="29" t="s">
        <v>274</v>
      </c>
      <c r="L445" s="162">
        <v>46173</v>
      </c>
      <c r="M445" s="29" t="s">
        <v>360</v>
      </c>
      <c r="N445" s="29" t="s">
        <v>291</v>
      </c>
      <c r="O445" s="29" t="s">
        <v>272</v>
      </c>
      <c r="P445" s="29" t="s">
        <v>361</v>
      </c>
      <c r="Q445" s="29" t="s">
        <v>273</v>
      </c>
    </row>
    <row r="446" spans="1:17" s="29" customFormat="1">
      <c r="A446" s="160">
        <v>1.0994398321759259E-2</v>
      </c>
      <c r="B446" s="29" t="s">
        <v>116</v>
      </c>
      <c r="C446" s="29" t="s">
        <v>83</v>
      </c>
      <c r="E446" s="29" t="s">
        <v>127</v>
      </c>
      <c r="G446" s="29" t="s">
        <v>204</v>
      </c>
      <c r="I446" s="161">
        <v>46237.75199074074</v>
      </c>
      <c r="J446" s="29" t="s">
        <v>359</v>
      </c>
      <c r="K446" s="29" t="s">
        <v>274</v>
      </c>
      <c r="L446" s="162">
        <v>46173</v>
      </c>
      <c r="M446" s="29" t="s">
        <v>360</v>
      </c>
      <c r="N446" s="29" t="s">
        <v>291</v>
      </c>
      <c r="O446" s="29" t="s">
        <v>272</v>
      </c>
      <c r="P446" s="29" t="s">
        <v>361</v>
      </c>
      <c r="Q446" s="29" t="s">
        <v>273</v>
      </c>
    </row>
    <row r="447" spans="1:17" s="29" customFormat="1">
      <c r="A447" s="160">
        <v>1.0913856585648149E-2</v>
      </c>
      <c r="B447" s="29" t="s">
        <v>116</v>
      </c>
      <c r="C447" s="29" t="s">
        <v>371</v>
      </c>
      <c r="E447" s="29" t="s">
        <v>127</v>
      </c>
      <c r="G447" s="29" t="s">
        <v>204</v>
      </c>
      <c r="I447" s="161">
        <v>46237.751655092594</v>
      </c>
      <c r="J447" s="29" t="s">
        <v>359</v>
      </c>
      <c r="K447" s="29" t="s">
        <v>274</v>
      </c>
      <c r="L447" s="162">
        <v>46173</v>
      </c>
      <c r="M447" s="29" t="s">
        <v>360</v>
      </c>
      <c r="N447" s="29" t="s">
        <v>291</v>
      </c>
      <c r="O447" s="29" t="s">
        <v>272</v>
      </c>
      <c r="P447" s="29" t="s">
        <v>361</v>
      </c>
      <c r="Q447" s="29" t="s">
        <v>273</v>
      </c>
    </row>
    <row r="448" spans="1:17" s="29" customFormat="1">
      <c r="A448" s="160">
        <v>1.0899224409722222E-2</v>
      </c>
      <c r="B448" s="29" t="s">
        <v>116</v>
      </c>
      <c r="C448" s="29" t="s">
        <v>380</v>
      </c>
      <c r="E448" s="29" t="s">
        <v>127</v>
      </c>
      <c r="G448" s="29" t="s">
        <v>204</v>
      </c>
      <c r="I448" s="161">
        <v>46237.751307870371</v>
      </c>
      <c r="J448" s="29" t="s">
        <v>359</v>
      </c>
      <c r="K448" s="29" t="s">
        <v>274</v>
      </c>
      <c r="L448" s="162">
        <v>46173</v>
      </c>
      <c r="M448" s="29" t="s">
        <v>360</v>
      </c>
      <c r="N448" s="29" t="s">
        <v>291</v>
      </c>
      <c r="O448" s="29" t="s">
        <v>272</v>
      </c>
      <c r="P448" s="29" t="s">
        <v>361</v>
      </c>
      <c r="Q448" s="29" t="s">
        <v>273</v>
      </c>
    </row>
    <row r="449" spans="1:17" s="29" customFormat="1">
      <c r="A449" s="160">
        <v>1.0881828819444444E-2</v>
      </c>
      <c r="B449" s="29" t="s">
        <v>116</v>
      </c>
      <c r="C449" s="29" t="s">
        <v>376</v>
      </c>
      <c r="E449" s="29" t="s">
        <v>127</v>
      </c>
      <c r="G449" s="29" t="s">
        <v>204</v>
      </c>
      <c r="I449" s="161">
        <v>46237.751203703701</v>
      </c>
      <c r="J449" s="29" t="s">
        <v>359</v>
      </c>
      <c r="K449" s="29" t="s">
        <v>274</v>
      </c>
      <c r="L449" s="162">
        <v>46173</v>
      </c>
      <c r="M449" s="29" t="s">
        <v>360</v>
      </c>
      <c r="N449" s="29" t="s">
        <v>291</v>
      </c>
      <c r="O449" s="29" t="s">
        <v>272</v>
      </c>
      <c r="P449" s="29" t="s">
        <v>361</v>
      </c>
      <c r="Q449" s="29" t="s">
        <v>273</v>
      </c>
    </row>
    <row r="450" spans="1:17" s="29" customFormat="1">
      <c r="A450" s="160">
        <v>1.0816072361111111E-2</v>
      </c>
      <c r="B450" s="29" t="s">
        <v>116</v>
      </c>
      <c r="C450" s="29" t="s">
        <v>364</v>
      </c>
      <c r="E450" s="29" t="s">
        <v>127</v>
      </c>
      <c r="G450" s="29" t="s">
        <v>204</v>
      </c>
      <c r="I450" s="161">
        <v>46237.750810185185</v>
      </c>
      <c r="J450" s="29" t="s">
        <v>359</v>
      </c>
      <c r="K450" s="29" t="s">
        <v>274</v>
      </c>
      <c r="L450" s="162">
        <v>46173</v>
      </c>
      <c r="M450" s="29" t="s">
        <v>360</v>
      </c>
      <c r="N450" s="29" t="s">
        <v>291</v>
      </c>
      <c r="O450" s="29" t="s">
        <v>272</v>
      </c>
      <c r="P450" s="29" t="s">
        <v>361</v>
      </c>
      <c r="Q450" s="29" t="s">
        <v>273</v>
      </c>
    </row>
    <row r="451" spans="1:17" s="29" customFormat="1">
      <c r="A451" s="160">
        <v>1.0790689212962964E-2</v>
      </c>
      <c r="B451" s="29" t="s">
        <v>116</v>
      </c>
      <c r="C451" s="29" t="s">
        <v>380</v>
      </c>
      <c r="E451" s="29" t="s">
        <v>59</v>
      </c>
      <c r="G451" s="29" t="s">
        <v>204</v>
      </c>
      <c r="I451" s="161">
        <v>46237.750104166669</v>
      </c>
      <c r="J451" s="29" t="s">
        <v>359</v>
      </c>
      <c r="K451" s="29" t="s">
        <v>274</v>
      </c>
      <c r="L451" s="162">
        <v>46173</v>
      </c>
      <c r="M451" s="29" t="s">
        <v>360</v>
      </c>
      <c r="N451" s="29" t="s">
        <v>291</v>
      </c>
      <c r="O451" s="29" t="s">
        <v>272</v>
      </c>
      <c r="P451" s="29" t="s">
        <v>361</v>
      </c>
      <c r="Q451" s="29" t="s">
        <v>273</v>
      </c>
    </row>
    <row r="452" spans="1:17" s="29" customFormat="1">
      <c r="A452" s="160">
        <v>1.0755964375E-2</v>
      </c>
      <c r="B452" s="29" t="s">
        <v>116</v>
      </c>
      <c r="C452" s="29" t="s">
        <v>379</v>
      </c>
      <c r="E452" s="29" t="s">
        <v>127</v>
      </c>
      <c r="G452" s="29" t="s">
        <v>204</v>
      </c>
      <c r="I452" s="161">
        <v>46237.749965277777</v>
      </c>
      <c r="J452" s="29" t="s">
        <v>359</v>
      </c>
      <c r="K452" s="29" t="s">
        <v>274</v>
      </c>
      <c r="L452" s="162">
        <v>46173</v>
      </c>
      <c r="M452" s="29" t="s">
        <v>360</v>
      </c>
      <c r="N452" s="29" t="s">
        <v>291</v>
      </c>
      <c r="O452" s="29" t="s">
        <v>272</v>
      </c>
      <c r="P452" s="29" t="s">
        <v>361</v>
      </c>
      <c r="Q452" s="29" t="s">
        <v>273</v>
      </c>
    </row>
    <row r="453" spans="1:17" s="29" customFormat="1">
      <c r="A453" s="160">
        <v>1.0663408773148149E-2</v>
      </c>
      <c r="B453" s="29" t="s">
        <v>116</v>
      </c>
      <c r="C453" s="29" t="s">
        <v>364</v>
      </c>
      <c r="E453" s="29" t="s">
        <v>127</v>
      </c>
      <c r="G453" s="29" t="s">
        <v>204</v>
      </c>
      <c r="I453" s="161">
        <v>46237.749710648146</v>
      </c>
      <c r="J453" s="29" t="s">
        <v>359</v>
      </c>
      <c r="K453" s="29" t="s">
        <v>274</v>
      </c>
      <c r="L453" s="162">
        <v>46173</v>
      </c>
      <c r="M453" s="29" t="s">
        <v>360</v>
      </c>
      <c r="N453" s="29" t="s">
        <v>291</v>
      </c>
      <c r="O453" s="29" t="s">
        <v>272</v>
      </c>
      <c r="P453" s="29" t="s">
        <v>361</v>
      </c>
      <c r="Q453" s="29" t="s">
        <v>273</v>
      </c>
    </row>
    <row r="454" spans="1:17" s="29" customFormat="1">
      <c r="A454" s="160">
        <v>1.0639385509259259E-2</v>
      </c>
      <c r="B454" s="29" t="s">
        <v>116</v>
      </c>
      <c r="C454" s="29" t="s">
        <v>367</v>
      </c>
      <c r="E454" s="29" t="s">
        <v>128</v>
      </c>
      <c r="G454" s="29" t="s">
        <v>117</v>
      </c>
      <c r="I454" s="161">
        <v>46237.744421296295</v>
      </c>
      <c r="J454" s="29" t="s">
        <v>359</v>
      </c>
      <c r="K454" s="29" t="s">
        <v>274</v>
      </c>
      <c r="L454" s="162">
        <v>46173</v>
      </c>
      <c r="M454" s="29" t="s">
        <v>360</v>
      </c>
      <c r="N454" s="29" t="s">
        <v>291</v>
      </c>
      <c r="O454" s="29" t="s">
        <v>272</v>
      </c>
      <c r="P454" s="29" t="s">
        <v>361</v>
      </c>
      <c r="Q454" s="29" t="s">
        <v>273</v>
      </c>
    </row>
    <row r="455" spans="1:17" s="29" customFormat="1">
      <c r="A455" s="160">
        <v>1.0273113344907407E-2</v>
      </c>
      <c r="B455" s="29" t="s">
        <v>116</v>
      </c>
      <c r="E455" s="29" t="s">
        <v>123</v>
      </c>
      <c r="G455" s="29" t="s">
        <v>117</v>
      </c>
      <c r="I455" s="161">
        <v>46237.741574074076</v>
      </c>
      <c r="J455" s="29" t="s">
        <v>359</v>
      </c>
      <c r="K455" s="29" t="s">
        <v>274</v>
      </c>
      <c r="L455" s="162">
        <v>46173</v>
      </c>
      <c r="M455" s="29" t="s">
        <v>360</v>
      </c>
      <c r="N455" s="29" t="s">
        <v>291</v>
      </c>
      <c r="O455" s="29" t="s">
        <v>272</v>
      </c>
      <c r="P455" s="29" t="s">
        <v>361</v>
      </c>
      <c r="Q455" s="29" t="s">
        <v>273</v>
      </c>
    </row>
    <row r="456" spans="1:17" s="29" customFormat="1">
      <c r="A456" s="160">
        <v>1.0037406631944445E-2</v>
      </c>
      <c r="B456" s="29" t="s">
        <v>116</v>
      </c>
      <c r="E456" s="29" t="s">
        <v>253</v>
      </c>
      <c r="F456" s="29" t="s">
        <v>247</v>
      </c>
      <c r="G456" s="29" t="s">
        <v>117</v>
      </c>
      <c r="I456" s="161">
        <v>46237.741435185184</v>
      </c>
      <c r="J456" s="29" t="s">
        <v>359</v>
      </c>
      <c r="K456" s="29" t="s">
        <v>274</v>
      </c>
      <c r="L456" s="162">
        <v>46173</v>
      </c>
      <c r="M456" s="29" t="s">
        <v>360</v>
      </c>
      <c r="N456" s="29" t="s">
        <v>291</v>
      </c>
      <c r="O456" s="29" t="s">
        <v>272</v>
      </c>
      <c r="P456" s="29" t="s">
        <v>361</v>
      </c>
      <c r="Q456" s="29" t="s">
        <v>273</v>
      </c>
    </row>
    <row r="457" spans="1:17" s="29" customFormat="1">
      <c r="A457" s="160">
        <v>1.000258082175926E-2</v>
      </c>
      <c r="B457" s="29" t="s">
        <v>116</v>
      </c>
      <c r="E457" s="29" t="s">
        <v>127</v>
      </c>
      <c r="G457" s="29" t="s">
        <v>117</v>
      </c>
      <c r="I457" s="161">
        <v>46237.740972222222</v>
      </c>
      <c r="J457" s="29" t="s">
        <v>359</v>
      </c>
      <c r="K457" s="29" t="s">
        <v>274</v>
      </c>
      <c r="L457" s="162">
        <v>46173</v>
      </c>
      <c r="M457" s="29" t="s">
        <v>360</v>
      </c>
      <c r="N457" s="29" t="s">
        <v>291</v>
      </c>
      <c r="O457" s="29" t="s">
        <v>272</v>
      </c>
      <c r="P457" s="29" t="s">
        <v>361</v>
      </c>
      <c r="Q457" s="29" t="s">
        <v>273</v>
      </c>
    </row>
    <row r="458" spans="1:17" s="29" customFormat="1">
      <c r="A458" s="160">
        <v>9.9716966666666667E-3</v>
      </c>
      <c r="B458" s="29" t="s">
        <v>116</v>
      </c>
      <c r="C458" s="29" t="s">
        <v>366</v>
      </c>
      <c r="E458" s="29" t="s">
        <v>129</v>
      </c>
      <c r="G458" s="29" t="s">
        <v>204</v>
      </c>
      <c r="I458" s="161">
        <v>46237.740601851852</v>
      </c>
      <c r="J458" s="29" t="s">
        <v>359</v>
      </c>
      <c r="K458" s="29" t="s">
        <v>274</v>
      </c>
      <c r="L458" s="162">
        <v>46173</v>
      </c>
      <c r="M458" s="29" t="s">
        <v>360</v>
      </c>
      <c r="N458" s="29" t="s">
        <v>291</v>
      </c>
      <c r="O458" s="29" t="s">
        <v>272</v>
      </c>
      <c r="P458" s="29" t="s">
        <v>361</v>
      </c>
      <c r="Q458" s="29" t="s">
        <v>273</v>
      </c>
    </row>
    <row r="459" spans="1:17" s="29" customFormat="1">
      <c r="A459" s="160">
        <v>9.8592225347222222E-3</v>
      </c>
      <c r="B459" s="29" t="s">
        <v>116</v>
      </c>
      <c r="E459" s="29" t="s">
        <v>123</v>
      </c>
      <c r="G459" s="29" t="s">
        <v>204</v>
      </c>
      <c r="I459" s="161">
        <v>46237.726134259261</v>
      </c>
      <c r="J459" s="29" t="s">
        <v>359</v>
      </c>
      <c r="K459" s="29" t="s">
        <v>274</v>
      </c>
      <c r="L459" s="162">
        <v>46173</v>
      </c>
      <c r="M459" s="29" t="s">
        <v>360</v>
      </c>
      <c r="N459" s="29" t="s">
        <v>291</v>
      </c>
      <c r="O459" s="29" t="s">
        <v>272</v>
      </c>
      <c r="P459" s="29" t="s">
        <v>361</v>
      </c>
      <c r="Q459" s="29" t="s">
        <v>273</v>
      </c>
    </row>
    <row r="460" spans="1:17" s="29" customFormat="1">
      <c r="A460" s="160">
        <v>9.5958456018518518E-3</v>
      </c>
      <c r="B460" s="29" t="s">
        <v>116</v>
      </c>
      <c r="C460" s="29" t="s">
        <v>364</v>
      </c>
      <c r="D460" s="29" t="s">
        <v>244</v>
      </c>
      <c r="E460" s="29" t="s">
        <v>254</v>
      </c>
      <c r="F460" s="29" t="s">
        <v>83</v>
      </c>
      <c r="G460" s="29" t="s">
        <v>204</v>
      </c>
      <c r="I460" s="161">
        <v>46237.725891203707</v>
      </c>
      <c r="J460" s="29" t="s">
        <v>359</v>
      </c>
      <c r="K460" s="29" t="s">
        <v>274</v>
      </c>
      <c r="L460" s="162">
        <v>46173</v>
      </c>
      <c r="M460" s="29" t="s">
        <v>360</v>
      </c>
      <c r="N460" s="29" t="s">
        <v>291</v>
      </c>
      <c r="O460" s="29" t="s">
        <v>272</v>
      </c>
      <c r="P460" s="29" t="s">
        <v>361</v>
      </c>
      <c r="Q460" s="29" t="s">
        <v>273</v>
      </c>
    </row>
    <row r="461" spans="1:17" s="29" customFormat="1">
      <c r="A461" s="160">
        <v>9.549717453703704E-3</v>
      </c>
      <c r="B461" s="29" t="s">
        <v>116</v>
      </c>
      <c r="E461" s="29" t="s">
        <v>226</v>
      </c>
      <c r="G461" s="29" t="s">
        <v>117</v>
      </c>
      <c r="I461" s="161">
        <v>46237.725300925929</v>
      </c>
      <c r="J461" s="29" t="s">
        <v>359</v>
      </c>
      <c r="K461" s="29" t="s">
        <v>274</v>
      </c>
      <c r="L461" s="162">
        <v>46173</v>
      </c>
      <c r="M461" s="29" t="s">
        <v>360</v>
      </c>
      <c r="N461" s="29" t="s">
        <v>291</v>
      </c>
      <c r="O461" s="29" t="s">
        <v>272</v>
      </c>
      <c r="P461" s="29" t="s">
        <v>361</v>
      </c>
      <c r="Q461" s="29" t="s">
        <v>273</v>
      </c>
    </row>
    <row r="462" spans="1:17" s="29" customFormat="1">
      <c r="A462" s="160">
        <v>9.5312842245370375E-3</v>
      </c>
      <c r="B462" s="29" t="s">
        <v>116</v>
      </c>
      <c r="E462" s="29" t="s">
        <v>224</v>
      </c>
      <c r="G462" s="29" t="s">
        <v>204</v>
      </c>
      <c r="I462" s="161">
        <v>46237.725266203706</v>
      </c>
      <c r="J462" s="29" t="s">
        <v>359</v>
      </c>
      <c r="K462" s="29" t="s">
        <v>274</v>
      </c>
      <c r="L462" s="162">
        <v>46173</v>
      </c>
      <c r="M462" s="29" t="s">
        <v>360</v>
      </c>
      <c r="N462" s="29" t="s">
        <v>291</v>
      </c>
      <c r="O462" s="29" t="s">
        <v>272</v>
      </c>
      <c r="P462" s="29" t="s">
        <v>361</v>
      </c>
      <c r="Q462" s="29" t="s">
        <v>273</v>
      </c>
    </row>
    <row r="463" spans="1:17" s="29" customFormat="1">
      <c r="A463" s="160">
        <v>9.4947503819444445E-3</v>
      </c>
      <c r="B463" s="29" t="s">
        <v>116</v>
      </c>
      <c r="C463" s="29" t="s">
        <v>371</v>
      </c>
      <c r="E463" s="29" t="s">
        <v>127</v>
      </c>
      <c r="G463" s="29" t="s">
        <v>204</v>
      </c>
      <c r="I463" s="161">
        <v>46237.724108796298</v>
      </c>
      <c r="J463" s="29" t="s">
        <v>359</v>
      </c>
      <c r="K463" s="29" t="s">
        <v>274</v>
      </c>
      <c r="L463" s="162">
        <v>46173</v>
      </c>
      <c r="M463" s="29" t="s">
        <v>360</v>
      </c>
      <c r="N463" s="29" t="s">
        <v>291</v>
      </c>
      <c r="O463" s="29" t="s">
        <v>272</v>
      </c>
      <c r="P463" s="29" t="s">
        <v>361</v>
      </c>
      <c r="Q463" s="29" t="s">
        <v>273</v>
      </c>
    </row>
    <row r="464" spans="1:17" s="29" customFormat="1">
      <c r="A464" s="160">
        <v>9.4212962962962957E-3</v>
      </c>
      <c r="B464" s="29" t="s">
        <v>116</v>
      </c>
      <c r="C464" s="29" t="s">
        <v>364</v>
      </c>
      <c r="E464" s="29" t="s">
        <v>127</v>
      </c>
      <c r="G464" s="29" t="s">
        <v>204</v>
      </c>
      <c r="I464" s="161">
        <v>46237.723506944443</v>
      </c>
      <c r="J464" s="29" t="s">
        <v>359</v>
      </c>
      <c r="K464" s="29" t="s">
        <v>274</v>
      </c>
      <c r="L464" s="162">
        <v>46173</v>
      </c>
      <c r="M464" s="29" t="s">
        <v>360</v>
      </c>
      <c r="N464" s="29" t="s">
        <v>291</v>
      </c>
      <c r="O464" s="29" t="s">
        <v>272</v>
      </c>
      <c r="P464" s="29" t="s">
        <v>361</v>
      </c>
      <c r="Q464" s="29" t="s">
        <v>273</v>
      </c>
    </row>
    <row r="465" spans="1:17" s="29" customFormat="1">
      <c r="A465" s="160">
        <v>9.4055157754629626E-3</v>
      </c>
      <c r="B465" s="29" t="s">
        <v>116</v>
      </c>
      <c r="C465" s="29" t="s">
        <v>366</v>
      </c>
      <c r="E465" s="29" t="s">
        <v>127</v>
      </c>
      <c r="G465" s="29" t="s">
        <v>204</v>
      </c>
      <c r="I465" s="161">
        <v>46237.723217592589</v>
      </c>
      <c r="J465" s="29" t="s">
        <v>359</v>
      </c>
      <c r="K465" s="29" t="s">
        <v>274</v>
      </c>
      <c r="L465" s="162">
        <v>46173</v>
      </c>
      <c r="M465" s="29" t="s">
        <v>360</v>
      </c>
      <c r="N465" s="29" t="s">
        <v>291</v>
      </c>
      <c r="O465" s="29" t="s">
        <v>272</v>
      </c>
      <c r="P465" s="29" t="s">
        <v>361</v>
      </c>
      <c r="Q465" s="29" t="s">
        <v>273</v>
      </c>
    </row>
    <row r="466" spans="1:17" s="29" customFormat="1">
      <c r="A466" s="160">
        <v>9.3886348148148144E-3</v>
      </c>
      <c r="B466" s="29" t="s">
        <v>116</v>
      </c>
      <c r="C466" s="29" t="s">
        <v>375</v>
      </c>
      <c r="E466" s="29" t="s">
        <v>59</v>
      </c>
      <c r="G466" s="29" t="s">
        <v>204</v>
      </c>
      <c r="I466" s="161">
        <v>46237.722905092596</v>
      </c>
      <c r="J466" s="29" t="s">
        <v>359</v>
      </c>
      <c r="K466" s="29" t="s">
        <v>274</v>
      </c>
      <c r="L466" s="162">
        <v>46173</v>
      </c>
      <c r="M466" s="29" t="s">
        <v>360</v>
      </c>
      <c r="N466" s="29" t="s">
        <v>291</v>
      </c>
      <c r="O466" s="29" t="s">
        <v>272</v>
      </c>
      <c r="P466" s="29" t="s">
        <v>361</v>
      </c>
      <c r="Q466" s="29" t="s">
        <v>273</v>
      </c>
    </row>
    <row r="467" spans="1:17" s="29" customFormat="1">
      <c r="A467" s="160">
        <v>9.3717697569444449E-3</v>
      </c>
      <c r="B467" s="29" t="s">
        <v>116</v>
      </c>
      <c r="C467" s="29" t="s">
        <v>380</v>
      </c>
      <c r="E467" s="29" t="s">
        <v>59</v>
      </c>
      <c r="G467" s="29" t="s">
        <v>204</v>
      </c>
      <c r="I467" s="161">
        <v>46237.72247685185</v>
      </c>
      <c r="J467" s="29" t="s">
        <v>359</v>
      </c>
      <c r="K467" s="29" t="s">
        <v>274</v>
      </c>
      <c r="L467" s="162">
        <v>46173</v>
      </c>
      <c r="M467" s="29" t="s">
        <v>360</v>
      </c>
      <c r="N467" s="29" t="s">
        <v>291</v>
      </c>
      <c r="O467" s="29" t="s">
        <v>272</v>
      </c>
      <c r="P467" s="29" t="s">
        <v>361</v>
      </c>
      <c r="Q467" s="29" t="s">
        <v>273</v>
      </c>
    </row>
    <row r="468" spans="1:17" s="29" customFormat="1">
      <c r="A468" s="160">
        <v>9.2970099074074081E-3</v>
      </c>
      <c r="B468" s="29" t="s">
        <v>116</v>
      </c>
      <c r="E468" s="29" t="s">
        <v>228</v>
      </c>
      <c r="G468" s="29" t="s">
        <v>204</v>
      </c>
      <c r="I468" s="161">
        <v>46237.722129629627</v>
      </c>
      <c r="J468" s="29" t="s">
        <v>359</v>
      </c>
      <c r="K468" s="29" t="s">
        <v>274</v>
      </c>
      <c r="L468" s="162">
        <v>46173</v>
      </c>
      <c r="M468" s="29" t="s">
        <v>360</v>
      </c>
      <c r="N468" s="29" t="s">
        <v>291</v>
      </c>
      <c r="O468" s="29" t="s">
        <v>272</v>
      </c>
      <c r="P468" s="29" t="s">
        <v>361</v>
      </c>
      <c r="Q468" s="29" t="s">
        <v>273</v>
      </c>
    </row>
    <row r="469" spans="1:17" s="29" customFormat="1">
      <c r="A469" s="160">
        <v>9.2563246064814812E-3</v>
      </c>
      <c r="B469" s="29" t="s">
        <v>116</v>
      </c>
      <c r="E469" s="29" t="s">
        <v>224</v>
      </c>
      <c r="G469" s="29" t="s">
        <v>117</v>
      </c>
      <c r="I469" s="161">
        <v>46237.722060185188</v>
      </c>
      <c r="J469" s="29" t="s">
        <v>359</v>
      </c>
      <c r="K469" s="29" t="s">
        <v>274</v>
      </c>
      <c r="L469" s="162">
        <v>46173</v>
      </c>
      <c r="M469" s="29" t="s">
        <v>360</v>
      </c>
      <c r="N469" s="29" t="s">
        <v>291</v>
      </c>
      <c r="O469" s="29" t="s">
        <v>272</v>
      </c>
      <c r="P469" s="29" t="s">
        <v>361</v>
      </c>
      <c r="Q469" s="29" t="s">
        <v>273</v>
      </c>
    </row>
    <row r="470" spans="1:17" s="29" customFormat="1">
      <c r="A470" s="160">
        <v>9.238771273148148E-3</v>
      </c>
      <c r="B470" s="29" t="s">
        <v>116</v>
      </c>
      <c r="E470" s="29" t="s">
        <v>226</v>
      </c>
      <c r="G470" s="29" t="s">
        <v>117</v>
      </c>
      <c r="I470" s="161">
        <v>46237.722013888888</v>
      </c>
      <c r="J470" s="29" t="s">
        <v>359</v>
      </c>
      <c r="K470" s="29" t="s">
        <v>274</v>
      </c>
      <c r="L470" s="162">
        <v>46173</v>
      </c>
      <c r="M470" s="29" t="s">
        <v>360</v>
      </c>
      <c r="N470" s="29" t="s">
        <v>291</v>
      </c>
      <c r="O470" s="29" t="s">
        <v>272</v>
      </c>
      <c r="P470" s="29" t="s">
        <v>361</v>
      </c>
      <c r="Q470" s="29" t="s">
        <v>273</v>
      </c>
    </row>
    <row r="471" spans="1:17" s="29" customFormat="1">
      <c r="A471" s="160">
        <v>9.2097702430555557E-3</v>
      </c>
      <c r="B471" s="29" t="s">
        <v>116</v>
      </c>
      <c r="E471" s="29" t="s">
        <v>224</v>
      </c>
      <c r="G471" s="29" t="s">
        <v>204</v>
      </c>
      <c r="I471" s="161">
        <v>46237.721909722219</v>
      </c>
      <c r="J471" s="29" t="s">
        <v>359</v>
      </c>
      <c r="K471" s="29" t="s">
        <v>274</v>
      </c>
      <c r="L471" s="162">
        <v>46173</v>
      </c>
      <c r="M471" s="29" t="s">
        <v>360</v>
      </c>
      <c r="N471" s="29" t="s">
        <v>291</v>
      </c>
      <c r="O471" s="29" t="s">
        <v>272</v>
      </c>
      <c r="P471" s="29" t="s">
        <v>361</v>
      </c>
      <c r="Q471" s="29" t="s">
        <v>273</v>
      </c>
    </row>
    <row r="472" spans="1:17" s="29" customFormat="1">
      <c r="A472" s="160">
        <v>9.1522906365740751E-3</v>
      </c>
      <c r="B472" s="29" t="s">
        <v>116</v>
      </c>
      <c r="C472" s="29" t="s">
        <v>372</v>
      </c>
      <c r="E472" s="29" t="s">
        <v>127</v>
      </c>
      <c r="G472" s="29" t="s">
        <v>204</v>
      </c>
      <c r="I472" s="161">
        <v>46237.721805555557</v>
      </c>
      <c r="J472" s="29" t="s">
        <v>359</v>
      </c>
      <c r="K472" s="29" t="s">
        <v>274</v>
      </c>
      <c r="L472" s="162">
        <v>46173</v>
      </c>
      <c r="M472" s="29" t="s">
        <v>360</v>
      </c>
      <c r="N472" s="29" t="s">
        <v>291</v>
      </c>
      <c r="O472" s="29" t="s">
        <v>272</v>
      </c>
      <c r="P472" s="29" t="s">
        <v>361</v>
      </c>
      <c r="Q472" s="29" t="s">
        <v>273</v>
      </c>
    </row>
    <row r="473" spans="1:17" s="29" customFormat="1">
      <c r="A473" s="160">
        <v>9.0616014467592588E-3</v>
      </c>
      <c r="B473" s="29" t="s">
        <v>116</v>
      </c>
      <c r="C473" s="29" t="s">
        <v>83</v>
      </c>
      <c r="E473" s="29" t="s">
        <v>127</v>
      </c>
      <c r="G473" s="29" t="s">
        <v>204</v>
      </c>
      <c r="I473" s="161">
        <v>46237.721006944441</v>
      </c>
      <c r="J473" s="29" t="s">
        <v>359</v>
      </c>
      <c r="K473" s="29" t="s">
        <v>274</v>
      </c>
      <c r="L473" s="162">
        <v>46173</v>
      </c>
      <c r="M473" s="29" t="s">
        <v>360</v>
      </c>
      <c r="N473" s="29" t="s">
        <v>291</v>
      </c>
      <c r="O473" s="29" t="s">
        <v>272</v>
      </c>
      <c r="P473" s="29" t="s">
        <v>361</v>
      </c>
      <c r="Q473" s="29" t="s">
        <v>273</v>
      </c>
    </row>
    <row r="474" spans="1:17" s="29" customFormat="1">
      <c r="A474" s="160">
        <v>9.0383177893518518E-3</v>
      </c>
      <c r="B474" s="29" t="s">
        <v>116</v>
      </c>
      <c r="E474" s="29" t="s">
        <v>132</v>
      </c>
      <c r="G474" s="29" t="s">
        <v>204</v>
      </c>
      <c r="I474" s="161">
        <v>46237.72084490741</v>
      </c>
      <c r="J474" s="29" t="s">
        <v>359</v>
      </c>
      <c r="K474" s="29" t="s">
        <v>274</v>
      </c>
      <c r="L474" s="162">
        <v>46173</v>
      </c>
      <c r="M474" s="29" t="s">
        <v>360</v>
      </c>
      <c r="N474" s="29" t="s">
        <v>291</v>
      </c>
      <c r="O474" s="29" t="s">
        <v>272</v>
      </c>
      <c r="P474" s="29" t="s">
        <v>361</v>
      </c>
      <c r="Q474" s="29" t="s">
        <v>273</v>
      </c>
    </row>
    <row r="475" spans="1:17" s="29" customFormat="1">
      <c r="A475" s="160">
        <v>8.493386041666667E-3</v>
      </c>
      <c r="B475" s="29" t="s">
        <v>116</v>
      </c>
      <c r="E475" s="29" t="s">
        <v>123</v>
      </c>
      <c r="G475" s="29" t="s">
        <v>204</v>
      </c>
      <c r="I475" s="161">
        <v>46237.720196759263</v>
      </c>
      <c r="J475" s="29" t="s">
        <v>359</v>
      </c>
      <c r="K475" s="29" t="s">
        <v>274</v>
      </c>
      <c r="L475" s="162">
        <v>46173</v>
      </c>
      <c r="M475" s="29" t="s">
        <v>360</v>
      </c>
      <c r="N475" s="29" t="s">
        <v>291</v>
      </c>
      <c r="O475" s="29" t="s">
        <v>272</v>
      </c>
      <c r="P475" s="29" t="s">
        <v>361</v>
      </c>
      <c r="Q475" s="29" t="s">
        <v>273</v>
      </c>
    </row>
    <row r="476" spans="1:17" s="29" customFormat="1">
      <c r="A476" s="160">
        <v>8.2637429861111104E-3</v>
      </c>
      <c r="B476" s="29" t="s">
        <v>116</v>
      </c>
      <c r="C476" s="29" t="s">
        <v>83</v>
      </c>
      <c r="D476" s="29" t="s">
        <v>83</v>
      </c>
      <c r="E476" s="29" t="s">
        <v>254</v>
      </c>
      <c r="F476" s="29" t="s">
        <v>247</v>
      </c>
      <c r="G476" s="29" t="s">
        <v>204</v>
      </c>
      <c r="I476" s="161">
        <v>46237.71979166667</v>
      </c>
      <c r="J476" s="29" t="s">
        <v>359</v>
      </c>
      <c r="K476" s="29" t="s">
        <v>274</v>
      </c>
      <c r="L476" s="162">
        <v>46173</v>
      </c>
      <c r="M476" s="29" t="s">
        <v>360</v>
      </c>
      <c r="N476" s="29" t="s">
        <v>291</v>
      </c>
      <c r="O476" s="29" t="s">
        <v>272</v>
      </c>
      <c r="P476" s="29" t="s">
        <v>361</v>
      </c>
      <c r="Q476" s="29" t="s">
        <v>273</v>
      </c>
    </row>
    <row r="477" spans="1:17" s="29" customFormat="1">
      <c r="A477" s="160">
        <v>8.2263061458333325E-3</v>
      </c>
      <c r="B477" s="29" t="s">
        <v>116</v>
      </c>
      <c r="C477" s="29" t="s">
        <v>83</v>
      </c>
      <c r="E477" s="29" t="s">
        <v>127</v>
      </c>
      <c r="G477" s="29" t="s">
        <v>204</v>
      </c>
      <c r="I477" s="161">
        <v>46237.719641203701</v>
      </c>
      <c r="J477" s="29" t="s">
        <v>359</v>
      </c>
      <c r="K477" s="29" t="s">
        <v>274</v>
      </c>
      <c r="L477" s="162">
        <v>46173</v>
      </c>
      <c r="M477" s="29" t="s">
        <v>360</v>
      </c>
      <c r="N477" s="29" t="s">
        <v>291</v>
      </c>
      <c r="O477" s="29" t="s">
        <v>272</v>
      </c>
      <c r="P477" s="29" t="s">
        <v>361</v>
      </c>
      <c r="Q477" s="29" t="s">
        <v>273</v>
      </c>
    </row>
    <row r="478" spans="1:17" s="29" customFormat="1">
      <c r="A478" s="160">
        <v>8.2057913773148153E-3</v>
      </c>
      <c r="B478" s="29" t="s">
        <v>116</v>
      </c>
      <c r="C478" s="29" t="s">
        <v>372</v>
      </c>
      <c r="E478" s="29" t="s">
        <v>127</v>
      </c>
      <c r="G478" s="29" t="s">
        <v>204</v>
      </c>
      <c r="I478" s="161">
        <v>46237.718819444446</v>
      </c>
      <c r="J478" s="29" t="s">
        <v>359</v>
      </c>
      <c r="K478" s="29" t="s">
        <v>274</v>
      </c>
      <c r="L478" s="162">
        <v>46173</v>
      </c>
      <c r="M478" s="29" t="s">
        <v>360</v>
      </c>
      <c r="N478" s="29" t="s">
        <v>291</v>
      </c>
      <c r="O478" s="29" t="s">
        <v>272</v>
      </c>
      <c r="P478" s="29" t="s">
        <v>361</v>
      </c>
      <c r="Q478" s="29" t="s">
        <v>273</v>
      </c>
    </row>
    <row r="479" spans="1:17" s="29" customFormat="1">
      <c r="A479" s="160">
        <v>8.1651071296296295E-3</v>
      </c>
      <c r="B479" s="29" t="s">
        <v>116</v>
      </c>
      <c r="C479" s="29" t="s">
        <v>367</v>
      </c>
      <c r="E479" s="29" t="s">
        <v>127</v>
      </c>
      <c r="G479" s="29" t="s">
        <v>204</v>
      </c>
      <c r="I479" s="161">
        <v>46237.718692129631</v>
      </c>
      <c r="J479" s="29" t="s">
        <v>359</v>
      </c>
      <c r="K479" s="29" t="s">
        <v>274</v>
      </c>
      <c r="L479" s="162">
        <v>46173</v>
      </c>
      <c r="M479" s="29" t="s">
        <v>360</v>
      </c>
      <c r="N479" s="29" t="s">
        <v>291</v>
      </c>
      <c r="O479" s="29" t="s">
        <v>272</v>
      </c>
      <c r="P479" s="29" t="s">
        <v>361</v>
      </c>
      <c r="Q479" s="29" t="s">
        <v>273</v>
      </c>
    </row>
    <row r="480" spans="1:17" s="29" customFormat="1">
      <c r="A480" s="160">
        <v>8.1469079398148146E-3</v>
      </c>
      <c r="B480" s="29" t="s">
        <v>116</v>
      </c>
      <c r="C480" s="29" t="s">
        <v>83</v>
      </c>
      <c r="E480" s="29" t="s">
        <v>60</v>
      </c>
      <c r="G480" s="29" t="s">
        <v>204</v>
      </c>
      <c r="I480" s="161">
        <v>46237.717800925922</v>
      </c>
      <c r="J480" s="29" t="s">
        <v>359</v>
      </c>
      <c r="K480" s="29" t="s">
        <v>274</v>
      </c>
      <c r="L480" s="162">
        <v>46173</v>
      </c>
      <c r="M480" s="29" t="s">
        <v>360</v>
      </c>
      <c r="N480" s="29" t="s">
        <v>291</v>
      </c>
      <c r="O480" s="29" t="s">
        <v>272</v>
      </c>
      <c r="P480" s="29" t="s">
        <v>361</v>
      </c>
      <c r="Q480" s="29" t="s">
        <v>273</v>
      </c>
    </row>
    <row r="481" spans="1:17" s="29" customFormat="1">
      <c r="A481" s="160">
        <v>8.1170738541666669E-3</v>
      </c>
      <c r="B481" s="29" t="s">
        <v>116</v>
      </c>
      <c r="E481" s="29" t="s">
        <v>127</v>
      </c>
      <c r="G481" s="29" t="s">
        <v>117</v>
      </c>
      <c r="I481" s="161">
        <v>46237.71707175926</v>
      </c>
      <c r="J481" s="29" t="s">
        <v>359</v>
      </c>
      <c r="K481" s="29" t="s">
        <v>274</v>
      </c>
      <c r="L481" s="162">
        <v>46173</v>
      </c>
      <c r="M481" s="29" t="s">
        <v>360</v>
      </c>
      <c r="N481" s="29" t="s">
        <v>291</v>
      </c>
      <c r="O481" s="29" t="s">
        <v>272</v>
      </c>
      <c r="P481" s="29" t="s">
        <v>361</v>
      </c>
      <c r="Q481" s="29" t="s">
        <v>273</v>
      </c>
    </row>
    <row r="482" spans="1:17" s="29" customFormat="1">
      <c r="A482" s="160">
        <v>8.072309664351851E-3</v>
      </c>
      <c r="B482" s="29" t="s">
        <v>116</v>
      </c>
      <c r="E482" s="29" t="s">
        <v>127</v>
      </c>
      <c r="G482" s="29" t="s">
        <v>117</v>
      </c>
      <c r="I482" s="161">
        <v>46237.71702546296</v>
      </c>
      <c r="J482" s="29" t="s">
        <v>359</v>
      </c>
      <c r="K482" s="29" t="s">
        <v>274</v>
      </c>
      <c r="L482" s="162">
        <v>46173</v>
      </c>
      <c r="M482" s="29" t="s">
        <v>360</v>
      </c>
      <c r="N482" s="29" t="s">
        <v>291</v>
      </c>
      <c r="O482" s="29" t="s">
        <v>272</v>
      </c>
      <c r="P482" s="29" t="s">
        <v>361</v>
      </c>
      <c r="Q482" s="29" t="s">
        <v>273</v>
      </c>
    </row>
    <row r="483" spans="1:17" s="29" customFormat="1">
      <c r="A483" s="160">
        <v>7.814226875E-3</v>
      </c>
      <c r="B483" s="29" t="s">
        <v>116</v>
      </c>
      <c r="E483" s="29" t="s">
        <v>124</v>
      </c>
      <c r="G483" s="29" t="s">
        <v>204</v>
      </c>
      <c r="I483" s="161">
        <v>46237.716111111113</v>
      </c>
      <c r="J483" s="29" t="s">
        <v>359</v>
      </c>
      <c r="K483" s="29" t="s">
        <v>274</v>
      </c>
      <c r="L483" s="162">
        <v>46173</v>
      </c>
      <c r="M483" s="29" t="s">
        <v>360</v>
      </c>
      <c r="N483" s="29" t="s">
        <v>291</v>
      </c>
      <c r="O483" s="29" t="s">
        <v>272</v>
      </c>
      <c r="P483" s="29" t="s">
        <v>361</v>
      </c>
      <c r="Q483" s="29" t="s">
        <v>273</v>
      </c>
    </row>
    <row r="484" spans="1:17" s="29" customFormat="1">
      <c r="A484" s="160">
        <v>7.546765231481482E-3</v>
      </c>
      <c r="B484" s="29" t="s">
        <v>116</v>
      </c>
      <c r="C484" s="29" t="s">
        <v>372</v>
      </c>
      <c r="E484" s="29" t="s">
        <v>131</v>
      </c>
      <c r="G484" s="29" t="s">
        <v>117</v>
      </c>
      <c r="I484" s="161">
        <v>46237.715798611112</v>
      </c>
      <c r="J484" s="29" t="s">
        <v>359</v>
      </c>
      <c r="K484" s="29" t="s">
        <v>274</v>
      </c>
      <c r="L484" s="162">
        <v>46173</v>
      </c>
      <c r="M484" s="29" t="s">
        <v>360</v>
      </c>
      <c r="N484" s="29" t="s">
        <v>291</v>
      </c>
      <c r="O484" s="29" t="s">
        <v>272</v>
      </c>
      <c r="P484" s="29" t="s">
        <v>361</v>
      </c>
      <c r="Q484" s="29" t="s">
        <v>273</v>
      </c>
    </row>
    <row r="485" spans="1:17" s="29" customFormat="1">
      <c r="A485" s="160">
        <v>7.2794050000000001E-3</v>
      </c>
      <c r="B485" s="29" t="s">
        <v>116</v>
      </c>
      <c r="E485" s="29" t="s">
        <v>123</v>
      </c>
      <c r="G485" s="29" t="s">
        <v>117</v>
      </c>
      <c r="I485" s="161">
        <v>46237.715358796297</v>
      </c>
      <c r="J485" s="29" t="s">
        <v>359</v>
      </c>
      <c r="K485" s="29" t="s">
        <v>274</v>
      </c>
      <c r="L485" s="162">
        <v>46173</v>
      </c>
      <c r="M485" s="29" t="s">
        <v>360</v>
      </c>
      <c r="N485" s="29" t="s">
        <v>291</v>
      </c>
      <c r="O485" s="29" t="s">
        <v>272</v>
      </c>
      <c r="P485" s="29" t="s">
        <v>361</v>
      </c>
      <c r="Q485" s="29" t="s">
        <v>273</v>
      </c>
    </row>
    <row r="486" spans="1:17" s="29" customFormat="1">
      <c r="A486" s="160">
        <v>6.9384216550925932E-3</v>
      </c>
      <c r="B486" s="29" t="s">
        <v>116</v>
      </c>
      <c r="E486" s="29" t="s">
        <v>88</v>
      </c>
      <c r="G486" s="29" t="s">
        <v>117</v>
      </c>
      <c r="I486" s="161">
        <v>46237.703865740739</v>
      </c>
      <c r="J486" s="29" t="s">
        <v>359</v>
      </c>
      <c r="K486" s="29" t="s">
        <v>274</v>
      </c>
      <c r="L486" s="162">
        <v>46173</v>
      </c>
      <c r="M486" s="29" t="s">
        <v>360</v>
      </c>
      <c r="N486" s="29" t="s">
        <v>291</v>
      </c>
      <c r="O486" s="29" t="s">
        <v>272</v>
      </c>
      <c r="P486" s="29" t="s">
        <v>361</v>
      </c>
      <c r="Q486" s="29" t="s">
        <v>273</v>
      </c>
    </row>
    <row r="487" spans="1:17" s="29" customFormat="1">
      <c r="A487" s="160">
        <v>6.9025777662037029E-3</v>
      </c>
      <c r="B487" s="29" t="s">
        <v>116</v>
      </c>
      <c r="E487" s="29" t="s">
        <v>253</v>
      </c>
      <c r="F487" s="29" t="s">
        <v>247</v>
      </c>
      <c r="G487" s="29" t="s">
        <v>117</v>
      </c>
      <c r="I487" s="161">
        <v>46237.70385416667</v>
      </c>
      <c r="J487" s="29" t="s">
        <v>359</v>
      </c>
      <c r="K487" s="29" t="s">
        <v>274</v>
      </c>
      <c r="L487" s="162">
        <v>46173</v>
      </c>
      <c r="M487" s="29" t="s">
        <v>360</v>
      </c>
      <c r="N487" s="29" t="s">
        <v>291</v>
      </c>
      <c r="O487" s="29" t="s">
        <v>272</v>
      </c>
      <c r="P487" s="29" t="s">
        <v>361</v>
      </c>
      <c r="Q487" s="29" t="s">
        <v>273</v>
      </c>
    </row>
    <row r="488" spans="1:17" s="29" customFormat="1">
      <c r="A488" s="160">
        <v>6.8329440740740738E-3</v>
      </c>
      <c r="B488" s="29" t="s">
        <v>116</v>
      </c>
      <c r="E488" s="29" t="s">
        <v>228</v>
      </c>
      <c r="G488" s="29" t="s">
        <v>204</v>
      </c>
      <c r="I488" s="161">
        <v>46237.702523148146</v>
      </c>
      <c r="J488" s="29" t="s">
        <v>359</v>
      </c>
      <c r="K488" s="29" t="s">
        <v>274</v>
      </c>
      <c r="L488" s="162">
        <v>46173</v>
      </c>
      <c r="M488" s="29" t="s">
        <v>360</v>
      </c>
      <c r="N488" s="29" t="s">
        <v>291</v>
      </c>
      <c r="O488" s="29" t="s">
        <v>272</v>
      </c>
      <c r="P488" s="29" t="s">
        <v>361</v>
      </c>
      <c r="Q488" s="29" t="s">
        <v>273</v>
      </c>
    </row>
    <row r="489" spans="1:17" s="29" customFormat="1">
      <c r="A489" s="160">
        <v>6.7777790162037036E-3</v>
      </c>
      <c r="B489" s="29" t="s">
        <v>116</v>
      </c>
      <c r="E489" s="29" t="s">
        <v>224</v>
      </c>
      <c r="G489" s="29" t="s">
        <v>117</v>
      </c>
      <c r="I489" s="161">
        <v>46237.702118055553</v>
      </c>
      <c r="J489" s="29" t="s">
        <v>359</v>
      </c>
      <c r="K489" s="29" t="s">
        <v>274</v>
      </c>
      <c r="L489" s="162">
        <v>46173</v>
      </c>
      <c r="M489" s="29" t="s">
        <v>360</v>
      </c>
      <c r="N489" s="29" t="s">
        <v>291</v>
      </c>
      <c r="O489" s="29" t="s">
        <v>272</v>
      </c>
      <c r="P489" s="29" t="s">
        <v>361</v>
      </c>
      <c r="Q489" s="29" t="s">
        <v>273</v>
      </c>
    </row>
    <row r="490" spans="1:17" s="29" customFormat="1">
      <c r="A490" s="160">
        <v>6.6906119212962953E-3</v>
      </c>
      <c r="B490" s="29" t="s">
        <v>116</v>
      </c>
      <c r="E490" s="29" t="s">
        <v>127</v>
      </c>
      <c r="G490" s="29" t="s">
        <v>117</v>
      </c>
      <c r="I490" s="161">
        <v>46237.702002314814</v>
      </c>
      <c r="J490" s="29" t="s">
        <v>359</v>
      </c>
      <c r="K490" s="29" t="s">
        <v>274</v>
      </c>
      <c r="L490" s="162">
        <v>46173</v>
      </c>
      <c r="M490" s="29" t="s">
        <v>360</v>
      </c>
      <c r="N490" s="29" t="s">
        <v>291</v>
      </c>
      <c r="O490" s="29" t="s">
        <v>272</v>
      </c>
      <c r="P490" s="29" t="s">
        <v>361</v>
      </c>
      <c r="Q490" s="29" t="s">
        <v>273</v>
      </c>
    </row>
    <row r="491" spans="1:17" s="29" customFormat="1">
      <c r="A491" s="160">
        <v>6.5522531018518525E-3</v>
      </c>
      <c r="B491" s="29" t="s">
        <v>116</v>
      </c>
      <c r="E491" s="29" t="s">
        <v>127</v>
      </c>
      <c r="G491" s="29" t="s">
        <v>117</v>
      </c>
      <c r="I491" s="161">
        <v>46237.701863425929</v>
      </c>
      <c r="J491" s="29" t="s">
        <v>359</v>
      </c>
      <c r="K491" s="29" t="s">
        <v>274</v>
      </c>
      <c r="L491" s="162">
        <v>46173</v>
      </c>
      <c r="M491" s="29" t="s">
        <v>360</v>
      </c>
      <c r="N491" s="29" t="s">
        <v>291</v>
      </c>
      <c r="O491" s="29" t="s">
        <v>272</v>
      </c>
      <c r="P491" s="29" t="s">
        <v>361</v>
      </c>
      <c r="Q491" s="29" t="s">
        <v>273</v>
      </c>
    </row>
    <row r="492" spans="1:17" s="29" customFormat="1">
      <c r="A492" s="160">
        <v>6.5000232291666663E-3</v>
      </c>
      <c r="B492" s="29" t="s">
        <v>116</v>
      </c>
      <c r="E492" s="29" t="s">
        <v>226</v>
      </c>
      <c r="G492" s="29" t="s">
        <v>117</v>
      </c>
      <c r="I492" s="161">
        <v>46237.701770833337</v>
      </c>
      <c r="J492" s="29" t="s">
        <v>359</v>
      </c>
      <c r="K492" s="29" t="s">
        <v>274</v>
      </c>
      <c r="L492" s="162">
        <v>46173</v>
      </c>
      <c r="M492" s="29" t="s">
        <v>360</v>
      </c>
      <c r="N492" s="29" t="s">
        <v>291</v>
      </c>
      <c r="O492" s="29" t="s">
        <v>272</v>
      </c>
      <c r="P492" s="29" t="s">
        <v>361</v>
      </c>
      <c r="Q492" s="29" t="s">
        <v>273</v>
      </c>
    </row>
    <row r="493" spans="1:17" s="29" customFormat="1">
      <c r="A493" s="160">
        <v>6.4363810532407414E-3</v>
      </c>
      <c r="B493" s="29" t="s">
        <v>116</v>
      </c>
      <c r="E493" s="29" t="s">
        <v>224</v>
      </c>
      <c r="G493" s="29" t="s">
        <v>204</v>
      </c>
      <c r="I493" s="161">
        <v>46237.701666666668</v>
      </c>
      <c r="J493" s="29" t="s">
        <v>359</v>
      </c>
      <c r="K493" s="29" t="s">
        <v>274</v>
      </c>
      <c r="L493" s="162">
        <v>46173</v>
      </c>
      <c r="M493" s="29" t="s">
        <v>360</v>
      </c>
      <c r="N493" s="29" t="s">
        <v>291</v>
      </c>
      <c r="O493" s="29" t="s">
        <v>272</v>
      </c>
      <c r="P493" s="29" t="s">
        <v>361</v>
      </c>
      <c r="Q493" s="29" t="s">
        <v>273</v>
      </c>
    </row>
    <row r="494" spans="1:17" s="29" customFormat="1">
      <c r="A494" s="160">
        <v>6.3321425462962962E-3</v>
      </c>
      <c r="B494" s="29" t="s">
        <v>116</v>
      </c>
      <c r="C494" s="29" t="s">
        <v>372</v>
      </c>
      <c r="E494" s="29" t="s">
        <v>127</v>
      </c>
      <c r="G494" s="29" t="s">
        <v>204</v>
      </c>
      <c r="I494" s="161">
        <v>46237.70144675926</v>
      </c>
      <c r="J494" s="29" t="s">
        <v>359</v>
      </c>
      <c r="K494" s="29" t="s">
        <v>274</v>
      </c>
      <c r="L494" s="162">
        <v>46173</v>
      </c>
      <c r="M494" s="29" t="s">
        <v>360</v>
      </c>
      <c r="N494" s="29" t="s">
        <v>291</v>
      </c>
      <c r="O494" s="29" t="s">
        <v>272</v>
      </c>
      <c r="P494" s="29" t="s">
        <v>361</v>
      </c>
      <c r="Q494" s="29" t="s">
        <v>273</v>
      </c>
    </row>
    <row r="495" spans="1:17" s="29" customFormat="1">
      <c r="A495" s="160">
        <v>6.1751494097222227E-3</v>
      </c>
      <c r="B495" s="29" t="s">
        <v>116</v>
      </c>
      <c r="C495" s="29" t="s">
        <v>375</v>
      </c>
      <c r="E495" s="29" t="s">
        <v>127</v>
      </c>
      <c r="G495" s="29" t="s">
        <v>204</v>
      </c>
      <c r="I495" s="161">
        <v>46237.70008101852</v>
      </c>
      <c r="J495" s="29" t="s">
        <v>359</v>
      </c>
      <c r="K495" s="29" t="s">
        <v>274</v>
      </c>
      <c r="L495" s="162">
        <v>46173</v>
      </c>
      <c r="M495" s="29" t="s">
        <v>360</v>
      </c>
      <c r="N495" s="29" t="s">
        <v>291</v>
      </c>
      <c r="O495" s="29" t="s">
        <v>272</v>
      </c>
      <c r="P495" s="29" t="s">
        <v>361</v>
      </c>
      <c r="Q495" s="29" t="s">
        <v>273</v>
      </c>
    </row>
    <row r="496" spans="1:17" s="29" customFormat="1">
      <c r="A496" s="160">
        <v>6.1472405902777772E-3</v>
      </c>
      <c r="B496" s="29" t="s">
        <v>116</v>
      </c>
      <c r="E496" s="29" t="s">
        <v>228</v>
      </c>
      <c r="G496" s="29" t="s">
        <v>204</v>
      </c>
      <c r="I496" s="161">
        <v>46237.691805555558</v>
      </c>
      <c r="J496" s="29" t="s">
        <v>359</v>
      </c>
      <c r="K496" s="29" t="s">
        <v>274</v>
      </c>
      <c r="L496" s="162">
        <v>46173</v>
      </c>
      <c r="M496" s="29" t="s">
        <v>360</v>
      </c>
      <c r="N496" s="29" t="s">
        <v>291</v>
      </c>
      <c r="O496" s="29" t="s">
        <v>272</v>
      </c>
      <c r="P496" s="29" t="s">
        <v>361</v>
      </c>
      <c r="Q496" s="29" t="s">
        <v>273</v>
      </c>
    </row>
    <row r="497" spans="1:17" s="29" customFormat="1">
      <c r="A497" s="160">
        <v>6.1042309837962966E-3</v>
      </c>
      <c r="B497" s="29" t="s">
        <v>116</v>
      </c>
      <c r="E497" s="29" t="s">
        <v>119</v>
      </c>
      <c r="G497" s="29" t="s">
        <v>117</v>
      </c>
      <c r="I497" s="161">
        <v>46237.691550925927</v>
      </c>
      <c r="J497" s="29" t="s">
        <v>359</v>
      </c>
      <c r="K497" s="29" t="s">
        <v>274</v>
      </c>
      <c r="L497" s="162">
        <v>46173</v>
      </c>
      <c r="M497" s="29" t="s">
        <v>360</v>
      </c>
      <c r="N497" s="29" t="s">
        <v>291</v>
      </c>
      <c r="O497" s="29" t="s">
        <v>272</v>
      </c>
      <c r="P497" s="29" t="s">
        <v>361</v>
      </c>
      <c r="Q497" s="29" t="s">
        <v>273</v>
      </c>
    </row>
    <row r="498" spans="1:17" s="29" customFormat="1"/>
    <row r="499" spans="1:17" s="29" customFormat="1"/>
    <row r="500" spans="1:17" s="29" customFormat="1"/>
    <row r="501" spans="1:17" s="29" customFormat="1"/>
    <row r="502" spans="1:17" s="29" customFormat="1"/>
    <row r="503" spans="1:17" s="29" customFormat="1"/>
    <row r="504" spans="1:17" s="29" customFormat="1"/>
    <row r="505" spans="1:17" s="29" customFormat="1"/>
    <row r="506" spans="1:17" s="29" customFormat="1"/>
    <row r="507" spans="1:17" s="29" customFormat="1"/>
    <row r="508" spans="1:17" s="29" customFormat="1"/>
    <row r="509" spans="1:17" s="29" customFormat="1"/>
    <row r="510" spans="1:17" s="29" customFormat="1"/>
    <row r="511" spans="1:17" s="29" customFormat="1"/>
    <row r="512" spans="1:17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  <row r="1057" s="29" customFormat="1"/>
    <row r="1058" s="29" customFormat="1"/>
    <row r="1059" s="29" customFormat="1"/>
    <row r="1060" s="29" customFormat="1"/>
    <row r="1061" s="29" customFormat="1"/>
    <row r="1062" s="29" customFormat="1"/>
    <row r="1063" s="29" customFormat="1"/>
    <row r="1064" s="29" customFormat="1"/>
    <row r="1065" s="29" customFormat="1"/>
    <row r="1066" s="29" customFormat="1"/>
    <row r="1067" s="29" customFormat="1"/>
    <row r="1068" s="29" customFormat="1"/>
    <row r="1069" s="29" customFormat="1"/>
    <row r="1070" s="29" customFormat="1"/>
    <row r="1071" s="29" customFormat="1"/>
    <row r="1072" s="29" customFormat="1"/>
    <row r="1073" s="29" customFormat="1"/>
    <row r="1074" s="29" customFormat="1"/>
    <row r="1075" s="29" customFormat="1"/>
    <row r="1076" s="29" customFormat="1"/>
    <row r="1077" s="29" customFormat="1"/>
    <row r="1078" s="29" customFormat="1"/>
    <row r="1079" s="29" customFormat="1"/>
    <row r="1080" s="29" customFormat="1"/>
    <row r="1081" s="29" customFormat="1"/>
    <row r="1082" s="29" customFormat="1"/>
    <row r="1083" s="29" customFormat="1"/>
    <row r="1084" s="29" customFormat="1"/>
    <row r="1085" s="29" customFormat="1"/>
    <row r="1086" s="29" customFormat="1"/>
    <row r="1087" s="29" customFormat="1"/>
    <row r="1088" s="29" customFormat="1"/>
    <row r="1089" s="29" customFormat="1"/>
    <row r="1090" s="29" customFormat="1"/>
    <row r="1091" s="29" customFormat="1"/>
    <row r="1092" s="29" customFormat="1"/>
    <row r="1093" s="29" customFormat="1"/>
    <row r="1094" s="29" customFormat="1"/>
    <row r="1095" s="29" customFormat="1"/>
    <row r="1096" s="29" customFormat="1"/>
    <row r="1097" s="29" customFormat="1"/>
    <row r="1098" s="29" customFormat="1"/>
    <row r="1099" s="29" customFormat="1"/>
    <row r="1100" s="29" customFormat="1"/>
    <row r="1101" s="29" customFormat="1"/>
    <row r="1102" s="29" customFormat="1"/>
    <row r="1103" s="29" customFormat="1"/>
    <row r="1104" s="29" customFormat="1"/>
    <row r="1105" s="29" customFormat="1"/>
    <row r="1106" s="29" customFormat="1"/>
    <row r="1107" s="29" customFormat="1"/>
    <row r="1108" s="29" customFormat="1"/>
    <row r="1109" s="29" customFormat="1"/>
    <row r="1110" s="29" customFormat="1"/>
    <row r="1111" s="29" customFormat="1"/>
    <row r="1112" s="29" customFormat="1"/>
    <row r="1113" s="29" customFormat="1"/>
    <row r="1114" s="29" customFormat="1"/>
    <row r="1115" s="29" customFormat="1"/>
    <row r="1116" s="29" customFormat="1"/>
    <row r="1117" s="29" customFormat="1"/>
    <row r="1118" s="29" customFormat="1"/>
    <row r="1119" s="29" customFormat="1"/>
    <row r="1120" s="29" customFormat="1"/>
    <row r="1121" s="29" customFormat="1"/>
    <row r="1122" s="29" customFormat="1"/>
    <row r="1123" s="29" customFormat="1"/>
    <row r="1124" s="29" customFormat="1"/>
    <row r="1125" s="29" customFormat="1"/>
    <row r="1126" s="29" customFormat="1"/>
    <row r="1127" s="29" customFormat="1"/>
    <row r="1128" s="29" customFormat="1"/>
    <row r="1129" s="29" customFormat="1"/>
    <row r="1130" s="29" customFormat="1"/>
    <row r="1131" s="29" customFormat="1"/>
    <row r="1132" s="29" customFormat="1"/>
    <row r="1133" s="29" customFormat="1"/>
    <row r="1134" s="29" customFormat="1"/>
    <row r="1135" s="29" customFormat="1"/>
    <row r="1136" s="29" customFormat="1"/>
    <row r="1137" s="29" customFormat="1"/>
    <row r="1138" s="29" customFormat="1"/>
    <row r="1139" s="29" customFormat="1"/>
    <row r="1140" s="29" customFormat="1"/>
    <row r="1141" s="29" customFormat="1"/>
    <row r="1142" s="29" customFormat="1"/>
    <row r="1143" s="29" customFormat="1"/>
    <row r="1144" s="29" customFormat="1"/>
    <row r="1145" s="29" customFormat="1"/>
    <row r="1146" s="29" customFormat="1"/>
    <row r="1147" s="29" customFormat="1"/>
    <row r="1148" s="29" customFormat="1"/>
    <row r="1149" s="29" customFormat="1"/>
    <row r="1150" s="29" customFormat="1"/>
    <row r="1151" s="29" customFormat="1"/>
    <row r="1152" s="29" customFormat="1"/>
    <row r="1153" s="29" customFormat="1"/>
    <row r="1154" s="29" customFormat="1"/>
    <row r="1155" s="29" customFormat="1"/>
    <row r="1156" s="29" customFormat="1"/>
    <row r="1157" s="29" customFormat="1"/>
    <row r="1158" s="29" customFormat="1"/>
    <row r="1159" s="29" customFormat="1"/>
    <row r="1160" s="29" customFormat="1"/>
    <row r="1161" s="29" customFormat="1"/>
    <row r="1162" s="29" customFormat="1"/>
    <row r="1163" s="29" customFormat="1"/>
    <row r="1164" s="29" customFormat="1"/>
    <row r="1165" s="29" customFormat="1"/>
    <row r="1166" s="29" customFormat="1"/>
    <row r="1167" s="29" customFormat="1"/>
    <row r="1168" s="29" customFormat="1"/>
    <row r="1169" s="29" customFormat="1"/>
    <row r="1170" s="29" customFormat="1"/>
    <row r="1171" s="29" customFormat="1"/>
    <row r="1172" s="29" customFormat="1"/>
    <row r="1173" s="29" customFormat="1"/>
    <row r="1174" s="29" customFormat="1"/>
    <row r="1175" s="29" customFormat="1"/>
    <row r="1176" s="29" customFormat="1"/>
    <row r="1177" s="29" customFormat="1"/>
    <row r="1178" s="29" customFormat="1"/>
    <row r="1179" s="29" customFormat="1"/>
    <row r="1180" s="29" customFormat="1"/>
    <row r="1181" s="29" customFormat="1"/>
    <row r="1182" s="29" customFormat="1"/>
    <row r="1183" s="29" customFormat="1"/>
    <row r="1184" s="29" customFormat="1"/>
    <row r="1185" s="29" customFormat="1"/>
    <row r="1186" s="29" customFormat="1"/>
    <row r="1187" s="29" customFormat="1"/>
    <row r="1188" s="29" customFormat="1"/>
    <row r="1189" s="29" customFormat="1"/>
    <row r="1190" s="29" customFormat="1"/>
    <row r="1191" s="29" customFormat="1"/>
    <row r="1192" s="29" customFormat="1"/>
    <row r="1193" s="29" customFormat="1"/>
    <row r="1194" s="29" customFormat="1"/>
    <row r="1195" s="29" customFormat="1"/>
    <row r="1196" s="29" customFormat="1"/>
    <row r="1197" s="29" customFormat="1"/>
    <row r="1198" s="29" customFormat="1"/>
    <row r="1199" s="29" customFormat="1"/>
    <row r="1200" s="29" customFormat="1"/>
    <row r="1201" s="29" customFormat="1"/>
    <row r="1202" s="29" customFormat="1"/>
    <row r="1203" s="29" customFormat="1"/>
    <row r="1204" s="29" customFormat="1"/>
    <row r="1205" s="29" customFormat="1"/>
    <row r="1206" s="29" customFormat="1"/>
    <row r="1207" s="29" customFormat="1"/>
    <row r="1208" s="29" customFormat="1"/>
    <row r="1209" s="29" customFormat="1"/>
    <row r="1210" s="29" customFormat="1"/>
    <row r="1211" s="29" customFormat="1"/>
    <row r="1212" s="29" customFormat="1"/>
    <row r="1213" s="29" customFormat="1"/>
    <row r="1214" s="29" customFormat="1"/>
    <row r="1215" s="29" customFormat="1"/>
    <row r="1216" s="29" customFormat="1"/>
    <row r="1217" spans="1:17" s="29" customFormat="1"/>
    <row r="1218" spans="1:17" s="29" customFormat="1"/>
    <row r="1219" spans="1:17" s="29" customFormat="1"/>
    <row r="1220" spans="1:17" s="29" customFormat="1"/>
    <row r="1221" spans="1:17" s="29" customFormat="1"/>
    <row r="1222" spans="1:17" s="29" customFormat="1"/>
    <row r="1223" spans="1:17" s="29" customFormat="1"/>
    <row r="1224" spans="1:17" s="29" customFormat="1"/>
    <row r="1225" spans="1:17" s="29" customFormat="1"/>
    <row r="1226" spans="1:17" s="29" customFormat="1"/>
    <row r="1227" spans="1:17" s="29" customFormat="1"/>
    <row r="1228" spans="1:17" s="29" customFormat="1"/>
    <row r="1229" spans="1:17">
      <c r="A1229" s="29"/>
      <c r="B1229" s="29"/>
      <c r="C1229" s="29"/>
      <c r="D1229" s="29"/>
      <c r="E1229" s="29"/>
      <c r="F1229" s="29"/>
      <c r="G1229" s="29"/>
      <c r="H1229" s="29"/>
      <c r="I1229" s="29"/>
      <c r="J1229" s="29"/>
      <c r="K1229" s="29"/>
      <c r="L1229" s="29"/>
      <c r="M1229" s="29"/>
      <c r="N1229" s="29"/>
      <c r="O1229" s="29"/>
      <c r="P1229" s="29"/>
      <c r="Q1229" s="29"/>
    </row>
  </sheetData>
  <dataValidations count="6">
    <dataValidation type="list" allowBlank="1" showInputMessage="1" showErrorMessage="1" sqref="D2:D497" xr:uid="{E74F6FA5-586E-2548-BD34-A454FDBDA2B7}">
      <formula1>LISTE_GROUPES_FAUTIFS</formula1>
    </dataValidation>
    <dataValidation type="list" allowBlank="1" showErrorMessage="1" sqref="B2:B497" xr:uid="{A4ABE8B2-1998-0047-BD50-1AD67F3A0F54}">
      <formula1>LISTE_MT_JOURNAL</formula1>
    </dataValidation>
    <dataValidation type="list" allowBlank="1" showErrorMessage="1" sqref="C2:C497" xr:uid="{0D62F391-E611-B44A-8DA1-3AE44C961D17}">
      <formula1>LISTE_JOUEURS_JOURNAL</formula1>
    </dataValidation>
    <dataValidation type="list" allowBlank="1" showErrorMessage="1" sqref="E2:E497" xr:uid="{44244DC2-A5EF-124D-BA46-377EA00ED788}">
      <formula1>LISTE_ACTIONS_JOURNAL</formula1>
    </dataValidation>
    <dataValidation type="list" allowBlank="1" showErrorMessage="1" sqref="G2:G497" xr:uid="{65D1EB2D-26E2-7D47-BD40-61F2986CA26C}">
      <formula1>LISTE_EQUIPES_JOURNAL</formula1>
    </dataValidation>
    <dataValidation type="list" allowBlank="1" showErrorMessage="1" sqref="F2:F497" xr:uid="{BEAE49E8-47DF-9942-885B-9EBD6461D473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A1056"/>
  <sheetViews>
    <sheetView tabSelected="1" topLeftCell="B5" workbookViewId="0">
      <selection activeCell="F21" sqref="F21"/>
    </sheetView>
  </sheetViews>
  <sheetFormatPr baseColWidth="10" defaultRowHeight="13"/>
  <cols>
    <col min="1" max="1" width="2.83203125" style="29" customWidth="1"/>
    <col min="2" max="2" width="19.1640625" bestFit="1" customWidth="1"/>
    <col min="3" max="3" width="14" bestFit="1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9"/>
    <col min="17" max="17" width="12.33203125" style="29" bestFit="1" customWidth="1"/>
    <col min="18" max="18" width="13.83203125" style="29" bestFit="1" customWidth="1"/>
    <col min="19" max="27" width="10.83203125" style="29"/>
  </cols>
  <sheetData>
    <row r="1" spans="2:20" s="29" customFormat="1"/>
    <row r="2" spans="2:20" s="29" customFormat="1"/>
    <row r="3" spans="2:20" s="29" customFormat="1">
      <c r="B3" s="213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Eauze Première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5"/>
    </row>
    <row r="4" spans="2:20" s="29" customFormat="1">
      <c r="B4" s="216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8"/>
    </row>
    <row r="5" spans="2:20" s="29" customFormat="1"/>
    <row r="6" spans="2:20" ht="14" customHeight="1">
      <c r="B6" s="198" t="s">
        <v>64</v>
      </c>
      <c r="C6" s="200" t="str">
        <f>ACT_PL_NORMAL</f>
        <v>Plaquage normal</v>
      </c>
      <c r="D6" s="201"/>
      <c r="E6" s="200" t="str">
        <f>ACT_PL_OFF</f>
        <v>Plaquage offensif</v>
      </c>
      <c r="F6" s="201"/>
      <c r="G6" s="200" t="str">
        <f>ACT_PL_RATE</f>
        <v>Plaquage raté</v>
      </c>
      <c r="H6" s="201"/>
      <c r="I6" s="200" t="str">
        <f>ACT_PL_A2</f>
        <v>Plaquage à 2</v>
      </c>
      <c r="J6" s="206"/>
      <c r="K6" s="206" t="str">
        <f>ACT_PL_HAUT</f>
        <v>Plaquage haut</v>
      </c>
      <c r="L6" s="201"/>
      <c r="M6" s="206" t="str">
        <f>ACT_GRATTAGE</f>
        <v>Grattage</v>
      </c>
      <c r="N6" s="201"/>
      <c r="O6" s="208" t="s">
        <v>340</v>
      </c>
      <c r="P6" s="209"/>
      <c r="Q6" s="209"/>
      <c r="R6" s="209"/>
      <c r="S6" s="209"/>
      <c r="T6" s="210"/>
    </row>
    <row r="7" spans="2:20" ht="13" customHeight="1">
      <c r="B7" s="199"/>
      <c r="C7" s="124" t="s">
        <v>116</v>
      </c>
      <c r="D7" s="125" t="s">
        <v>113</v>
      </c>
      <c r="E7" s="126" t="s">
        <v>116</v>
      </c>
      <c r="F7" s="126" t="s">
        <v>113</v>
      </c>
      <c r="G7" s="124" t="s">
        <v>116</v>
      </c>
      <c r="H7" s="125" t="s">
        <v>113</v>
      </c>
      <c r="I7" s="124" t="s">
        <v>116</v>
      </c>
      <c r="J7" s="125" t="s">
        <v>113</v>
      </c>
      <c r="K7" s="124" t="s">
        <v>116</v>
      </c>
      <c r="L7" s="125" t="s">
        <v>113</v>
      </c>
      <c r="M7" s="126" t="s">
        <v>116</v>
      </c>
      <c r="N7" s="125" t="s">
        <v>113</v>
      </c>
      <c r="O7" s="143" t="str">
        <f>ACT_PEN_MAUL</f>
        <v>Maul</v>
      </c>
      <c r="P7" s="143" t="str">
        <f>ACT_PEN_HORS_JEU</f>
        <v>Hors-jeu</v>
      </c>
      <c r="Q7" s="143" t="str">
        <f>ACT_PEN_PL_A_2</f>
        <v>Plaquage à 2</v>
      </c>
      <c r="R7" s="143" t="str">
        <f>ACT_PEN_PL_HAUT</f>
        <v>Plaquage haut</v>
      </c>
      <c r="S7" s="143" t="str">
        <f>ACT_PEN_RUCK</f>
        <v>Ruck</v>
      </c>
      <c r="T7" s="143" t="str">
        <f>ACT_PEN_UNKNOWN</f>
        <v>?</v>
      </c>
    </row>
    <row r="8" spans="2:20">
      <c r="B8" s="93" t="e" cm="1" vm="1">
        <f t="array" ref="B8">_xlfn._xlws.SORT(_xlfn._xlws.FILTER(COMPO[Nom du joueur],(COMPO[Nom du joueur]&lt;&gt;"")*(COMPO[Nom du joueur]&lt;&gt;"Collectif")*(COMPO[Nom du joueur]&lt;&gt;"?")))</f>
        <v>#VALUE!</v>
      </c>
      <c r="C8" s="98" t="str">
        <f>IF(COUNTIFS(JournalActions[Joueur],$B8,JournalActions[Action],$C$6,JournalActions[Mi-temps],C$7)=0,"",COUNTIFS(JournalActions[Joueur],$B8,JournalActions[Action],$C$6,JournalActions[Mi-temps],C$7))</f>
        <v/>
      </c>
      <c r="D8" s="99" t="str">
        <f>IF(COUNTIFS(JournalActions[Joueur],$B8,JournalActions[Action],$C$6,JournalActions[Mi-temps],D$7)=0,"",COUNTIFS(JournalActions[Joueur],$B8,JournalActions[Action],$C$6,JournalActions[Mi-temps],D$7))</f>
        <v/>
      </c>
      <c r="E8" s="98" t="str">
        <f>IF(COUNTIFS(JournalActions[Joueur],$B8,JournalActions[Action],$E$6,JournalActions[Mi-temps],E$7)=0,"",COUNTIFS(JournalActions[Joueur],$B8,JournalActions[Action],$E$6,JournalActions[Mi-temps],E$7))</f>
        <v/>
      </c>
      <c r="F8" s="100" t="str">
        <f>IF(COUNTIFS(JournalActions[Joueur],$B8,JournalActions[Action],$E$6,JournalActions[Mi-temps],F$7)=0,"",COUNTIFS(JournalActions[Joueur],$B8,JournalActions[Action],$E$6,JournalActions[Mi-temps],F$7))</f>
        <v/>
      </c>
      <c r="G8" s="98" t="str">
        <f>IF(COUNTIFS(JournalActions[Joueur],$B8,JournalActions[Action],$G$6,JournalActions[Mi-temps],G$7)=0,"",COUNTIFS(JournalActions[Joueur],$B8,JournalActions[Action],$G$6,JournalActions[Mi-temps],G$7))</f>
        <v/>
      </c>
      <c r="H8" s="99" t="str">
        <f>IF(COUNTIFS(JournalActions[Joueur],$B8,JournalActions[Action],$G$6,JournalActions[Mi-temps],H$7)=0,"",COUNTIFS(JournalActions[Joueur],$B8,JournalActions[Action],$G$6,JournalActions[Mi-temps],H$7))</f>
        <v/>
      </c>
      <c r="I8" s="98" t="str">
        <f>IF(COUNTIFS(JournalActions[Joueur],$B8,JournalActions[Action],$I$6,JournalActions[Mi-temps],I$7)=0,"",COUNTIFS(JournalActions[Joueur],$B8,JournalActions[Action],$I$6,JournalActions[Mi-temps],I$7))</f>
        <v/>
      </c>
      <c r="J8" s="99" t="str">
        <f>IF(COUNTIFS(JournalActions[Joueur],$B8,JournalActions[Action],$I$6,JournalActions[Mi-temps],J$7)=0,"",COUNTIFS(JournalActions[Joueur],$B8,JournalActions[Action],$I$6,JournalActions[Mi-temps],J$7))</f>
        <v/>
      </c>
      <c r="K8" s="98" t="str">
        <f>IF(COUNTIFS(JournalActions[Joueur],$B8,JournalActions[Action],$K$6,JournalActions[Mi-temps],K$7)=0,"",COUNTIFS(JournalActions[Joueur],$B8,JournalActions[Action],$K$6,JournalActions[Mi-temps],K$7))</f>
        <v/>
      </c>
      <c r="L8" s="99" t="str">
        <f>IF(COUNTIFS(JournalActions[Joueur],$B8,JournalActions[Action],$K$6,JournalActions[Mi-temps],L$7)=0,"",COUNTIFS(JournalActions[Joueur],$B8,JournalActions[Action],$K$6,JournalActions[Mi-temps],L$7))</f>
        <v/>
      </c>
      <c r="M8" s="98" t="str">
        <f>IF(COUNTIFS(JournalActions[Joueur],$B8,JournalActions[Action],$M$6,JournalActions[Mi-temps],M$7)=0,"",COUNTIFS(JournalActions[Joueur],$B8,JournalActions[Action],$M$6,JournalActions[Mi-temps],M$7))</f>
        <v/>
      </c>
      <c r="N8" s="99" t="str">
        <f>IF(COUNTIFS(JournalActions[Joueur],$B8,JournalActions[Action],$M$6,JournalActions[Mi-temps],N$7)=0,"",COUNTIFS(JournalActions[Joueur],$B8,JournalActions[Action],$M$6,JournalActions[Mi-temps],N$7))</f>
        <v/>
      </c>
      <c r="O8" s="136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13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13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13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13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13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</row>
    <row r="9" spans="2:20">
      <c r="B9" s="93"/>
      <c r="C9" s="93" t="str">
        <f>IF(COUNTIFS(JournalActions[Joueur],$B9,JournalActions[Action],$C$6,JournalActions[Mi-temps],C$7)=0,"",COUNTIFS(JournalActions[Joueur],$B9,JournalActions[Action],$C$6,JournalActions[Mi-temps],C$7))</f>
        <v/>
      </c>
      <c r="D9" s="9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3" t="str">
        <f>IF(COUNTIFS(JournalActions[Joueur],$B9,JournalActions[Action],$G$6,JournalActions[Mi-temps],G$7)=0,"",COUNTIFS(JournalActions[Joueur],$B9,JournalActions[Action],$G$6,JournalActions[Mi-temps],G$7))</f>
        <v/>
      </c>
      <c r="H9" s="9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3" t="str">
        <f>IF(COUNTIFS(JournalActions[Joueur],$B9,JournalActions[Action],$M$6,JournalActions[Mi-temps],M$7)=0,"",COUNTIFS(JournalActions[Joueur],$B9,JournalActions[Action],$M$6,JournalActions[Mi-temps],M$7))</f>
        <v/>
      </c>
      <c r="N9" s="94" t="str">
        <f>IF(COUNTIFS(JournalActions[Joueur],$B9,JournalActions[Action],$M$6,JournalActions[Mi-temps],N$7)=0,"",COUNTIFS(JournalActions[Joueur],$B9,JournalActions[Action],$M$6,JournalActions[Mi-temps],N$7))</f>
        <v/>
      </c>
      <c r="O9" s="144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44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44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44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44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44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</row>
    <row r="10" spans="2:20">
      <c r="B10" s="93"/>
      <c r="C10" s="93" t="str">
        <f>IF(COUNTIFS(JournalActions[Joueur],$B10,JournalActions[Action],$C$6,JournalActions[Mi-temps],C$7)=0,"",COUNTIFS(JournalActions[Joueur],$B10,JournalActions[Action],$C$6,JournalActions[Mi-temps],C$7))</f>
        <v/>
      </c>
      <c r="D10" s="9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3" t="str">
        <f>IF(COUNTIFS(JournalActions[Joueur],$B10,JournalActions[Action],$G$6,JournalActions[Mi-temps],G$7)=0,"",COUNTIFS(JournalActions[Joueur],$B10,JournalActions[Action],$G$6,JournalActions[Mi-temps],G$7))</f>
        <v/>
      </c>
      <c r="H10" s="9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3" t="str">
        <f>IF(COUNTIFS(JournalActions[Joueur],$B10,JournalActions[Action],$M$6,JournalActions[Mi-temps],M$7)=0,"",COUNTIFS(JournalActions[Joueur],$B10,JournalActions[Action],$M$6,JournalActions[Mi-temps],M$7))</f>
        <v/>
      </c>
      <c r="N10" s="94" t="str">
        <f>IF(COUNTIFS(JournalActions[Joueur],$B10,JournalActions[Action],$M$6,JournalActions[Mi-temps],N$7)=0,"",COUNTIFS(JournalActions[Joueur],$B10,JournalActions[Action],$M$6,JournalActions[Mi-temps],N$7))</f>
        <v/>
      </c>
      <c r="O10" s="144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44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44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44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44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44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</row>
    <row r="11" spans="2:20">
      <c r="B11" s="93"/>
      <c r="C11" s="93" t="str">
        <f>IF(COUNTIFS(JournalActions[Joueur],$B11,JournalActions[Action],$C$6,JournalActions[Mi-temps],C$7)=0,"",COUNTIFS(JournalActions[Joueur],$B11,JournalActions[Action],$C$6,JournalActions[Mi-temps],C$7))</f>
        <v/>
      </c>
      <c r="D11" s="9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3" t="str">
        <f>IF(COUNTIFS(JournalActions[Joueur],$B11,JournalActions[Action],$G$6,JournalActions[Mi-temps],G$7)=0,"",COUNTIFS(JournalActions[Joueur],$B11,JournalActions[Action],$G$6,JournalActions[Mi-temps],G$7))</f>
        <v/>
      </c>
      <c r="H11" s="9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3" t="str">
        <f>IF(COUNTIFS(JournalActions[Joueur],$B11,JournalActions[Action],$M$6,JournalActions[Mi-temps],M$7)=0,"",COUNTIFS(JournalActions[Joueur],$B11,JournalActions[Action],$M$6,JournalActions[Mi-temps],M$7))</f>
        <v/>
      </c>
      <c r="N11" s="94" t="str">
        <f>IF(COUNTIFS(JournalActions[Joueur],$B11,JournalActions[Action],$M$6,JournalActions[Mi-temps],N$7)=0,"",COUNTIFS(JournalActions[Joueur],$B11,JournalActions[Action],$M$6,JournalActions[Mi-temps],N$7))</f>
        <v/>
      </c>
      <c r="O11" s="144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44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44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44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44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44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</row>
    <row r="12" spans="2:20">
      <c r="B12" s="93"/>
      <c r="C12" s="93" t="str">
        <f>IF(COUNTIFS(JournalActions[Joueur],$B12,JournalActions[Action],$C$6,JournalActions[Mi-temps],C$7)=0,"",COUNTIFS(JournalActions[Joueur],$B12,JournalActions[Action],$C$6,JournalActions[Mi-temps],C$7))</f>
        <v/>
      </c>
      <c r="D12" s="9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3" t="str">
        <f>IF(COUNTIFS(JournalActions[Joueur],$B12,JournalActions[Action],$G$6,JournalActions[Mi-temps],G$7)=0,"",COUNTIFS(JournalActions[Joueur],$B12,JournalActions[Action],$G$6,JournalActions[Mi-temps],G$7))</f>
        <v/>
      </c>
      <c r="H12" s="9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3" t="str">
        <f>IF(COUNTIFS(JournalActions[Joueur],$B12,JournalActions[Action],$M$6,JournalActions[Mi-temps],M$7)=0,"",COUNTIFS(JournalActions[Joueur],$B12,JournalActions[Action],$M$6,JournalActions[Mi-temps],M$7))</f>
        <v/>
      </c>
      <c r="N12" s="94" t="str">
        <f>IF(COUNTIFS(JournalActions[Joueur],$B12,JournalActions[Action],$M$6,JournalActions[Mi-temps],N$7)=0,"",COUNTIFS(JournalActions[Joueur],$B12,JournalActions[Action],$M$6,JournalActions[Mi-temps],N$7))</f>
        <v/>
      </c>
      <c r="O12" s="144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44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44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44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44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44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</row>
    <row r="13" spans="2:20">
      <c r="B13" s="93"/>
      <c r="C13" s="93" t="str">
        <f>IF(COUNTIFS(JournalActions[Joueur],$B13,JournalActions[Action],$C$6,JournalActions[Mi-temps],C$7)=0,"",COUNTIFS(JournalActions[Joueur],$B13,JournalActions[Action],$C$6,JournalActions[Mi-temps],C$7))</f>
        <v/>
      </c>
      <c r="D13" s="9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3" t="str">
        <f>IF(COUNTIFS(JournalActions[Joueur],$B13,JournalActions[Action],$G$6,JournalActions[Mi-temps],G$7)=0,"",COUNTIFS(JournalActions[Joueur],$B13,JournalActions[Action],$G$6,JournalActions[Mi-temps],G$7))</f>
        <v/>
      </c>
      <c r="H13" s="9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3" t="str">
        <f>IF(COUNTIFS(JournalActions[Joueur],$B13,JournalActions[Action],$M$6,JournalActions[Mi-temps],M$7)=0,"",COUNTIFS(JournalActions[Joueur],$B13,JournalActions[Action],$M$6,JournalActions[Mi-temps],M$7))</f>
        <v/>
      </c>
      <c r="N13" s="94" t="str">
        <f>IF(COUNTIFS(JournalActions[Joueur],$B13,JournalActions[Action],$M$6,JournalActions[Mi-temps],N$7)=0,"",COUNTIFS(JournalActions[Joueur],$B13,JournalActions[Action],$M$6,JournalActions[Mi-temps],N$7))</f>
        <v/>
      </c>
      <c r="O13" s="144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44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44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44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44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44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</row>
    <row r="14" spans="2:20">
      <c r="B14" s="93"/>
      <c r="C14" s="93" t="str">
        <f>IF(COUNTIFS(JournalActions[Joueur],$B14,JournalActions[Action],$C$6,JournalActions[Mi-temps],C$7)=0,"",COUNTIFS(JournalActions[Joueur],$B14,JournalActions[Action],$C$6,JournalActions[Mi-temps],C$7))</f>
        <v/>
      </c>
      <c r="D14" s="9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3" t="str">
        <f>IF(COUNTIFS(JournalActions[Joueur],$B14,JournalActions[Action],$G$6,JournalActions[Mi-temps],G$7)=0,"",COUNTIFS(JournalActions[Joueur],$B14,JournalActions[Action],$G$6,JournalActions[Mi-temps],G$7))</f>
        <v/>
      </c>
      <c r="H14" s="9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3" t="str">
        <f>IF(COUNTIFS(JournalActions[Joueur],$B14,JournalActions[Action],$M$6,JournalActions[Mi-temps],M$7)=0,"",COUNTIFS(JournalActions[Joueur],$B14,JournalActions[Action],$M$6,JournalActions[Mi-temps],M$7))</f>
        <v/>
      </c>
      <c r="N14" s="94" t="str">
        <f>IF(COUNTIFS(JournalActions[Joueur],$B14,JournalActions[Action],$M$6,JournalActions[Mi-temps],N$7)=0,"",COUNTIFS(JournalActions[Joueur],$B14,JournalActions[Action],$M$6,JournalActions[Mi-temps],N$7))</f>
        <v/>
      </c>
      <c r="O14" s="144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44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44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44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44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44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</row>
    <row r="15" spans="2:20">
      <c r="B15" s="93"/>
      <c r="C15" s="93" t="str">
        <f>IF(COUNTIFS(JournalActions[Joueur],$B15,JournalActions[Action],$C$6,JournalActions[Mi-temps],C$7)=0,"",COUNTIFS(JournalActions[Joueur],$B15,JournalActions[Action],$C$6,JournalActions[Mi-temps],C$7))</f>
        <v/>
      </c>
      <c r="D15" s="9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3" t="str">
        <f>IF(COUNTIFS(JournalActions[Joueur],$B15,JournalActions[Action],$G$6,JournalActions[Mi-temps],G$7)=0,"",COUNTIFS(JournalActions[Joueur],$B15,JournalActions[Action],$G$6,JournalActions[Mi-temps],G$7))</f>
        <v/>
      </c>
      <c r="H15" s="9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3" t="str">
        <f>IF(COUNTIFS(JournalActions[Joueur],$B15,JournalActions[Action],$M$6,JournalActions[Mi-temps],M$7)=0,"",COUNTIFS(JournalActions[Joueur],$B15,JournalActions[Action],$M$6,JournalActions[Mi-temps],M$7))</f>
        <v/>
      </c>
      <c r="N15" s="94" t="str">
        <f>IF(COUNTIFS(JournalActions[Joueur],$B15,JournalActions[Action],$M$6,JournalActions[Mi-temps],N$7)=0,"",COUNTIFS(JournalActions[Joueur],$B15,JournalActions[Action],$M$6,JournalActions[Mi-temps],N$7))</f>
        <v/>
      </c>
      <c r="O15" s="144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44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44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44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44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44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</row>
    <row r="16" spans="2:20">
      <c r="B16" s="93"/>
      <c r="C16" s="93" t="str">
        <f>IF(COUNTIFS(JournalActions[Joueur],$B16,JournalActions[Action],$C$6,JournalActions[Mi-temps],C$7)=0,"",COUNTIFS(JournalActions[Joueur],$B16,JournalActions[Action],$C$6,JournalActions[Mi-temps],C$7))</f>
        <v/>
      </c>
      <c r="D16" s="9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3" t="str">
        <f>IF(COUNTIFS(JournalActions[Joueur],$B16,JournalActions[Action],$G$6,JournalActions[Mi-temps],G$7)=0,"",COUNTIFS(JournalActions[Joueur],$B16,JournalActions[Action],$G$6,JournalActions[Mi-temps],G$7))</f>
        <v/>
      </c>
      <c r="H16" s="9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3" t="str">
        <f>IF(COUNTIFS(JournalActions[Joueur],$B16,JournalActions[Action],$M$6,JournalActions[Mi-temps],M$7)=0,"",COUNTIFS(JournalActions[Joueur],$B16,JournalActions[Action],$M$6,JournalActions[Mi-temps],M$7))</f>
        <v/>
      </c>
      <c r="N16" s="94" t="str">
        <f>IF(COUNTIFS(JournalActions[Joueur],$B16,JournalActions[Action],$M$6,JournalActions[Mi-temps],N$7)=0,"",COUNTIFS(JournalActions[Joueur],$B16,JournalActions[Action],$M$6,JournalActions[Mi-temps],N$7))</f>
        <v/>
      </c>
      <c r="O16" s="144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44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44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44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44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44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</row>
    <row r="17" spans="2:20">
      <c r="B17" s="93"/>
      <c r="C17" s="93" t="str">
        <f>IF(COUNTIFS(JournalActions[Joueur],$B17,JournalActions[Action],$C$6,JournalActions[Mi-temps],C$7)=0,"",COUNTIFS(JournalActions[Joueur],$B17,JournalActions[Action],$C$6,JournalActions[Mi-temps],C$7))</f>
        <v/>
      </c>
      <c r="D17" s="9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3" t="str">
        <f>IF(COUNTIFS(JournalActions[Joueur],$B17,JournalActions[Action],$G$6,JournalActions[Mi-temps],G$7)=0,"",COUNTIFS(JournalActions[Joueur],$B17,JournalActions[Action],$G$6,JournalActions[Mi-temps],G$7))</f>
        <v/>
      </c>
      <c r="H17" s="9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3" t="str">
        <f>IF(COUNTIFS(JournalActions[Joueur],$B17,JournalActions[Action],$M$6,JournalActions[Mi-temps],M$7)=0,"",COUNTIFS(JournalActions[Joueur],$B17,JournalActions[Action],$M$6,JournalActions[Mi-temps],M$7))</f>
        <v/>
      </c>
      <c r="N17" s="94" t="str">
        <f>IF(COUNTIFS(JournalActions[Joueur],$B17,JournalActions[Action],$M$6,JournalActions[Mi-temps],N$7)=0,"",COUNTIFS(JournalActions[Joueur],$B17,JournalActions[Action],$M$6,JournalActions[Mi-temps],N$7))</f>
        <v/>
      </c>
      <c r="O17" s="144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44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44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44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44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44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</row>
    <row r="18" spans="2:20">
      <c r="B18" s="93"/>
      <c r="C18" s="93" t="str">
        <f>IF(COUNTIFS(JournalActions[Joueur],$B18,JournalActions[Action],$C$6,JournalActions[Mi-temps],C$7)=0,"",COUNTIFS(JournalActions[Joueur],$B18,JournalActions[Action],$C$6,JournalActions[Mi-temps],C$7))</f>
        <v/>
      </c>
      <c r="D18" s="9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3" t="str">
        <f>IF(COUNTIFS(JournalActions[Joueur],$B18,JournalActions[Action],$G$6,JournalActions[Mi-temps],G$7)=0,"",COUNTIFS(JournalActions[Joueur],$B18,JournalActions[Action],$G$6,JournalActions[Mi-temps],G$7))</f>
        <v/>
      </c>
      <c r="H18" s="9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3" t="str">
        <f>IF(COUNTIFS(JournalActions[Joueur],$B18,JournalActions[Action],$M$6,JournalActions[Mi-temps],M$7)=0,"",COUNTIFS(JournalActions[Joueur],$B18,JournalActions[Action],$M$6,JournalActions[Mi-temps],M$7))</f>
        <v/>
      </c>
      <c r="N18" s="94" t="str">
        <f>IF(COUNTIFS(JournalActions[Joueur],$B18,JournalActions[Action],$M$6,JournalActions[Mi-temps],N$7)=0,"",COUNTIFS(JournalActions[Joueur],$B18,JournalActions[Action],$M$6,JournalActions[Mi-temps],N$7))</f>
        <v/>
      </c>
      <c r="O18" s="144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44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44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44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44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44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</row>
    <row r="19" spans="2:20">
      <c r="B19" s="93"/>
      <c r="C19" s="93" t="str">
        <f>IF(COUNTIFS(JournalActions[Joueur],$B19,JournalActions[Action],$C$6,JournalActions[Mi-temps],C$7)=0,"",COUNTIFS(JournalActions[Joueur],$B19,JournalActions[Action],$C$6,JournalActions[Mi-temps],C$7))</f>
        <v/>
      </c>
      <c r="D19" s="9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93" t="str">
        <f>IF(COUNTIFS(JournalActions[Joueur],$B19,JournalActions[Action],$G$6,JournalActions[Mi-temps],G$7)=0,"",COUNTIFS(JournalActions[Joueur],$B19,JournalActions[Action],$G$6,JournalActions[Mi-temps],G$7))</f>
        <v/>
      </c>
      <c r="H19" s="9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3" t="str">
        <f>IF(COUNTIFS(JournalActions[Joueur],$B19,JournalActions[Action],$M$6,JournalActions[Mi-temps],M$7)=0,"",COUNTIFS(JournalActions[Joueur],$B19,JournalActions[Action],$M$6,JournalActions[Mi-temps],M$7))</f>
        <v/>
      </c>
      <c r="N19" s="94" t="str">
        <f>IF(COUNTIFS(JournalActions[Joueur],$B19,JournalActions[Action],$M$6,JournalActions[Mi-temps],N$7)=0,"",COUNTIFS(JournalActions[Joueur],$B19,JournalActions[Action],$M$6,JournalActions[Mi-temps],N$7))</f>
        <v/>
      </c>
      <c r="O19" s="144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44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44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44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44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44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</row>
    <row r="20" spans="2:20">
      <c r="B20" s="93"/>
      <c r="C20" s="93" t="str">
        <f>IF(COUNTIFS(JournalActions[Joueur],$B20,JournalActions[Action],$C$6,JournalActions[Mi-temps],C$7)=0,"",COUNTIFS(JournalActions[Joueur],$B20,JournalActions[Action],$C$6,JournalActions[Mi-temps],C$7))</f>
        <v/>
      </c>
      <c r="D20" s="9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3" t="str">
        <f>IF(COUNTIFS(JournalActions[Joueur],$B20,JournalActions[Action],$G$6,JournalActions[Mi-temps],G$7)=0,"",COUNTIFS(JournalActions[Joueur],$B20,JournalActions[Action],$G$6,JournalActions[Mi-temps],G$7))</f>
        <v/>
      </c>
      <c r="H20" s="9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3" t="str">
        <f>IF(COUNTIFS(JournalActions[Joueur],$B20,JournalActions[Action],$M$6,JournalActions[Mi-temps],M$7)=0,"",COUNTIFS(JournalActions[Joueur],$B20,JournalActions[Action],$M$6,JournalActions[Mi-temps],M$7))</f>
        <v/>
      </c>
      <c r="N20" s="94" t="str">
        <f>IF(COUNTIFS(JournalActions[Joueur],$B20,JournalActions[Action],$M$6,JournalActions[Mi-temps],N$7)=0,"",COUNTIFS(JournalActions[Joueur],$B20,JournalActions[Action],$M$6,JournalActions[Mi-temps],N$7))</f>
        <v/>
      </c>
      <c r="O20" s="144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44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44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44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44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44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20">
      <c r="B21" s="93"/>
      <c r="C21" s="93" t="str">
        <f>IF(COUNTIFS(JournalActions[Joueur],$B21,JournalActions[Action],$C$6,JournalActions[Mi-temps],C$7)=0,"",COUNTIFS(JournalActions[Joueur],$B21,JournalActions[Action],$C$6,JournalActions[Mi-temps],C$7))</f>
        <v/>
      </c>
      <c r="D21" s="9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3" t="str">
        <f>IF(COUNTIFS(JournalActions[Joueur],$B21,JournalActions[Action],$G$6,JournalActions[Mi-temps],G$7)=0,"",COUNTIFS(JournalActions[Joueur],$B21,JournalActions[Action],$G$6,JournalActions[Mi-temps],G$7))</f>
        <v/>
      </c>
      <c r="H21" s="9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3" t="str">
        <f>IF(COUNTIFS(JournalActions[Joueur],$B21,JournalActions[Action],$M$6,JournalActions[Mi-temps],M$7)=0,"",COUNTIFS(JournalActions[Joueur],$B21,JournalActions[Action],$M$6,JournalActions[Mi-temps],M$7))</f>
        <v/>
      </c>
      <c r="N21" s="94" t="str">
        <f>IF(COUNTIFS(JournalActions[Joueur],$B21,JournalActions[Action],$M$6,JournalActions[Mi-temps],N$7)=0,"",COUNTIFS(JournalActions[Joueur],$B21,JournalActions[Action],$M$6,JournalActions[Mi-temps],N$7))</f>
        <v/>
      </c>
      <c r="O21" s="144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44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44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44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44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144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20">
      <c r="B22" s="93"/>
      <c r="C22" s="93" t="str">
        <f>IF(COUNTIFS(JournalActions[Joueur],$B22,JournalActions[Action],$C$6,JournalActions[Mi-temps],C$7)=0,"",COUNTIFS(JournalActions[Joueur],$B22,JournalActions[Action],$C$6,JournalActions[Mi-temps],C$7))</f>
        <v/>
      </c>
      <c r="D22" s="9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3" t="str">
        <f>IF(COUNTIFS(JournalActions[Joueur],$B22,JournalActions[Action],$G$6,JournalActions[Mi-temps],G$7)=0,"",COUNTIFS(JournalActions[Joueur],$B22,JournalActions[Action],$G$6,JournalActions[Mi-temps],G$7))</f>
        <v/>
      </c>
      <c r="H22" s="9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3" t="str">
        <f>IF(COUNTIFS(JournalActions[Joueur],$B22,JournalActions[Action],$M$6,JournalActions[Mi-temps],M$7)=0,"",COUNTIFS(JournalActions[Joueur],$B22,JournalActions[Action],$M$6,JournalActions[Mi-temps],M$7))</f>
        <v/>
      </c>
      <c r="N22" s="94" t="str">
        <f>IF(COUNTIFS(JournalActions[Joueur],$B22,JournalActions[Action],$M$6,JournalActions[Mi-temps],N$7)=0,"",COUNTIFS(JournalActions[Joueur],$B22,JournalActions[Action],$M$6,JournalActions[Mi-temps],N$7))</f>
        <v/>
      </c>
      <c r="O22" s="144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44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44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44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44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44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20">
      <c r="B23" s="93"/>
      <c r="C23" s="93" t="str">
        <f>IF(COUNTIFS(JournalActions[Joueur],$B23,JournalActions[Action],$C$6,JournalActions[Mi-temps],C$7)=0,"",COUNTIFS(JournalActions[Joueur],$B23,JournalActions[Action],$C$6,JournalActions[Mi-temps],C$7))</f>
        <v/>
      </c>
      <c r="D23" s="9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3" t="str">
        <f>IF(COUNTIFS(JournalActions[Joueur],$B23,JournalActions[Action],$G$6,JournalActions[Mi-temps],G$7)=0,"",COUNTIFS(JournalActions[Joueur],$B23,JournalActions[Action],$G$6,JournalActions[Mi-temps],G$7))</f>
        <v/>
      </c>
      <c r="H23" s="9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3" t="str">
        <f>IF(COUNTIFS(JournalActions[Joueur],$B23,JournalActions[Action],$M$6,JournalActions[Mi-temps],M$7)=0,"",COUNTIFS(JournalActions[Joueur],$B23,JournalActions[Action],$M$6,JournalActions[Mi-temps],M$7))</f>
        <v/>
      </c>
      <c r="N23" s="94" t="str">
        <f>IF(COUNTIFS(JournalActions[Joueur],$B23,JournalActions[Action],$M$6,JournalActions[Mi-temps],N$7)=0,"",COUNTIFS(JournalActions[Joueur],$B23,JournalActions[Action],$M$6,JournalActions[Mi-temps],N$7))</f>
        <v/>
      </c>
      <c r="O23" s="144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44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44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44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44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44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20">
      <c r="B24" s="93"/>
      <c r="C24" s="93" t="str">
        <f>IF(COUNTIFS(JournalActions[Joueur],$B24,JournalActions[Action],$C$6,JournalActions[Mi-temps],C$7)=0,"",COUNTIFS(JournalActions[Joueur],$B24,JournalActions[Action],$C$6,JournalActions[Mi-temps],C$7))</f>
        <v/>
      </c>
      <c r="D24" s="9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3" t="str">
        <f>IF(COUNTIFS(JournalActions[Joueur],$B24,JournalActions[Action],$G$6,JournalActions[Mi-temps],G$7)=0,"",COUNTIFS(JournalActions[Joueur],$B24,JournalActions[Action],$G$6,JournalActions[Mi-temps],G$7))</f>
        <v/>
      </c>
      <c r="H24" s="9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3" t="str">
        <f>IF(COUNTIFS(JournalActions[Joueur],$B24,JournalActions[Action],$M$6,JournalActions[Mi-temps],M$7)=0,"",COUNTIFS(JournalActions[Joueur],$B24,JournalActions[Action],$M$6,JournalActions[Mi-temps],M$7))</f>
        <v/>
      </c>
      <c r="N24" s="94" t="str">
        <f>IF(COUNTIFS(JournalActions[Joueur],$B24,JournalActions[Action],$M$6,JournalActions[Mi-temps],N$7)=0,"",COUNTIFS(JournalActions[Joueur],$B24,JournalActions[Action],$M$6,JournalActions[Mi-temps],N$7))</f>
        <v/>
      </c>
      <c r="O24" s="144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44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44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44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44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44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20">
      <c r="B25" s="93"/>
      <c r="C25" s="93" t="str">
        <f>IF(COUNTIFS(JournalActions[Joueur],$B25,JournalActions[Action],$C$6,JournalActions[Mi-temps],C$7)=0,"",COUNTIFS(JournalActions[Joueur],$B25,JournalActions[Action],$C$6,JournalActions[Mi-temps],C$7))</f>
        <v/>
      </c>
      <c r="D25" s="9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3" t="str">
        <f>IF(COUNTIFS(JournalActions[Joueur],$B25,JournalActions[Action],$G$6,JournalActions[Mi-temps],G$7)=0,"",COUNTIFS(JournalActions[Joueur],$B25,JournalActions[Action],$G$6,JournalActions[Mi-temps],G$7))</f>
        <v/>
      </c>
      <c r="H25" s="9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3" t="str">
        <f>IF(COUNTIFS(JournalActions[Joueur],$B25,JournalActions[Action],$M$6,JournalActions[Mi-temps],M$7)=0,"",COUNTIFS(JournalActions[Joueur],$B25,JournalActions[Action],$M$6,JournalActions[Mi-temps],M$7))</f>
        <v/>
      </c>
      <c r="N25" s="94" t="str">
        <f>IF(COUNTIFS(JournalActions[Joueur],$B25,JournalActions[Action],$M$6,JournalActions[Mi-temps],N$7)=0,"",COUNTIFS(JournalActions[Joueur],$B25,JournalActions[Action],$M$6,JournalActions[Mi-temps],N$7))</f>
        <v/>
      </c>
      <c r="O25" s="144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44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44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44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44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44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20">
      <c r="B26" s="93"/>
      <c r="C26" s="93" t="str">
        <f>IF(COUNTIFS(JournalActions[Joueur],$B26,JournalActions[Action],$C$6,JournalActions[Mi-temps],C$7)=0,"",COUNTIFS(JournalActions[Joueur],$B26,JournalActions[Action],$C$6,JournalActions[Mi-temps],C$7))</f>
        <v/>
      </c>
      <c r="D26" s="9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3" t="str">
        <f>IF(COUNTIFS(JournalActions[Joueur],$B26,JournalActions[Action],$G$6,JournalActions[Mi-temps],G$7)=0,"",COUNTIFS(JournalActions[Joueur],$B26,JournalActions[Action],$G$6,JournalActions[Mi-temps],G$7))</f>
        <v/>
      </c>
      <c r="H26" s="9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3" t="str">
        <f>IF(COUNTIFS(JournalActions[Joueur],$B26,JournalActions[Action],$M$6,JournalActions[Mi-temps],M$7)=0,"",COUNTIFS(JournalActions[Joueur],$B26,JournalActions[Action],$M$6,JournalActions[Mi-temps],M$7))</f>
        <v/>
      </c>
      <c r="N26" s="94" t="str">
        <f>IF(COUNTIFS(JournalActions[Joueur],$B26,JournalActions[Action],$M$6,JournalActions[Mi-temps],N$7)=0,"",COUNTIFS(JournalActions[Joueur],$B26,JournalActions[Action],$M$6,JournalActions[Mi-temps],N$7))</f>
        <v/>
      </c>
      <c r="O26" s="144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44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44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44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44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44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20">
      <c r="B27" s="93"/>
      <c r="C27" s="93" t="str">
        <f>IF(COUNTIFS(JournalActions[Joueur],$B27,JournalActions[Action],$C$6,JournalActions[Mi-temps],C$7)=0,"",COUNTIFS(JournalActions[Joueur],$B27,JournalActions[Action],$C$6,JournalActions[Mi-temps],C$7))</f>
        <v/>
      </c>
      <c r="D27" s="9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93" t="str">
        <f>IF(COUNTIFS(JournalActions[Joueur],$B27,JournalActions[Action],$G$6,JournalActions[Mi-temps],G$7)=0,"",COUNTIFS(JournalActions[Joueur],$B27,JournalActions[Action],$G$6,JournalActions[Mi-temps],G$7))</f>
        <v/>
      </c>
      <c r="H27" s="9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3" t="str">
        <f>IF(COUNTIFS(JournalActions[Joueur],$B27,JournalActions[Action],$M$6,JournalActions[Mi-temps],M$7)=0,"",COUNTIFS(JournalActions[Joueur],$B27,JournalActions[Action],$M$6,JournalActions[Mi-temps],M$7))</f>
        <v/>
      </c>
      <c r="N27" s="94" t="str">
        <f>IF(COUNTIFS(JournalActions[Joueur],$B27,JournalActions[Action],$M$6,JournalActions[Mi-temps],N$7)=0,"",COUNTIFS(JournalActions[Joueur],$B27,JournalActions[Action],$M$6,JournalActions[Mi-temps],N$7))</f>
        <v/>
      </c>
      <c r="O27" s="144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44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44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44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44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44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20">
      <c r="B28" s="93"/>
      <c r="C28" s="93" t="str">
        <f>IF(COUNTIFS(JournalActions[Joueur],$B28,JournalActions[Action],$C$6,JournalActions[Mi-temps],C$7)=0,"",COUNTIFS(JournalActions[Joueur],$B28,JournalActions[Action],$C$6,JournalActions[Mi-temps],C$7))</f>
        <v/>
      </c>
      <c r="D28" s="9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3" t="str">
        <f>IF(COUNTIFS(JournalActions[Joueur],$B28,JournalActions[Action],$G$6,JournalActions[Mi-temps],G$7)=0,"",COUNTIFS(JournalActions[Joueur],$B28,JournalActions[Action],$G$6,JournalActions[Mi-temps],G$7))</f>
        <v/>
      </c>
      <c r="H28" s="9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3" t="str">
        <f>IF(COUNTIFS(JournalActions[Joueur],$B28,JournalActions[Action],$M$6,JournalActions[Mi-temps],M$7)=0,"",COUNTIFS(JournalActions[Joueur],$B28,JournalActions[Action],$M$6,JournalActions[Mi-temps],M$7))</f>
        <v/>
      </c>
      <c r="N28" s="94" t="str">
        <f>IF(COUNTIFS(JournalActions[Joueur],$B28,JournalActions[Action],$M$6,JournalActions[Mi-temps],N$7)=0,"",COUNTIFS(JournalActions[Joueur],$B28,JournalActions[Action],$M$6,JournalActions[Mi-temps],N$7))</f>
        <v/>
      </c>
      <c r="O28" s="144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44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44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44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144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44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20">
      <c r="B29" s="93"/>
      <c r="C29" s="93" t="str">
        <f>IF(COUNTIFS(JournalActions[Joueur],$B29,JournalActions[Action],$C$6,JournalActions[Mi-temps],C$7)=0,"",COUNTIFS(JournalActions[Joueur],$B29,JournalActions[Action],$C$6,JournalActions[Mi-temps],C$7))</f>
        <v/>
      </c>
      <c r="D29" s="9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3" t="str">
        <f>IF(COUNTIFS(JournalActions[Joueur],$B29,JournalActions[Action],$G$6,JournalActions[Mi-temps],G$7)=0,"",COUNTIFS(JournalActions[Joueur],$B29,JournalActions[Action],$G$6,JournalActions[Mi-temps],G$7))</f>
        <v/>
      </c>
      <c r="H29" s="9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3" t="str">
        <f>IF(COUNTIFS(JournalActions[Joueur],$B29,JournalActions[Action],$M$6,JournalActions[Mi-temps],M$7)=0,"",COUNTIFS(JournalActions[Joueur],$B29,JournalActions[Action],$M$6,JournalActions[Mi-temps],M$7))</f>
        <v/>
      </c>
      <c r="N29" s="94" t="str">
        <f>IF(COUNTIFS(JournalActions[Joueur],$B29,JournalActions[Action],$M$6,JournalActions[Mi-temps],N$7)=0,"",COUNTIFS(JournalActions[Joueur],$B29,JournalActions[Action],$M$6,JournalActions[Mi-temps],N$7))</f>
        <v/>
      </c>
      <c r="O29" s="144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44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44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44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44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44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20">
      <c r="B30" s="91" t="s">
        <v>93</v>
      </c>
      <c r="C30" s="93" t="str">
        <f>IF(COUNTIFS(JournalActions[Joueur],$B30,JournalActions[Action],$C$6,JournalActions[Mi-temps],C$7)=0,"",COUNTIFS(JournalActions[Joueur],$B30,JournalActions[Action],$C$6,JournalActions[Mi-temps],C$7))</f>
        <v/>
      </c>
      <c r="D30" s="9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3" t="str">
        <f>IF(COUNTIFS(JournalActions[Joueur],$B30,JournalActions[Action],$G$6,JournalActions[Mi-temps],G$7)=0,"",COUNTIFS(JournalActions[Joueur],$B30,JournalActions[Action],$G$6,JournalActions[Mi-temps],G$7))</f>
        <v/>
      </c>
      <c r="H30" s="9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3" t="str">
        <f>IF(COUNTIFS(JournalActions[Joueur],$B30,JournalActions[Action],$M$6,JournalActions[Mi-temps],M$7)=0,"",COUNTIFS(JournalActions[Joueur],$B30,JournalActions[Action],$M$6,JournalActions[Mi-temps],M$7))</f>
        <v/>
      </c>
      <c r="N30" s="94" t="str">
        <f>IF(COUNTIFS(JournalActions[Joueur],$B30,JournalActions[Action],$M$6,JournalActions[Mi-temps],N$7)=0,"",COUNTIFS(JournalActions[Joueur],$B30,JournalActions[Action],$M$6,JournalActions[Mi-temps],N$7))</f>
        <v/>
      </c>
      <c r="O30" s="144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44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44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44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44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44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20">
      <c r="B31" s="92" t="s">
        <v>83</v>
      </c>
      <c r="C31" s="97">
        <f>IF(COUNTIFS(JournalActions[Joueur],$B31,JournalActions[Action],$C$6,JournalActions[Mi-temps],C$7)=0,"",COUNTIFS(JournalActions[Joueur],$B31,JournalActions[Action],$C$6,JournalActions[Mi-temps],C$7))</f>
        <v>7</v>
      </c>
      <c r="D31" s="96">
        <f>IF(COUNTIFS(JournalActions[Joueur],$B31,JournalActions[Action],$C$6,JournalActions[Mi-temps],D$7)=0,"",COUNTIFS(JournalActions[Joueur],$B31,JournalActions[Action],$C$6,JournalActions[Mi-temps],D$7))</f>
        <v>8</v>
      </c>
      <c r="E31" s="95">
        <f>IF(COUNTIFS(JournalActions[Joueur],$B31,JournalActions[Action],$E$6,JournalActions[Mi-temps],E$7)=0,"",COUNTIFS(JournalActions[Joueur],$B31,JournalActions[Action],$E$6,JournalActions[Mi-temps],E$7))</f>
        <v>1</v>
      </c>
      <c r="F31" s="95" t="str">
        <f>IF(COUNTIFS(JournalActions[Joueur],$B31,JournalActions[Action],$E$6,JournalActions[Mi-temps],F$7)=0,"",COUNTIFS(JournalActions[Joueur],$B31,JournalActions[Action],$E$6,JournalActions[Mi-temps],F$7))</f>
        <v/>
      </c>
      <c r="G31" s="97">
        <f>IF(COUNTIFS(JournalActions[Joueur],$B31,JournalActions[Action],$G$6,JournalActions[Mi-temps],G$7)=0,"",COUNTIFS(JournalActions[Joueur],$B31,JournalActions[Action],$G$6,JournalActions[Mi-temps],G$7))</f>
        <v>3</v>
      </c>
      <c r="H31" s="96">
        <f>IF(COUNTIFS(JournalActions[Joueur],$B31,JournalActions[Action],$G$6,JournalActions[Mi-temps],H$7)=0,"",COUNTIFS(JournalActions[Joueur],$B31,JournalActions[Action],$G$6,JournalActions[Mi-temps],H$7))</f>
        <v>2</v>
      </c>
      <c r="I31" s="95" t="str">
        <f>IF(COUNTIFS(JournalActions[Joueur],$B31,JournalActions[Action],$I$6,JournalActions[Mi-temps],I$7)=0,"",COUNTIFS(JournalActions[Joueur],$B31,JournalActions[Action],$I$6,JournalActions[Mi-temps],I$7))</f>
        <v/>
      </c>
      <c r="J31" s="95" t="str">
        <f>IF(COUNTIFS(JournalActions[Joueur],$B31,JournalActions[Action],$I$6,JournalActions[Mi-temps],J$7)=0,"",COUNTIFS(JournalActions[Joueur],$B31,JournalActions[Action],$I$6,JournalActions[Mi-temps],J$7))</f>
        <v/>
      </c>
      <c r="K31" s="97" t="str">
        <f>IF(COUNTIFS(JournalActions[Joueur],$B31,JournalActions[Action],$K$6,JournalActions[Mi-temps],K$7)=0,"",COUNTIFS(JournalActions[Joueur],$B31,JournalActions[Action],$K$6,JournalActions[Mi-temps],K$7))</f>
        <v/>
      </c>
      <c r="L31" s="95" t="str">
        <f>IF(COUNTIFS(JournalActions[Joueur],$B31,JournalActions[Action],$K$6,JournalActions[Mi-temps],L$7)=0,"",COUNTIFS(JournalActions[Joueur],$B31,JournalActions[Action],$K$6,JournalActions[Mi-temps],L$7))</f>
        <v/>
      </c>
      <c r="M31" s="97">
        <f>IF(COUNTIFS(JournalActions[Joueur],$B31,JournalActions[Action],$M$6,JournalActions[Mi-temps],M$7)=0,"",COUNTIFS(JournalActions[Joueur],$B31,JournalActions[Action],$M$6,JournalActions[Mi-temps],M$7))</f>
        <v>1</v>
      </c>
      <c r="N31" s="96">
        <f>IF(COUNTIFS(JournalActions[Joueur],$B31,JournalActions[Action],$M$6,JournalActions[Mi-temps],N$7)=0,"",COUNTIFS(JournalActions[Joueur],$B31,JournalActions[Action],$M$6,JournalActions[Mi-temps],N$7))</f>
        <v>1</v>
      </c>
      <c r="O31" s="145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45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45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>1</v>
      </c>
      <c r="R31" s="145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45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>3</v>
      </c>
      <c r="T31" s="145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>1</v>
      </c>
    </row>
    <row r="32" spans="2:20" s="29" customFormat="1" ht="22" customHeight="1">
      <c r="B32" s="127" t="s">
        <v>270</v>
      </c>
      <c r="C32" s="128">
        <f>SUM(C8:C31)</f>
        <v>7</v>
      </c>
      <c r="D32" s="129">
        <f t="shared" ref="D32:T32" si="0">SUM(D8:D31)</f>
        <v>8</v>
      </c>
      <c r="E32" s="128">
        <f t="shared" si="0"/>
        <v>1</v>
      </c>
      <c r="F32" s="129">
        <f t="shared" si="0"/>
        <v>0</v>
      </c>
      <c r="G32" s="128">
        <f t="shared" si="0"/>
        <v>3</v>
      </c>
      <c r="H32" s="129">
        <f t="shared" si="0"/>
        <v>2</v>
      </c>
      <c r="I32" s="128">
        <f t="shared" si="0"/>
        <v>0</v>
      </c>
      <c r="J32" s="129">
        <f t="shared" si="0"/>
        <v>0</v>
      </c>
      <c r="K32" s="128">
        <f t="shared" si="0"/>
        <v>0</v>
      </c>
      <c r="L32" s="129">
        <f t="shared" si="0"/>
        <v>0</v>
      </c>
      <c r="M32" s="128">
        <f t="shared" si="0"/>
        <v>1</v>
      </c>
      <c r="N32" s="129">
        <f t="shared" si="0"/>
        <v>1</v>
      </c>
      <c r="O32" s="211">
        <f t="shared" si="0"/>
        <v>0</v>
      </c>
      <c r="P32" s="211">
        <f t="shared" si="0"/>
        <v>0</v>
      </c>
      <c r="Q32" s="211">
        <f t="shared" si="0"/>
        <v>1</v>
      </c>
      <c r="R32" s="211">
        <f t="shared" si="0"/>
        <v>0</v>
      </c>
      <c r="S32" s="211">
        <f t="shared" si="0"/>
        <v>3</v>
      </c>
      <c r="T32" s="211">
        <f t="shared" si="0"/>
        <v>1</v>
      </c>
    </row>
    <row r="33" spans="2:20" s="106" customFormat="1" ht="25" customHeight="1">
      <c r="B33" s="130" t="s">
        <v>269</v>
      </c>
      <c r="C33" s="181">
        <f>C32+D32</f>
        <v>15</v>
      </c>
      <c r="D33" s="182"/>
      <c r="E33" s="204">
        <f t="shared" ref="E33" si="1">E32+F32</f>
        <v>1</v>
      </c>
      <c r="F33" s="204"/>
      <c r="G33" s="181">
        <f t="shared" ref="G33" si="2">G32+H32</f>
        <v>5</v>
      </c>
      <c r="H33" s="182"/>
      <c r="I33" s="181">
        <f>I32+J32</f>
        <v>0</v>
      </c>
      <c r="J33" s="182"/>
      <c r="K33" s="181">
        <f t="shared" ref="K33" si="3">K32+L32</f>
        <v>0</v>
      </c>
      <c r="L33" s="182"/>
      <c r="M33" s="204">
        <f t="shared" ref="M33" si="4">M32+N32</f>
        <v>2</v>
      </c>
      <c r="N33" s="182"/>
      <c r="O33" s="212"/>
      <c r="P33" s="212"/>
      <c r="Q33" s="212"/>
      <c r="R33" s="212"/>
      <c r="S33" s="212"/>
      <c r="T33" s="212"/>
    </row>
    <row r="34" spans="2:20" s="29" customFormat="1"/>
    <row r="35" spans="2:20" s="29" customFormat="1"/>
    <row r="36" spans="2:20" ht="14">
      <c r="B36" s="29"/>
      <c r="C36" s="131" t="s">
        <v>236</v>
      </c>
      <c r="D36" s="131" t="s">
        <v>315</v>
      </c>
      <c r="E36" s="132" t="s">
        <v>235</v>
      </c>
      <c r="F36" s="29"/>
      <c r="G36" s="200" t="s">
        <v>264</v>
      </c>
      <c r="H36" s="201"/>
      <c r="J36" s="200" t="s">
        <v>79</v>
      </c>
      <c r="K36" s="200" t="s">
        <v>238</v>
      </c>
      <c r="L36" s="206"/>
      <c r="M36" s="201"/>
      <c r="N36" s="201" t="s">
        <v>265</v>
      </c>
    </row>
    <row r="37" spans="2:20" ht="14">
      <c r="B37" s="29"/>
      <c r="C37" s="101" t="s">
        <v>233</v>
      </c>
      <c r="D37" s="101">
        <f>COUNTIFS(JournalActions[Action],ACT_TO_NS_G,JournalActions[Mi-temps],"MT1")</f>
        <v>3</v>
      </c>
      <c r="E37" s="102">
        <f>COUNTIFS(JournalActions[Action],ACT_TO_NS_P,JournalActions[Mi-temps],"MT1")
+COUNTIFS(JournalActions[Action],ACT_TO_NS_PAS_DROIT,JournalActions[Mi-temps],"MT1")</f>
        <v>2</v>
      </c>
      <c r="F37" s="29"/>
      <c r="G37" s="101" t="s">
        <v>238</v>
      </c>
      <c r="H37" s="10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10</v>
      </c>
      <c r="I37" s="29"/>
      <c r="J37" s="205"/>
      <c r="K37" s="146" t="s">
        <v>244</v>
      </c>
      <c r="L37" s="142" t="s">
        <v>263</v>
      </c>
      <c r="M37" s="147" t="s">
        <v>83</v>
      </c>
      <c r="N37" s="207"/>
    </row>
    <row r="38" spans="2:20">
      <c r="B38" s="29"/>
      <c r="C38" s="47" t="s">
        <v>266</v>
      </c>
      <c r="D38" s="47">
        <f>COUNTIFS(JournalActions[Action],ACT_TO_ADV_PERDUE,JournalActions[Mi-temps],"MT1")</f>
        <v>2</v>
      </c>
      <c r="E38" s="49">
        <f>COUNTIFS(JournalActions[Action],ACT_TO_ADV_VOLEE,JournalActions[Mi-temps],"MT1")
+COUNTIFS(JournalActions[Action],ACT_TO_ADV_PAS_DROIT,JournalActions[Mi-temps],"MT1")</f>
        <v>3</v>
      </c>
      <c r="F38" s="29"/>
      <c r="G38" s="47" t="s">
        <v>239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19</v>
      </c>
      <c r="I38" s="29"/>
      <c r="J38" s="98" t="s">
        <v>116</v>
      </c>
      <c r="K38" s="144">
        <f>COUNTIFS(JournalActions[Action],ACT_PEN_CONTRE_NOUS,JournalActions[Mi-temps],"MT1",JournalActions[Groupe fautif],"Avant*")</f>
        <v>1</v>
      </c>
      <c r="L38" s="94">
        <f>COUNTIFS(JournalActions[Action],ACT_PEN_CONTRE_NOUS,JournalActions[Mi-temps],"MT1",JournalActions[Groupe fautif],"Trois-quarts*")</f>
        <v>0</v>
      </c>
      <c r="M38" s="94">
        <f>COUNTIFS(JournalActions[Action],ACT_PEN_CONTRE_NOUS,JournalActions[Mi-temps],"MT1",JournalActions[Groupe fautif],"")
+COUNTIFS(JournalActions[Action],ACT_PEN_CONTRE_NOUS,JournalActions[Mi-temps],"MT1",JournalActions[Groupe fautif],"?")</f>
        <v>3</v>
      </c>
      <c r="N38" s="99">
        <f>COUNTIFS(JournalActions[Action],ACT_PEN_CONTRE_ADV,JournalActions[Mi-temps],"MT1")</f>
        <v>8</v>
      </c>
    </row>
    <row r="39" spans="2:20">
      <c r="B39" s="29"/>
      <c r="C39" s="29"/>
      <c r="D39" s="29"/>
      <c r="E39" s="29"/>
      <c r="F39" s="29"/>
      <c r="G39" s="29"/>
      <c r="H39" s="29"/>
      <c r="I39" s="29"/>
      <c r="J39" s="47" t="s">
        <v>113</v>
      </c>
      <c r="K39" s="137">
        <f>COUNTIFS(JournalActions[Action],ACT_PEN_CONTRE_NOUS,JournalActions[Mi-temps],"MT2",JournalActions[Groupe fautif],"Avant")</f>
        <v>1</v>
      </c>
      <c r="L39" s="49">
        <f>COUNTIFS(JournalActions[Action],ACT_PEN_CONTRE_NOUS,JournalActions[Mi-temps],"MT2",JournalActions[Groupe fautif],"Trois-quarts*")</f>
        <v>0</v>
      </c>
      <c r="M39" s="49">
        <f>COUNTIFS(JournalActions[Action],ACT_PEN_CONTRE_NOUS,JournalActions[Mi-temps],"MT2",JournalActions[Groupe fautif],"")
+COUNTIFS(JournalActions[Action],ACT_PEN_CONTRE_NOUS,JournalActions[Mi-temps],"MT2",JournalActions[Groupe fautif],"?")</f>
        <v>2</v>
      </c>
      <c r="N39" s="49">
        <f>COUNTIFS(JournalActions[Action],ACT_PEN_CONTRE_ADV,JournalActions[Mi-temps],"MT2")</f>
        <v>8</v>
      </c>
    </row>
    <row r="40" spans="2:20" ht="14">
      <c r="B40" s="29"/>
      <c r="C40" s="131" t="s">
        <v>237</v>
      </c>
      <c r="D40" s="131" t="s">
        <v>315</v>
      </c>
      <c r="E40" s="132" t="s">
        <v>235</v>
      </c>
      <c r="F40" s="29"/>
      <c r="G40" s="200" t="s">
        <v>240</v>
      </c>
      <c r="H40" s="201"/>
      <c r="I40" s="29"/>
      <c r="J40" s="29"/>
      <c r="K40" s="29"/>
      <c r="L40" s="29"/>
      <c r="M40" s="29"/>
      <c r="N40" s="29"/>
    </row>
    <row r="41" spans="2:20" ht="14">
      <c r="B41" s="29"/>
      <c r="C41" s="101" t="s">
        <v>233</v>
      </c>
      <c r="D41" s="101">
        <f>COUNTIFS(JournalActions[Action],ACT_TO_NS_G,JournalActions[Mi-temps],"MT2")</f>
        <v>5</v>
      </c>
      <c r="E41" s="102">
        <f>COUNTIFS(JournalActions[Action],ACT_TO_NS_P,JournalActions[Mi-temps],"MT2")
+COUNTIFS(JournalActions[Action],ACT_TO_NS_PAS_DROIT,JournalActions[Mi-temps],"MT2")</f>
        <v>1</v>
      </c>
      <c r="F41" s="29"/>
      <c r="G41" s="101" t="s">
        <v>238</v>
      </c>
      <c r="H41" s="10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20</v>
      </c>
      <c r="I41" s="29"/>
      <c r="J41" s="133" t="s">
        <v>29</v>
      </c>
      <c r="K41" s="134"/>
      <c r="L41" s="135" t="s">
        <v>238</v>
      </c>
      <c r="M41" s="123" t="s">
        <v>265</v>
      </c>
      <c r="N41" s="29"/>
    </row>
    <row r="42" spans="2:20">
      <c r="B42" s="29"/>
      <c r="C42" s="47" t="s">
        <v>266</v>
      </c>
      <c r="D42" s="47">
        <f>COUNTIFS(JournalActions[Action],ACT_TO_ADV_PERDUE,JournalActions[Mi-temps],"MT2")</f>
        <v>2</v>
      </c>
      <c r="E42" s="49">
        <f>COUNTIFS(JournalActions[Action],ACT_TO_ADV_VOLEE,JournalActions[Mi-temps],"MT2")
+COUNTIFS(JournalActions[Action],ACT_TO_ADV_PAS_DROIT,JournalActions[Mi-temps],"MT2")</f>
        <v>4</v>
      </c>
      <c r="F42" s="29"/>
      <c r="G42" s="47" t="s">
        <v>239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34</v>
      </c>
      <c r="I42" s="29"/>
      <c r="J42" s="187" t="s">
        <v>31</v>
      </c>
      <c r="K42" s="188"/>
      <c r="L42" s="103">
        <f>COUNTIFS(JournalActions[Action],ACT_PEN_CONTRE_NOUS,JournalActions[Motif penalite],ACT_PEN_MAUL)</f>
        <v>0</v>
      </c>
      <c r="M42" s="103">
        <f>COUNTIFS(JournalActions[Action],ACT_PEN_CONTRE_ADV,JournalActions[Motif penalite],ACT_PEN_MAUL)</f>
        <v>0</v>
      </c>
      <c r="N42" s="29"/>
    </row>
    <row r="43" spans="2:20">
      <c r="B43" s="29"/>
      <c r="C43" s="29"/>
      <c r="D43" s="29"/>
      <c r="E43" s="29"/>
      <c r="F43" s="29"/>
      <c r="G43" s="29"/>
      <c r="H43" s="29"/>
      <c r="I43" s="29"/>
      <c r="J43" s="185" t="s">
        <v>33</v>
      </c>
      <c r="K43" s="186"/>
      <c r="L43" s="50">
        <f>COUNTIFS(JournalActions[Action],ACT_PEN_CONTRE_NOUS,JournalActions[Motif penalite],ACT_PEN_RUCK)</f>
        <v>4</v>
      </c>
      <c r="M43" s="50">
        <f>COUNTIFS(JournalActions[Action],ACT_PEN_CONTRE_ADV,JournalActions[Motif penalite],ACT_PEN_RUCK)</f>
        <v>9</v>
      </c>
      <c r="N43" s="29"/>
    </row>
    <row r="44" spans="2:20" ht="14">
      <c r="B44" s="29"/>
      <c r="C44" s="131" t="s">
        <v>341</v>
      </c>
      <c r="D44" s="131" t="s">
        <v>315</v>
      </c>
      <c r="E44" s="132" t="s">
        <v>235</v>
      </c>
      <c r="F44" s="29"/>
      <c r="G44" s="200" t="s">
        <v>357</v>
      </c>
      <c r="H44" s="201"/>
      <c r="I44" s="29"/>
      <c r="J44" s="187" t="s">
        <v>35</v>
      </c>
      <c r="K44" s="188"/>
      <c r="L44" s="103">
        <f>COUNTIFS(JournalActions[Action],ACT_PEN_CONTRE_NOUS,JournalActions[Motif penalite],ACT_PEN_HORS_JEU)</f>
        <v>0</v>
      </c>
      <c r="M44" s="103">
        <f>COUNTIFS(JournalActions[Action],ACT_PEN_CONTRE_ADV,JournalActions[Motif penalite],ACT_PEN_HORS_JEU)</f>
        <v>2</v>
      </c>
      <c r="N44" s="29"/>
    </row>
    <row r="45" spans="2:20">
      <c r="B45" s="29"/>
      <c r="C45" s="101" t="s">
        <v>233</v>
      </c>
      <c r="D45" s="101">
        <f>COUNTIFS(JournalActions[Action],ACT_ME_NS_G,JournalActions[Mi-temps],"MT1")</f>
        <v>1</v>
      </c>
      <c r="E45" s="102">
        <f>COUNTIFS(JournalActions[Action],ACT_ME_NS_P,JournalActions[Mi-temps],"MT1")</f>
        <v>0</v>
      </c>
      <c r="F45" s="29"/>
      <c r="G45" s="101" t="s">
        <v>116</v>
      </c>
      <c r="H45" s="156">
        <v>2.1555488611111111E-2</v>
      </c>
      <c r="I45" s="29"/>
      <c r="J45" s="185" t="s">
        <v>37</v>
      </c>
      <c r="K45" s="186"/>
      <c r="L45" s="50">
        <f>COUNTIFS(JournalActions[Action],ACT_PEN_CONTRE_NOUS,JournalActions[Motif penalite],ACT_PEN_PL_A_2)</f>
        <v>1</v>
      </c>
      <c r="M45" s="50">
        <f>COUNTIFS(JournalActions[Action],ACT_PEN_CONTRE_ADV,JournalActions[Motif penalite],ACT_PEN_PL_A_2)</f>
        <v>0</v>
      </c>
      <c r="N45" s="29"/>
    </row>
    <row r="46" spans="2:20">
      <c r="B46" s="29"/>
      <c r="C46" s="47" t="s">
        <v>266</v>
      </c>
      <c r="D46" s="47">
        <f>COUNTIFS(JournalActions[Action],ACT_ME_ADV_P,JournalActions[Mi-temps],"MT1")</f>
        <v>0</v>
      </c>
      <c r="E46" s="49">
        <f>COUNTIFS(JournalActions[Action],ACT_ME_ADV_G,JournalActions[Mi-temps],"MT1")</f>
        <v>0</v>
      </c>
      <c r="F46" s="29"/>
      <c r="G46" s="47" t="s">
        <v>113</v>
      </c>
      <c r="H46" s="157">
        <v>1.3503209143518519E-2</v>
      </c>
      <c r="I46" s="29"/>
      <c r="J46" s="187" t="s">
        <v>39</v>
      </c>
      <c r="K46" s="188"/>
      <c r="L46" s="103">
        <f>COUNTIFS(JournalActions[Action],ACT_PEN_CONTRE_NOUS,JournalActions[Motif penalite],ACT_PEN_PL_HAUT)</f>
        <v>0</v>
      </c>
      <c r="M46" s="103">
        <f>COUNTIFS(JournalActions[Action],ACT_PEN_CONTRE_ADV,JournalActions[Motif penalite],ACT_PEN_PL_HAUT)</f>
        <v>1</v>
      </c>
      <c r="N46" s="29"/>
    </row>
    <row r="47" spans="2:20">
      <c r="B47" s="29"/>
      <c r="C47" s="29"/>
      <c r="D47" s="29"/>
      <c r="E47" s="29"/>
      <c r="F47" s="29"/>
      <c r="G47" s="158" t="s">
        <v>358</v>
      </c>
      <c r="H47" s="159">
        <v>3.5058697754629629E-2</v>
      </c>
      <c r="I47" s="29"/>
      <c r="J47" s="185" t="s">
        <v>260</v>
      </c>
      <c r="K47" s="186"/>
      <c r="L47" s="50">
        <f>COUNTIFS(JournalActions[Action],ACT_PEN_CONTRE_NOUS,JournalActions[Motif penalite],"~?")</f>
        <v>2</v>
      </c>
      <c r="M47" s="50">
        <f>COUNTIFS(JournalActions[Action],ACT_PEN_CONTRE_ADV,JournalActions[Motif penalite],"~?")</f>
        <v>5</v>
      </c>
      <c r="N47" s="29"/>
    </row>
    <row r="48" spans="2:20" ht="14">
      <c r="B48" s="29"/>
      <c r="C48" s="131" t="s">
        <v>342</v>
      </c>
      <c r="D48" s="131" t="s">
        <v>315</v>
      </c>
      <c r="E48" s="132" t="s">
        <v>235</v>
      </c>
      <c r="F48" s="29"/>
      <c r="G48" s="29"/>
      <c r="H48" s="29"/>
      <c r="I48" s="29"/>
      <c r="J48" s="105" t="s">
        <v>45</v>
      </c>
      <c r="K48" s="29"/>
      <c r="L48" s="29"/>
      <c r="M48" s="29"/>
      <c r="N48" s="29"/>
    </row>
    <row r="49" spans="2:14">
      <c r="B49" s="29"/>
      <c r="C49" s="101" t="s">
        <v>233</v>
      </c>
      <c r="D49" s="101">
        <f>COUNTIFS(JournalActions[Action],ACT_ME_NS_G,JournalActions[Mi-temps],"MT2")</f>
        <v>5</v>
      </c>
      <c r="E49" s="102">
        <f>COUNTIFS(JournalActions[Action],ACT_ME_NS_P,JournalActions[Mi-temps],"MT2")</f>
        <v>0</v>
      </c>
      <c r="F49" s="29"/>
      <c r="G49" s="29"/>
      <c r="H49" s="29"/>
      <c r="I49" s="29"/>
      <c r="K49" s="104"/>
      <c r="L49" s="29"/>
      <c r="M49" s="29"/>
      <c r="N49" s="29"/>
    </row>
    <row r="50" spans="2:14">
      <c r="B50" s="29"/>
      <c r="C50" s="47" t="s">
        <v>266</v>
      </c>
      <c r="D50" s="47">
        <f>COUNTIFS(JournalActions[Action],ACT_ME_ADV_P,JournalActions[Mi-temps],"MT2")</f>
        <v>7</v>
      </c>
      <c r="E50" s="49">
        <f>COUNTIFS(JournalActions[Action],ACT_ME_ADV_G,JournalActions[Mi-temps],"MT2")</f>
        <v>0</v>
      </c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 ht="14" thickBot="1"/>
    <row r="56" spans="2:14" s="29" customFormat="1">
      <c r="B56" s="189" t="s">
        <v>343</v>
      </c>
      <c r="C56" s="190"/>
      <c r="D56" s="190"/>
      <c r="E56" s="190"/>
      <c r="F56" s="190"/>
      <c r="G56" s="190"/>
      <c r="H56" s="190"/>
      <c r="I56" s="190"/>
      <c r="J56" s="190"/>
      <c r="K56" s="191"/>
    </row>
    <row r="57" spans="2:14" s="29" customFormat="1">
      <c r="B57" s="192"/>
      <c r="C57" s="193"/>
      <c r="D57" s="193"/>
      <c r="E57" s="193"/>
      <c r="F57" s="193"/>
      <c r="G57" s="193"/>
      <c r="H57" s="193"/>
      <c r="I57" s="193"/>
      <c r="J57" s="193"/>
      <c r="K57" s="194"/>
    </row>
    <row r="58" spans="2:14" s="29" customFormat="1" ht="14" thickBot="1">
      <c r="B58" s="195"/>
      <c r="C58" s="196"/>
      <c r="D58" s="196"/>
      <c r="E58" s="196"/>
      <c r="F58" s="196"/>
      <c r="G58" s="196"/>
      <c r="H58" s="196"/>
      <c r="I58" s="196"/>
      <c r="J58" s="196"/>
      <c r="K58" s="197"/>
    </row>
    <row r="59" spans="2:14" s="29" customFormat="1"/>
    <row r="60" spans="2:14" s="29" customFormat="1" ht="14">
      <c r="B60" s="198" t="s">
        <v>64</v>
      </c>
      <c r="C60" s="200" t="str">
        <f>ACT_TO_NS_G</f>
        <v>Touche à nous conservée</v>
      </c>
      <c r="D60" s="201"/>
      <c r="E60" s="200" t="str">
        <f>ACT_TO_ADV_VOLEE</f>
        <v>Touche à eux volée</v>
      </c>
      <c r="F60" s="201"/>
      <c r="H60" s="202" t="str">
        <f>ACT_TO_NS_P</f>
        <v>Touche à nous perdue</v>
      </c>
      <c r="I60" s="203"/>
      <c r="J60" s="202" t="str">
        <f>ACT_TO_NS_PAS_DROIT</f>
        <v>Touche à nous pas droite</v>
      </c>
      <c r="K60" s="203"/>
    </row>
    <row r="61" spans="2:14" s="29" customFormat="1" ht="14">
      <c r="B61" s="199"/>
      <c r="C61" s="146" t="s">
        <v>116</v>
      </c>
      <c r="D61" s="147" t="s">
        <v>113</v>
      </c>
      <c r="E61" s="146" t="s">
        <v>116</v>
      </c>
      <c r="F61" s="147" t="s">
        <v>113</v>
      </c>
      <c r="H61" s="148" t="s">
        <v>116</v>
      </c>
      <c r="I61" s="149" t="s">
        <v>113</v>
      </c>
      <c r="J61" s="148" t="s">
        <v>116</v>
      </c>
      <c r="K61" s="149" t="s">
        <v>113</v>
      </c>
    </row>
    <row r="62" spans="2:14" s="29" customFormat="1">
      <c r="B62" s="93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93" t="str">
        <f>IF(COUNTIFS(JournalActions[Joueur],$B62,JournalActions[Action],$C$60,JournalActions[Mi-temps],C$61)=0,"",COUNTIFS(JournalActions[Joueur],$B62,JournalActions[Action],$C$60,JournalActions[Mi-temps],C$61))</f>
        <v/>
      </c>
      <c r="D62" s="94" t="str">
        <f>IF(COUNTIFS(JournalActions[Joueur],$B62,JournalActions[Action],$C$60,JournalActions[Mi-temps],D$61)=0,"",COUNTIFS(JournalActions[Joueur],$B62,JournalActions[Action],$C$60,JournalActions[Mi-temps],D$61))</f>
        <v/>
      </c>
      <c r="E62" s="93" t="str">
        <f>IF(COUNTIFS(JournalActions[Joueur],$B62,JournalActions[Action],$E$60,JournalActions[Mi-temps],E$61)=0,"",COUNTIFS(JournalActions[Joueur],$B62,JournalActions[Action],$E$60,JournalActions[Mi-temps],E$61))</f>
        <v/>
      </c>
      <c r="F62" s="94" t="str">
        <f>IF(COUNTIFS(JournalActions[Joueur],$B62,JournalActions[Action],$E$60,JournalActions[Mi-temps],F$61)=0,"",COUNTIFS(JournalActions[Joueur],$B62,JournalActions[Action],$E$60,JournalActions[Mi-temps],F$61))</f>
        <v/>
      </c>
      <c r="H62" s="93" t="str">
        <f>IF(COUNTIFS(JournalActions[Joueur],$B62,JournalActions[Action],$H$60,JournalActions[Mi-temps],H$61)=0,"",COUNTIFS(JournalActions[Joueur],$B62,JournalActions[Action],$H$60,JournalActions[Mi-temps],H$61))</f>
        <v/>
      </c>
      <c r="I62" s="94" t="str">
        <f>IF(COUNTIFS(JournalActions[Joueur],$B62,JournalActions[Action],$H$60,JournalActions[Mi-temps],I$61)=0,"",COUNTIFS(JournalActions[Joueur],$B62,JournalActions[Action],$H$60,JournalActions[Mi-temps],I$61))</f>
        <v/>
      </c>
      <c r="J62" s="93" t="str">
        <f>IF(COUNTIFS(JournalActions[Joueur],$B62,JournalActions[Action],$J$60,JournalActions[Mi-temps],J$61)=0,"",COUNTIFS(JournalActions[Joueur],$B62,JournalActions[Action],$J$60,JournalActions[Mi-temps],J$61))</f>
        <v/>
      </c>
      <c r="K62" s="9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9" customFormat="1">
      <c r="B63" s="93"/>
      <c r="C63" s="93" t="str">
        <f>IF(COUNTIFS(JournalActions[Joueur],$B63,JournalActions[Action],$C$60,JournalActions[Mi-temps],C$61)=0,"",COUNTIFS(JournalActions[Joueur],$B63,JournalActions[Action],$C$60,JournalActions[Mi-temps],C$61))</f>
        <v/>
      </c>
      <c r="D63" s="94" t="str">
        <f>IF(COUNTIFS(JournalActions[Joueur],$B63,JournalActions[Action],$C$60,JournalActions[Mi-temps],D$61)=0,"",COUNTIFS(JournalActions[Joueur],$B63,JournalActions[Action],$C$60,JournalActions[Mi-temps],D$61))</f>
        <v/>
      </c>
      <c r="E63" s="93" t="str">
        <f>IF(COUNTIFS(JournalActions[Joueur],$B63,JournalActions[Action],$E$60,JournalActions[Mi-temps],E$61)=0,"",COUNTIFS(JournalActions[Joueur],$B63,JournalActions[Action],$E$60,JournalActions[Mi-temps],E$61))</f>
        <v/>
      </c>
      <c r="F63" s="94" t="str">
        <f>IF(COUNTIFS(JournalActions[Joueur],$B63,JournalActions[Action],$E$60,JournalActions[Mi-temps],F$61)=0,"",COUNTIFS(JournalActions[Joueur],$B63,JournalActions[Action],$E$60,JournalActions[Mi-temps],F$61))</f>
        <v/>
      </c>
      <c r="H63" s="93" t="str">
        <f>IF(COUNTIFS(JournalActions[Joueur],$B63,JournalActions[Action],$H$60,JournalActions[Mi-temps],H$61)=0,"",COUNTIFS(JournalActions[Joueur],$B63,JournalActions[Action],$H$60,JournalActions[Mi-temps],H$61))</f>
        <v/>
      </c>
      <c r="I63" s="94" t="str">
        <f>IF(COUNTIFS(JournalActions[Joueur],$B63,JournalActions[Action],$H$60,JournalActions[Mi-temps],I$61)=0,"",COUNTIFS(JournalActions[Joueur],$B63,JournalActions[Action],$H$60,JournalActions[Mi-temps],I$61))</f>
        <v/>
      </c>
      <c r="J63" s="93" t="str">
        <f>IF(COUNTIFS(JournalActions[Joueur],$B63,JournalActions[Action],$J$60,JournalActions[Mi-temps],J$61)=0,"",COUNTIFS(JournalActions[Joueur],$B63,JournalActions[Action],$J$60,JournalActions[Mi-temps],J$61))</f>
        <v/>
      </c>
      <c r="K63" s="9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9" customFormat="1">
      <c r="B64" s="93"/>
      <c r="C64" s="93" t="str">
        <f>IF(COUNTIFS(JournalActions[Joueur],$B64,JournalActions[Action],$C$60,JournalActions[Mi-temps],C$61)=0,"",COUNTIFS(JournalActions[Joueur],$B64,JournalActions[Action],$C$60,JournalActions[Mi-temps],C$61))</f>
        <v/>
      </c>
      <c r="D64" s="94" t="str">
        <f>IF(COUNTIFS(JournalActions[Joueur],$B64,JournalActions[Action],$C$60,JournalActions[Mi-temps],D$61)=0,"",COUNTIFS(JournalActions[Joueur],$B64,JournalActions[Action],$C$60,JournalActions[Mi-temps],D$61))</f>
        <v/>
      </c>
      <c r="E64" s="93" t="str">
        <f>IF(COUNTIFS(JournalActions[Joueur],$B64,JournalActions[Action],$E$60,JournalActions[Mi-temps],E$61)=0,"",COUNTIFS(JournalActions[Joueur],$B64,JournalActions[Action],$E$60,JournalActions[Mi-temps],E$61))</f>
        <v/>
      </c>
      <c r="F64" s="94" t="str">
        <f>IF(COUNTIFS(JournalActions[Joueur],$B64,JournalActions[Action],$E$60,JournalActions[Mi-temps],F$61)=0,"",COUNTIFS(JournalActions[Joueur],$B64,JournalActions[Action],$E$60,JournalActions[Mi-temps],F$61))</f>
        <v/>
      </c>
      <c r="H64" s="93" t="str">
        <f>IF(COUNTIFS(JournalActions[Joueur],$B64,JournalActions[Action],$H$60,JournalActions[Mi-temps],H$61)=0,"",COUNTIFS(JournalActions[Joueur],$B64,JournalActions[Action],$H$60,JournalActions[Mi-temps],H$61))</f>
        <v/>
      </c>
      <c r="I64" s="94" t="str">
        <f>IF(COUNTIFS(JournalActions[Joueur],$B64,JournalActions[Action],$H$60,JournalActions[Mi-temps],I$61)=0,"",COUNTIFS(JournalActions[Joueur],$B64,JournalActions[Action],$H$60,JournalActions[Mi-temps],I$61))</f>
        <v/>
      </c>
      <c r="J64" s="93" t="str">
        <f>IF(COUNTIFS(JournalActions[Joueur],$B64,JournalActions[Action],$J$60,JournalActions[Mi-temps],J$61)=0,"",COUNTIFS(JournalActions[Joueur],$B64,JournalActions[Action],$J$60,JournalActions[Mi-temps],J$61))</f>
        <v/>
      </c>
      <c r="K64" s="9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9" customFormat="1">
      <c r="B65" s="93"/>
      <c r="C65" s="93" t="str">
        <f>IF(COUNTIFS(JournalActions[Joueur],$B65,JournalActions[Action],$C$60,JournalActions[Mi-temps],C$61)=0,"",COUNTIFS(JournalActions[Joueur],$B65,JournalActions[Action],$C$60,JournalActions[Mi-temps],C$61))</f>
        <v/>
      </c>
      <c r="D65" s="94" t="str">
        <f>IF(COUNTIFS(JournalActions[Joueur],$B65,JournalActions[Action],$C$60,JournalActions[Mi-temps],D$61)=0,"",COUNTIFS(JournalActions[Joueur],$B65,JournalActions[Action],$C$60,JournalActions[Mi-temps],D$61))</f>
        <v/>
      </c>
      <c r="E65" s="93" t="str">
        <f>IF(COUNTIFS(JournalActions[Joueur],$B65,JournalActions[Action],$E$60,JournalActions[Mi-temps],E$61)=0,"",COUNTIFS(JournalActions[Joueur],$B65,JournalActions[Action],$E$60,JournalActions[Mi-temps],E$61))</f>
        <v/>
      </c>
      <c r="F65" s="94" t="str">
        <f>IF(COUNTIFS(JournalActions[Joueur],$B65,JournalActions[Action],$E$60,JournalActions[Mi-temps],F$61)=0,"",COUNTIFS(JournalActions[Joueur],$B65,JournalActions[Action],$E$60,JournalActions[Mi-temps],F$61))</f>
        <v/>
      </c>
      <c r="H65" s="93" t="str">
        <f>IF(COUNTIFS(JournalActions[Joueur],$B65,JournalActions[Action],$H$60,JournalActions[Mi-temps],H$61)=0,"",COUNTIFS(JournalActions[Joueur],$B65,JournalActions[Action],$H$60,JournalActions[Mi-temps],H$61))</f>
        <v/>
      </c>
      <c r="I65" s="94" t="str">
        <f>IF(COUNTIFS(JournalActions[Joueur],$B65,JournalActions[Action],$H$60,JournalActions[Mi-temps],I$61)=0,"",COUNTIFS(JournalActions[Joueur],$B65,JournalActions[Action],$H$60,JournalActions[Mi-temps],I$61))</f>
        <v/>
      </c>
      <c r="J65" s="93" t="str">
        <f>IF(COUNTIFS(JournalActions[Joueur],$B65,JournalActions[Action],$J$60,JournalActions[Mi-temps],J$61)=0,"",COUNTIFS(JournalActions[Joueur],$B65,JournalActions[Action],$J$60,JournalActions[Mi-temps],J$61))</f>
        <v/>
      </c>
      <c r="K65" s="9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9" customFormat="1">
      <c r="B66" s="93"/>
      <c r="C66" s="93" t="str">
        <f>IF(COUNTIFS(JournalActions[Joueur],$B66,JournalActions[Action],$C$60,JournalActions[Mi-temps],C$61)=0,"",COUNTIFS(JournalActions[Joueur],$B66,JournalActions[Action],$C$60,JournalActions[Mi-temps],C$61))</f>
        <v/>
      </c>
      <c r="D66" s="94" t="str">
        <f>IF(COUNTIFS(JournalActions[Joueur],$B66,JournalActions[Action],$C$60,JournalActions[Mi-temps],D$61)=0,"",COUNTIFS(JournalActions[Joueur],$B66,JournalActions[Action],$C$60,JournalActions[Mi-temps],D$61))</f>
        <v/>
      </c>
      <c r="E66" s="93" t="str">
        <f>IF(COUNTIFS(JournalActions[Joueur],$B66,JournalActions[Action],$E$60,JournalActions[Mi-temps],E$61)=0,"",COUNTIFS(JournalActions[Joueur],$B66,JournalActions[Action],$E$60,JournalActions[Mi-temps],E$61))</f>
        <v/>
      </c>
      <c r="F66" s="94" t="str">
        <f>IF(COUNTIFS(JournalActions[Joueur],$B66,JournalActions[Action],$E$60,JournalActions[Mi-temps],F$61)=0,"",COUNTIFS(JournalActions[Joueur],$B66,JournalActions[Action],$E$60,JournalActions[Mi-temps],F$61))</f>
        <v/>
      </c>
      <c r="H66" s="93" t="str">
        <f>IF(COUNTIFS(JournalActions[Joueur],$B66,JournalActions[Action],$H$60,JournalActions[Mi-temps],H$61)=0,"",COUNTIFS(JournalActions[Joueur],$B66,JournalActions[Action],$H$60,JournalActions[Mi-temps],H$61))</f>
        <v/>
      </c>
      <c r="I66" s="94" t="str">
        <f>IF(COUNTIFS(JournalActions[Joueur],$B66,JournalActions[Action],$H$60,JournalActions[Mi-temps],I$61)=0,"",COUNTIFS(JournalActions[Joueur],$B66,JournalActions[Action],$H$60,JournalActions[Mi-temps],I$61))</f>
        <v/>
      </c>
      <c r="J66" s="93" t="str">
        <f>IF(COUNTIFS(JournalActions[Joueur],$B66,JournalActions[Action],$J$60,JournalActions[Mi-temps],J$61)=0,"",COUNTIFS(JournalActions[Joueur],$B66,JournalActions[Action],$J$60,JournalActions[Mi-temps],J$61))</f>
        <v/>
      </c>
      <c r="K66" s="9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9" customFormat="1">
      <c r="B67" s="93"/>
      <c r="C67" s="93" t="str">
        <f>IF(COUNTIFS(JournalActions[Joueur],$B67,JournalActions[Action],$C$60,JournalActions[Mi-temps],C$61)=0,"",COUNTIFS(JournalActions[Joueur],$B67,JournalActions[Action],$C$60,JournalActions[Mi-temps],C$61))</f>
        <v/>
      </c>
      <c r="D67" s="94" t="str">
        <f>IF(COUNTIFS(JournalActions[Joueur],$B67,JournalActions[Action],$C$60,JournalActions[Mi-temps],D$61)=0,"",COUNTIFS(JournalActions[Joueur],$B67,JournalActions[Action],$C$60,JournalActions[Mi-temps],D$61))</f>
        <v/>
      </c>
      <c r="E67" s="93" t="str">
        <f>IF(COUNTIFS(JournalActions[Joueur],$B67,JournalActions[Action],$E$60,JournalActions[Mi-temps],E$61)=0,"",COUNTIFS(JournalActions[Joueur],$B67,JournalActions[Action],$E$60,JournalActions[Mi-temps],E$61))</f>
        <v/>
      </c>
      <c r="F67" s="94" t="str">
        <f>IF(COUNTIFS(JournalActions[Joueur],$B67,JournalActions[Action],$E$60,JournalActions[Mi-temps],F$61)=0,"",COUNTIFS(JournalActions[Joueur],$B67,JournalActions[Action],$E$60,JournalActions[Mi-temps],F$61))</f>
        <v/>
      </c>
      <c r="H67" s="93" t="str">
        <f>IF(COUNTIFS(JournalActions[Joueur],$B67,JournalActions[Action],$H$60,JournalActions[Mi-temps],H$61)=0,"",COUNTIFS(JournalActions[Joueur],$B67,JournalActions[Action],$H$60,JournalActions[Mi-temps],H$61))</f>
        <v/>
      </c>
      <c r="I67" s="94" t="str">
        <f>IF(COUNTIFS(JournalActions[Joueur],$B67,JournalActions[Action],$H$60,JournalActions[Mi-temps],I$61)=0,"",COUNTIFS(JournalActions[Joueur],$B67,JournalActions[Action],$H$60,JournalActions[Mi-temps],I$61))</f>
        <v/>
      </c>
      <c r="J67" s="93" t="str">
        <f>IF(COUNTIFS(JournalActions[Joueur],$B67,JournalActions[Action],$J$60,JournalActions[Mi-temps],J$61)=0,"",COUNTIFS(JournalActions[Joueur],$B67,JournalActions[Action],$J$60,JournalActions[Mi-temps],J$61))</f>
        <v/>
      </c>
      <c r="K67" s="9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9" customFormat="1">
      <c r="B68" s="93"/>
      <c r="C68" s="93" t="str">
        <f>IF(COUNTIFS(JournalActions[Joueur],$B68,JournalActions[Action],$C$60,JournalActions[Mi-temps],C$61)=0,"",COUNTIFS(JournalActions[Joueur],$B68,JournalActions[Action],$C$60,JournalActions[Mi-temps],C$61))</f>
        <v/>
      </c>
      <c r="D68" s="94" t="str">
        <f>IF(COUNTIFS(JournalActions[Joueur],$B68,JournalActions[Action],$C$60,JournalActions[Mi-temps],D$61)=0,"",COUNTIFS(JournalActions[Joueur],$B68,JournalActions[Action],$C$60,JournalActions[Mi-temps],D$61))</f>
        <v/>
      </c>
      <c r="E68" s="93" t="str">
        <f>IF(COUNTIFS(JournalActions[Joueur],$B68,JournalActions[Action],$E$60,JournalActions[Mi-temps],E$61)=0,"",COUNTIFS(JournalActions[Joueur],$B68,JournalActions[Action],$E$60,JournalActions[Mi-temps],E$61))</f>
        <v/>
      </c>
      <c r="F68" s="94" t="str">
        <f>IF(COUNTIFS(JournalActions[Joueur],$B68,JournalActions[Action],$E$60,JournalActions[Mi-temps],F$61)=0,"",COUNTIFS(JournalActions[Joueur],$B68,JournalActions[Action],$E$60,JournalActions[Mi-temps],F$61))</f>
        <v/>
      </c>
      <c r="H68" s="93" t="str">
        <f>IF(COUNTIFS(JournalActions[Joueur],$B68,JournalActions[Action],$H$60,JournalActions[Mi-temps],H$61)=0,"",COUNTIFS(JournalActions[Joueur],$B68,JournalActions[Action],$H$60,JournalActions[Mi-temps],H$61))</f>
        <v/>
      </c>
      <c r="I68" s="94" t="str">
        <f>IF(COUNTIFS(JournalActions[Joueur],$B68,JournalActions[Action],$H$60,JournalActions[Mi-temps],I$61)=0,"",COUNTIFS(JournalActions[Joueur],$B68,JournalActions[Action],$H$60,JournalActions[Mi-temps],I$61))</f>
        <v/>
      </c>
      <c r="J68" s="93" t="str">
        <f>IF(COUNTIFS(JournalActions[Joueur],$B68,JournalActions[Action],$J$60,JournalActions[Mi-temps],J$61)=0,"",COUNTIFS(JournalActions[Joueur],$B68,JournalActions[Action],$J$60,JournalActions[Mi-temps],J$61))</f>
        <v/>
      </c>
      <c r="K68" s="9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9" customFormat="1">
      <c r="B69" s="93"/>
      <c r="C69" s="93" t="str">
        <f>IF(COUNTIFS(JournalActions[Joueur],$B69,JournalActions[Action],$C$60,JournalActions[Mi-temps],C$61)=0,"",COUNTIFS(JournalActions[Joueur],$B69,JournalActions[Action],$C$60,JournalActions[Mi-temps],C$61))</f>
        <v/>
      </c>
      <c r="D69" s="94" t="str">
        <f>IF(COUNTIFS(JournalActions[Joueur],$B69,JournalActions[Action],$C$60,JournalActions[Mi-temps],D$61)=0,"",COUNTIFS(JournalActions[Joueur],$B69,JournalActions[Action],$C$60,JournalActions[Mi-temps],D$61))</f>
        <v/>
      </c>
      <c r="E69" s="93" t="str">
        <f>IF(COUNTIFS(JournalActions[Joueur],$B69,JournalActions[Action],$E$60,JournalActions[Mi-temps],E$61)=0,"",COUNTIFS(JournalActions[Joueur],$B69,JournalActions[Action],$E$60,JournalActions[Mi-temps],E$61))</f>
        <v/>
      </c>
      <c r="F69" s="94" t="str">
        <f>IF(COUNTIFS(JournalActions[Joueur],$B69,JournalActions[Action],$E$60,JournalActions[Mi-temps],F$61)=0,"",COUNTIFS(JournalActions[Joueur],$B69,JournalActions[Action],$E$60,JournalActions[Mi-temps],F$61))</f>
        <v/>
      </c>
      <c r="H69" s="93" t="str">
        <f>IF(COUNTIFS(JournalActions[Joueur],$B69,JournalActions[Action],$H$60,JournalActions[Mi-temps],H$61)=0,"",COUNTIFS(JournalActions[Joueur],$B69,JournalActions[Action],$H$60,JournalActions[Mi-temps],H$61))</f>
        <v/>
      </c>
      <c r="I69" s="94" t="str">
        <f>IF(COUNTIFS(JournalActions[Joueur],$B69,JournalActions[Action],$H$60,JournalActions[Mi-temps],I$61)=0,"",COUNTIFS(JournalActions[Joueur],$B69,JournalActions[Action],$H$60,JournalActions[Mi-temps],I$61))</f>
        <v/>
      </c>
      <c r="J69" s="93" t="str">
        <f>IF(COUNTIFS(JournalActions[Joueur],$B69,JournalActions[Action],$J$60,JournalActions[Mi-temps],J$61)=0,"",COUNTIFS(JournalActions[Joueur],$B69,JournalActions[Action],$J$60,JournalActions[Mi-temps],J$61))</f>
        <v/>
      </c>
      <c r="K69" s="9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9" customFormat="1">
      <c r="B70" s="93"/>
      <c r="C70" s="93" t="str">
        <f>IF(COUNTIFS(JournalActions[Joueur],$B70,JournalActions[Action],$C$60,JournalActions[Mi-temps],C$61)=0,"",COUNTIFS(JournalActions[Joueur],$B70,JournalActions[Action],$C$60,JournalActions[Mi-temps],C$61))</f>
        <v/>
      </c>
      <c r="D70" s="94" t="str">
        <f>IF(COUNTIFS(JournalActions[Joueur],$B70,JournalActions[Action],$C$60,JournalActions[Mi-temps],D$61)=0,"",COUNTIFS(JournalActions[Joueur],$B70,JournalActions[Action],$C$60,JournalActions[Mi-temps],D$61))</f>
        <v/>
      </c>
      <c r="E70" s="93" t="str">
        <f>IF(COUNTIFS(JournalActions[Joueur],$B70,JournalActions[Action],$E$60,JournalActions[Mi-temps],E$61)=0,"",COUNTIFS(JournalActions[Joueur],$B70,JournalActions[Action],$E$60,JournalActions[Mi-temps],E$61))</f>
        <v/>
      </c>
      <c r="F70" s="94" t="str">
        <f>IF(COUNTIFS(JournalActions[Joueur],$B70,JournalActions[Action],$E$60,JournalActions[Mi-temps],F$61)=0,"",COUNTIFS(JournalActions[Joueur],$B70,JournalActions[Action],$E$60,JournalActions[Mi-temps],F$61))</f>
        <v/>
      </c>
      <c r="H70" s="93" t="str">
        <f>IF(COUNTIFS(JournalActions[Joueur],$B70,JournalActions[Action],$H$60,JournalActions[Mi-temps],H$61)=0,"",COUNTIFS(JournalActions[Joueur],$B70,JournalActions[Action],$H$60,JournalActions[Mi-temps],H$61))</f>
        <v/>
      </c>
      <c r="I70" s="94" t="str">
        <f>IF(COUNTIFS(JournalActions[Joueur],$B70,JournalActions[Action],$H$60,JournalActions[Mi-temps],I$61)=0,"",COUNTIFS(JournalActions[Joueur],$B70,JournalActions[Action],$H$60,JournalActions[Mi-temps],I$61))</f>
        <v/>
      </c>
      <c r="J70" s="93" t="str">
        <f>IF(COUNTIFS(JournalActions[Joueur],$B70,JournalActions[Action],$J$60,JournalActions[Mi-temps],J$61)=0,"",COUNTIFS(JournalActions[Joueur],$B70,JournalActions[Action],$J$60,JournalActions[Mi-temps],J$61))</f>
        <v/>
      </c>
      <c r="K70" s="9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9" customFormat="1">
      <c r="B71" s="93"/>
      <c r="C71" s="93" t="str">
        <f>IF(COUNTIFS(JournalActions[Joueur],$B71,JournalActions[Action],$C$60,JournalActions[Mi-temps],C$61)=0,"",COUNTIFS(JournalActions[Joueur],$B71,JournalActions[Action],$C$60,JournalActions[Mi-temps],C$61))</f>
        <v/>
      </c>
      <c r="D71" s="94" t="str">
        <f>IF(COUNTIFS(JournalActions[Joueur],$B71,JournalActions[Action],$C$60,JournalActions[Mi-temps],D$61)=0,"",COUNTIFS(JournalActions[Joueur],$B71,JournalActions[Action],$C$60,JournalActions[Mi-temps],D$61))</f>
        <v/>
      </c>
      <c r="E71" s="93" t="str">
        <f>IF(COUNTIFS(JournalActions[Joueur],$B71,JournalActions[Action],$E$60,JournalActions[Mi-temps],E$61)=0,"",COUNTIFS(JournalActions[Joueur],$B71,JournalActions[Action],$E$60,JournalActions[Mi-temps],E$61))</f>
        <v/>
      </c>
      <c r="F71" s="94" t="str">
        <f>IF(COUNTIFS(JournalActions[Joueur],$B71,JournalActions[Action],$E$60,JournalActions[Mi-temps],F$61)=0,"",COUNTIFS(JournalActions[Joueur],$B71,JournalActions[Action],$E$60,JournalActions[Mi-temps],F$61))</f>
        <v/>
      </c>
      <c r="H71" s="93" t="str">
        <f>IF(COUNTIFS(JournalActions[Joueur],$B71,JournalActions[Action],$H$60,JournalActions[Mi-temps],H$61)=0,"",COUNTIFS(JournalActions[Joueur],$B71,JournalActions[Action],$H$60,JournalActions[Mi-temps],H$61))</f>
        <v/>
      </c>
      <c r="I71" s="94" t="str">
        <f>IF(COUNTIFS(JournalActions[Joueur],$B71,JournalActions[Action],$H$60,JournalActions[Mi-temps],I$61)=0,"",COUNTIFS(JournalActions[Joueur],$B71,JournalActions[Action],$H$60,JournalActions[Mi-temps],I$61))</f>
        <v/>
      </c>
      <c r="J71" s="93" t="str">
        <f>IF(COUNTIFS(JournalActions[Joueur],$B71,JournalActions[Action],$J$60,JournalActions[Mi-temps],J$61)=0,"",COUNTIFS(JournalActions[Joueur],$B71,JournalActions[Action],$J$60,JournalActions[Mi-temps],J$61))</f>
        <v/>
      </c>
      <c r="K71" s="9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9" customFormat="1">
      <c r="B72" s="93"/>
      <c r="C72" s="93" t="str">
        <f>IF(COUNTIFS(JournalActions[Joueur],$B72,JournalActions[Action],$C$60,JournalActions[Mi-temps],C$61)=0,"",COUNTIFS(JournalActions[Joueur],$B72,JournalActions[Action],$C$60,JournalActions[Mi-temps],C$61))</f>
        <v/>
      </c>
      <c r="D72" s="94" t="str">
        <f>IF(COUNTIFS(JournalActions[Joueur],$B72,JournalActions[Action],$C$60,JournalActions[Mi-temps],D$61)=0,"",COUNTIFS(JournalActions[Joueur],$B72,JournalActions[Action],$C$60,JournalActions[Mi-temps],D$61))</f>
        <v/>
      </c>
      <c r="E72" s="93" t="str">
        <f>IF(COUNTIFS(JournalActions[Joueur],$B72,JournalActions[Action],$E$60,JournalActions[Mi-temps],E$61)=0,"",COUNTIFS(JournalActions[Joueur],$B72,JournalActions[Action],$E$60,JournalActions[Mi-temps],E$61))</f>
        <v/>
      </c>
      <c r="F72" s="94" t="str">
        <f>IF(COUNTIFS(JournalActions[Joueur],$B72,JournalActions[Action],$E$60,JournalActions[Mi-temps],F$61)=0,"",COUNTIFS(JournalActions[Joueur],$B72,JournalActions[Action],$E$60,JournalActions[Mi-temps],F$61))</f>
        <v/>
      </c>
      <c r="H72" s="93" t="str">
        <f>IF(COUNTIFS(JournalActions[Joueur],$B72,JournalActions[Action],$H$60,JournalActions[Mi-temps],H$61)=0,"",COUNTIFS(JournalActions[Joueur],$B72,JournalActions[Action],$H$60,JournalActions[Mi-temps],H$61))</f>
        <v/>
      </c>
      <c r="I72" s="94" t="str">
        <f>IF(COUNTIFS(JournalActions[Joueur],$B72,JournalActions[Action],$H$60,JournalActions[Mi-temps],I$61)=0,"",COUNTIFS(JournalActions[Joueur],$B72,JournalActions[Action],$H$60,JournalActions[Mi-temps],I$61))</f>
        <v/>
      </c>
      <c r="J72" s="93" t="str">
        <f>IF(COUNTIFS(JournalActions[Joueur],$B72,JournalActions[Action],$J$60,JournalActions[Mi-temps],J$61)=0,"",COUNTIFS(JournalActions[Joueur],$B72,JournalActions[Action],$J$60,JournalActions[Mi-temps],J$61))</f>
        <v/>
      </c>
      <c r="K72" s="9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9" customFormat="1">
      <c r="B73" s="93"/>
      <c r="C73" s="93" t="str">
        <f>IF(COUNTIFS(JournalActions[Joueur],$B73,JournalActions[Action],$C$60,JournalActions[Mi-temps],C$61)=0,"",COUNTIFS(JournalActions[Joueur],$B73,JournalActions[Action],$C$60,JournalActions[Mi-temps],C$61))</f>
        <v/>
      </c>
      <c r="D73" s="94" t="str">
        <f>IF(COUNTIFS(JournalActions[Joueur],$B73,JournalActions[Action],$C$60,JournalActions[Mi-temps],D$61)=0,"",COUNTIFS(JournalActions[Joueur],$B73,JournalActions[Action],$C$60,JournalActions[Mi-temps],D$61))</f>
        <v/>
      </c>
      <c r="E73" s="93" t="str">
        <f>IF(COUNTIFS(JournalActions[Joueur],$B73,JournalActions[Action],$E$60,JournalActions[Mi-temps],E$61)=0,"",COUNTIFS(JournalActions[Joueur],$B73,JournalActions[Action],$E$60,JournalActions[Mi-temps],E$61))</f>
        <v/>
      </c>
      <c r="F73" s="94" t="str">
        <f>IF(COUNTIFS(JournalActions[Joueur],$B73,JournalActions[Action],$E$60,JournalActions[Mi-temps],F$61)=0,"",COUNTIFS(JournalActions[Joueur],$B73,JournalActions[Action],$E$60,JournalActions[Mi-temps],F$61))</f>
        <v/>
      </c>
      <c r="H73" s="93" t="str">
        <f>IF(COUNTIFS(JournalActions[Joueur],$B73,JournalActions[Action],$H$60,JournalActions[Mi-temps],H$61)=0,"",COUNTIFS(JournalActions[Joueur],$B73,JournalActions[Action],$H$60,JournalActions[Mi-temps],H$61))</f>
        <v/>
      </c>
      <c r="I73" s="94" t="str">
        <f>IF(COUNTIFS(JournalActions[Joueur],$B73,JournalActions[Action],$H$60,JournalActions[Mi-temps],I$61)=0,"",COUNTIFS(JournalActions[Joueur],$B73,JournalActions[Action],$H$60,JournalActions[Mi-temps],I$61))</f>
        <v/>
      </c>
      <c r="J73" s="93" t="str">
        <f>IF(COUNTIFS(JournalActions[Joueur],$B73,JournalActions[Action],$J$60,JournalActions[Mi-temps],J$61)=0,"",COUNTIFS(JournalActions[Joueur],$B73,JournalActions[Action],$J$60,JournalActions[Mi-temps],J$61))</f>
        <v/>
      </c>
      <c r="K73" s="9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9" customFormat="1">
      <c r="B74" s="93"/>
      <c r="C74" s="93" t="str">
        <f>IF(COUNTIFS(JournalActions[Joueur],$B74,JournalActions[Action],$C$60,JournalActions[Mi-temps],C$61)=0,"",COUNTIFS(JournalActions[Joueur],$B74,JournalActions[Action],$C$60,JournalActions[Mi-temps],C$61))</f>
        <v/>
      </c>
      <c r="D74" s="94" t="str">
        <f>IF(COUNTIFS(JournalActions[Joueur],$B74,JournalActions[Action],$C$60,JournalActions[Mi-temps],D$61)=0,"",COUNTIFS(JournalActions[Joueur],$B74,JournalActions[Action],$C$60,JournalActions[Mi-temps],D$61))</f>
        <v/>
      </c>
      <c r="E74" s="93" t="str">
        <f>IF(COUNTIFS(JournalActions[Joueur],$B74,JournalActions[Action],$E$60,JournalActions[Mi-temps],E$61)=0,"",COUNTIFS(JournalActions[Joueur],$B74,JournalActions[Action],$E$60,JournalActions[Mi-temps],E$61))</f>
        <v/>
      </c>
      <c r="F74" s="94" t="str">
        <f>IF(COUNTIFS(JournalActions[Joueur],$B74,JournalActions[Action],$E$60,JournalActions[Mi-temps],F$61)=0,"",COUNTIFS(JournalActions[Joueur],$B74,JournalActions[Action],$E$60,JournalActions[Mi-temps],F$61))</f>
        <v/>
      </c>
      <c r="H74" s="93" t="str">
        <f>IF(COUNTIFS(JournalActions[Joueur],$B74,JournalActions[Action],$H$60,JournalActions[Mi-temps],H$61)=0,"",COUNTIFS(JournalActions[Joueur],$B74,JournalActions[Action],$H$60,JournalActions[Mi-temps],H$61))</f>
        <v/>
      </c>
      <c r="I74" s="94" t="str">
        <f>IF(COUNTIFS(JournalActions[Joueur],$B74,JournalActions[Action],$H$60,JournalActions[Mi-temps],I$61)=0,"",COUNTIFS(JournalActions[Joueur],$B74,JournalActions[Action],$H$60,JournalActions[Mi-temps],I$61))</f>
        <v/>
      </c>
      <c r="J74" s="93" t="str">
        <f>IF(COUNTIFS(JournalActions[Joueur],$B74,JournalActions[Action],$J$60,JournalActions[Mi-temps],J$61)=0,"",COUNTIFS(JournalActions[Joueur],$B74,JournalActions[Action],$J$60,JournalActions[Mi-temps],J$61))</f>
        <v/>
      </c>
      <c r="K74" s="9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9" customFormat="1">
      <c r="B75" s="93"/>
      <c r="C75" s="93" t="str">
        <f>IF(COUNTIFS(JournalActions[Joueur],$B75,JournalActions[Action],$C$60,JournalActions[Mi-temps],C$61)=0,"",COUNTIFS(JournalActions[Joueur],$B75,JournalActions[Action],$C$60,JournalActions[Mi-temps],C$61))</f>
        <v/>
      </c>
      <c r="D75" s="94" t="str">
        <f>IF(COUNTIFS(JournalActions[Joueur],$B75,JournalActions[Action],$C$60,JournalActions[Mi-temps],D$61)=0,"",COUNTIFS(JournalActions[Joueur],$B75,JournalActions[Action],$C$60,JournalActions[Mi-temps],D$61))</f>
        <v/>
      </c>
      <c r="E75" s="93" t="str">
        <f>IF(COUNTIFS(JournalActions[Joueur],$B75,JournalActions[Action],$E$60,JournalActions[Mi-temps],E$61)=0,"",COUNTIFS(JournalActions[Joueur],$B75,JournalActions[Action],$E$60,JournalActions[Mi-temps],E$61))</f>
        <v/>
      </c>
      <c r="F75" s="94" t="str">
        <f>IF(COUNTIFS(JournalActions[Joueur],$B75,JournalActions[Action],$E$60,JournalActions[Mi-temps],F$61)=0,"",COUNTIFS(JournalActions[Joueur],$B75,JournalActions[Action],$E$60,JournalActions[Mi-temps],F$61))</f>
        <v/>
      </c>
      <c r="H75" s="93" t="str">
        <f>IF(COUNTIFS(JournalActions[Joueur],$B75,JournalActions[Action],$H$60,JournalActions[Mi-temps],H$61)=0,"",COUNTIFS(JournalActions[Joueur],$B75,JournalActions[Action],$H$60,JournalActions[Mi-temps],H$61))</f>
        <v/>
      </c>
      <c r="I75" s="94" t="str">
        <f>IF(COUNTIFS(JournalActions[Joueur],$B75,JournalActions[Action],$H$60,JournalActions[Mi-temps],I$61)=0,"",COUNTIFS(JournalActions[Joueur],$B75,JournalActions[Action],$H$60,JournalActions[Mi-temps],I$61))</f>
        <v/>
      </c>
      <c r="J75" s="93" t="str">
        <f>IF(COUNTIFS(JournalActions[Joueur],$B75,JournalActions[Action],$J$60,JournalActions[Mi-temps],J$61)=0,"",COUNTIFS(JournalActions[Joueur],$B75,JournalActions[Action],$J$60,JournalActions[Mi-temps],J$61))</f>
        <v/>
      </c>
      <c r="K75" s="9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9" customFormat="1">
      <c r="B76" s="93"/>
      <c r="C76" s="93" t="str">
        <f>IF(COUNTIFS(JournalActions[Joueur],$B76,JournalActions[Action],$C$60,JournalActions[Mi-temps],C$61)=0,"",COUNTIFS(JournalActions[Joueur],$B76,JournalActions[Action],$C$60,JournalActions[Mi-temps],C$61))</f>
        <v/>
      </c>
      <c r="D76" s="94" t="str">
        <f>IF(COUNTIFS(JournalActions[Joueur],$B76,JournalActions[Action],$C$60,JournalActions[Mi-temps],D$61)=0,"",COUNTIFS(JournalActions[Joueur],$B76,JournalActions[Action],$C$60,JournalActions[Mi-temps],D$61))</f>
        <v/>
      </c>
      <c r="E76" s="93" t="str">
        <f>IF(COUNTIFS(JournalActions[Joueur],$B76,JournalActions[Action],$E$60,JournalActions[Mi-temps],E$61)=0,"",COUNTIFS(JournalActions[Joueur],$B76,JournalActions[Action],$E$60,JournalActions[Mi-temps],E$61))</f>
        <v/>
      </c>
      <c r="F76" s="94" t="str">
        <f>IF(COUNTIFS(JournalActions[Joueur],$B76,JournalActions[Action],$E$60,JournalActions[Mi-temps],F$61)=0,"",COUNTIFS(JournalActions[Joueur],$B76,JournalActions[Action],$E$60,JournalActions[Mi-temps],F$61))</f>
        <v/>
      </c>
      <c r="H76" s="93" t="str">
        <f>IF(COUNTIFS(JournalActions[Joueur],$B76,JournalActions[Action],$H$60,JournalActions[Mi-temps],H$61)=0,"",COUNTIFS(JournalActions[Joueur],$B76,JournalActions[Action],$H$60,JournalActions[Mi-temps],H$61))</f>
        <v/>
      </c>
      <c r="I76" s="94" t="str">
        <f>IF(COUNTIFS(JournalActions[Joueur],$B76,JournalActions[Action],$H$60,JournalActions[Mi-temps],I$61)=0,"",COUNTIFS(JournalActions[Joueur],$B76,JournalActions[Action],$H$60,JournalActions[Mi-temps],I$61))</f>
        <v/>
      </c>
      <c r="J76" s="93" t="str">
        <f>IF(COUNTIFS(JournalActions[Joueur],$B76,JournalActions[Action],$J$60,JournalActions[Mi-temps],J$61)=0,"",COUNTIFS(JournalActions[Joueur],$B76,JournalActions[Action],$J$60,JournalActions[Mi-temps],J$61))</f>
        <v/>
      </c>
      <c r="K76" s="9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9" customFormat="1">
      <c r="B77" s="93"/>
      <c r="C77" s="93" t="str">
        <f>IF(COUNTIFS(JournalActions[Joueur],$B77,JournalActions[Action],$C$60,JournalActions[Mi-temps],C$61)=0,"",COUNTIFS(JournalActions[Joueur],$B77,JournalActions[Action],$C$60,JournalActions[Mi-temps],C$61))</f>
        <v/>
      </c>
      <c r="D77" s="94" t="str">
        <f>IF(COUNTIFS(JournalActions[Joueur],$B77,JournalActions[Action],$C$60,JournalActions[Mi-temps],D$61)=0,"",COUNTIFS(JournalActions[Joueur],$B77,JournalActions[Action],$C$60,JournalActions[Mi-temps],D$61))</f>
        <v/>
      </c>
      <c r="E77" s="93" t="str">
        <f>IF(COUNTIFS(JournalActions[Joueur],$B77,JournalActions[Action],$E$60,JournalActions[Mi-temps],E$61)=0,"",COUNTIFS(JournalActions[Joueur],$B77,JournalActions[Action],$E$60,JournalActions[Mi-temps],E$61))</f>
        <v/>
      </c>
      <c r="F77" s="94" t="str">
        <f>IF(COUNTIFS(JournalActions[Joueur],$B77,JournalActions[Action],$E$60,JournalActions[Mi-temps],F$61)=0,"",COUNTIFS(JournalActions[Joueur],$B77,JournalActions[Action],$E$60,JournalActions[Mi-temps],F$61))</f>
        <v/>
      </c>
      <c r="H77" s="93" t="str">
        <f>IF(COUNTIFS(JournalActions[Joueur],$B77,JournalActions[Action],$H$60,JournalActions[Mi-temps],H$61)=0,"",COUNTIFS(JournalActions[Joueur],$B77,JournalActions[Action],$H$60,JournalActions[Mi-temps],H$61))</f>
        <v/>
      </c>
      <c r="I77" s="94" t="str">
        <f>IF(COUNTIFS(JournalActions[Joueur],$B77,JournalActions[Action],$H$60,JournalActions[Mi-temps],I$61)=0,"",COUNTIFS(JournalActions[Joueur],$B77,JournalActions[Action],$H$60,JournalActions[Mi-temps],I$61))</f>
        <v/>
      </c>
      <c r="J77" s="93" t="str">
        <f>IF(COUNTIFS(JournalActions[Joueur],$B77,JournalActions[Action],$J$60,JournalActions[Mi-temps],J$61)=0,"",COUNTIFS(JournalActions[Joueur],$B77,JournalActions[Action],$J$60,JournalActions[Mi-temps],J$61))</f>
        <v/>
      </c>
      <c r="K77" s="9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9" customFormat="1">
      <c r="B78" s="93"/>
      <c r="C78" s="93" t="str">
        <f>IF(COUNTIFS(JournalActions[Joueur],$B78,JournalActions[Action],$C$60,JournalActions[Mi-temps],C$61)=0,"",COUNTIFS(JournalActions[Joueur],$B78,JournalActions[Action],$C$60,JournalActions[Mi-temps],C$61))</f>
        <v/>
      </c>
      <c r="D78" s="94" t="str">
        <f>IF(COUNTIFS(JournalActions[Joueur],$B78,JournalActions[Action],$C$60,JournalActions[Mi-temps],D$61)=0,"",COUNTIFS(JournalActions[Joueur],$B78,JournalActions[Action],$C$60,JournalActions[Mi-temps],D$61))</f>
        <v/>
      </c>
      <c r="E78" s="93" t="str">
        <f>IF(COUNTIFS(JournalActions[Joueur],$B78,JournalActions[Action],$E$60,JournalActions[Mi-temps],E$61)=0,"",COUNTIFS(JournalActions[Joueur],$B78,JournalActions[Action],$E$60,JournalActions[Mi-temps],E$61))</f>
        <v/>
      </c>
      <c r="F78" s="94" t="str">
        <f>IF(COUNTIFS(JournalActions[Joueur],$B78,JournalActions[Action],$E$60,JournalActions[Mi-temps],F$61)=0,"",COUNTIFS(JournalActions[Joueur],$B78,JournalActions[Action],$E$60,JournalActions[Mi-temps],F$61))</f>
        <v/>
      </c>
      <c r="H78" s="93" t="str">
        <f>IF(COUNTIFS(JournalActions[Joueur],$B78,JournalActions[Action],$H$60,JournalActions[Mi-temps],H$61)=0,"",COUNTIFS(JournalActions[Joueur],$B78,JournalActions[Action],$H$60,JournalActions[Mi-temps],H$61))</f>
        <v/>
      </c>
      <c r="I78" s="94" t="str">
        <f>IF(COUNTIFS(JournalActions[Joueur],$B78,JournalActions[Action],$H$60,JournalActions[Mi-temps],I$61)=0,"",COUNTIFS(JournalActions[Joueur],$B78,JournalActions[Action],$H$60,JournalActions[Mi-temps],I$61))</f>
        <v/>
      </c>
      <c r="J78" s="93" t="str">
        <f>IF(COUNTIFS(JournalActions[Joueur],$B78,JournalActions[Action],$J$60,JournalActions[Mi-temps],J$61)=0,"",COUNTIFS(JournalActions[Joueur],$B78,JournalActions[Action],$J$60,JournalActions[Mi-temps],J$61))</f>
        <v/>
      </c>
      <c r="K78" s="9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9" customFormat="1">
      <c r="B79" s="93"/>
      <c r="C79" s="93" t="str">
        <f>IF(COUNTIFS(JournalActions[Joueur],$B79,JournalActions[Action],$C$60,JournalActions[Mi-temps],C$61)=0,"",COUNTIFS(JournalActions[Joueur],$B79,JournalActions[Action],$C$60,JournalActions[Mi-temps],C$61))</f>
        <v/>
      </c>
      <c r="D79" s="94" t="str">
        <f>IF(COUNTIFS(JournalActions[Joueur],$B79,JournalActions[Action],$C$60,JournalActions[Mi-temps],D$61)=0,"",COUNTIFS(JournalActions[Joueur],$B79,JournalActions[Action],$C$60,JournalActions[Mi-temps],D$61))</f>
        <v/>
      </c>
      <c r="E79" s="93" t="str">
        <f>IF(COUNTIFS(JournalActions[Joueur],$B79,JournalActions[Action],$E$60,JournalActions[Mi-temps],E$61)=0,"",COUNTIFS(JournalActions[Joueur],$B79,JournalActions[Action],$E$60,JournalActions[Mi-temps],E$61))</f>
        <v/>
      </c>
      <c r="F79" s="94" t="str">
        <f>IF(COUNTIFS(JournalActions[Joueur],$B79,JournalActions[Action],$E$60,JournalActions[Mi-temps],F$61)=0,"",COUNTIFS(JournalActions[Joueur],$B79,JournalActions[Action],$E$60,JournalActions[Mi-temps],F$61))</f>
        <v/>
      </c>
      <c r="H79" s="93" t="str">
        <f>IF(COUNTIFS(JournalActions[Joueur],$B79,JournalActions[Action],$H$60,JournalActions[Mi-temps],H$61)=0,"",COUNTIFS(JournalActions[Joueur],$B79,JournalActions[Action],$H$60,JournalActions[Mi-temps],H$61))</f>
        <v/>
      </c>
      <c r="I79" s="94" t="str">
        <f>IF(COUNTIFS(JournalActions[Joueur],$B79,JournalActions[Action],$H$60,JournalActions[Mi-temps],I$61)=0,"",COUNTIFS(JournalActions[Joueur],$B79,JournalActions[Action],$H$60,JournalActions[Mi-temps],I$61))</f>
        <v/>
      </c>
      <c r="J79" s="93" t="str">
        <f>IF(COUNTIFS(JournalActions[Joueur],$B79,JournalActions[Action],$J$60,JournalActions[Mi-temps],J$61)=0,"",COUNTIFS(JournalActions[Joueur],$B79,JournalActions[Action],$J$60,JournalActions[Mi-temps],J$61))</f>
        <v/>
      </c>
      <c r="K79" s="9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9" customFormat="1">
      <c r="B80" s="93"/>
      <c r="C80" s="93" t="str">
        <f>IF(COUNTIFS(JournalActions[Joueur],$B80,JournalActions[Action],$C$60,JournalActions[Mi-temps],C$61)=0,"",COUNTIFS(JournalActions[Joueur],$B80,JournalActions[Action],$C$60,JournalActions[Mi-temps],C$61))</f>
        <v/>
      </c>
      <c r="D80" s="94" t="str">
        <f>IF(COUNTIFS(JournalActions[Joueur],$B80,JournalActions[Action],$C$60,JournalActions[Mi-temps],D$61)=0,"",COUNTIFS(JournalActions[Joueur],$B80,JournalActions[Action],$C$60,JournalActions[Mi-temps],D$61))</f>
        <v/>
      </c>
      <c r="E80" s="93" t="str">
        <f>IF(COUNTIFS(JournalActions[Joueur],$B80,JournalActions[Action],$E$60,JournalActions[Mi-temps],E$61)=0,"",COUNTIFS(JournalActions[Joueur],$B80,JournalActions[Action],$E$60,JournalActions[Mi-temps],E$61))</f>
        <v/>
      </c>
      <c r="F80" s="94" t="str">
        <f>IF(COUNTIFS(JournalActions[Joueur],$B80,JournalActions[Action],$E$60,JournalActions[Mi-temps],F$61)=0,"",COUNTIFS(JournalActions[Joueur],$B80,JournalActions[Action],$E$60,JournalActions[Mi-temps],F$61))</f>
        <v/>
      </c>
      <c r="H80" s="93" t="str">
        <f>IF(COUNTIFS(JournalActions[Joueur],$B80,JournalActions[Action],$H$60,JournalActions[Mi-temps],H$61)=0,"",COUNTIFS(JournalActions[Joueur],$B80,JournalActions[Action],$H$60,JournalActions[Mi-temps],H$61))</f>
        <v/>
      </c>
      <c r="I80" s="94" t="str">
        <f>IF(COUNTIFS(JournalActions[Joueur],$B80,JournalActions[Action],$H$60,JournalActions[Mi-temps],I$61)=0,"",COUNTIFS(JournalActions[Joueur],$B80,JournalActions[Action],$H$60,JournalActions[Mi-temps],I$61))</f>
        <v/>
      </c>
      <c r="J80" s="93" t="str">
        <f>IF(COUNTIFS(JournalActions[Joueur],$B80,JournalActions[Action],$J$60,JournalActions[Mi-temps],J$61)=0,"",COUNTIFS(JournalActions[Joueur],$B80,JournalActions[Action],$J$60,JournalActions[Mi-temps],J$61))</f>
        <v/>
      </c>
      <c r="K80" s="9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9" customFormat="1">
      <c r="B81" s="93"/>
      <c r="C81" s="93" t="str">
        <f>IF(COUNTIFS(JournalActions[Joueur],$B81,JournalActions[Action],$C$60,JournalActions[Mi-temps],C$61)=0,"",COUNTIFS(JournalActions[Joueur],$B81,JournalActions[Action],$C$60,JournalActions[Mi-temps],C$61))</f>
        <v/>
      </c>
      <c r="D81" s="94" t="str">
        <f>IF(COUNTIFS(JournalActions[Joueur],$B81,JournalActions[Action],$C$60,JournalActions[Mi-temps],D$61)=0,"",COUNTIFS(JournalActions[Joueur],$B81,JournalActions[Action],$C$60,JournalActions[Mi-temps],D$61))</f>
        <v/>
      </c>
      <c r="E81" s="93" t="str">
        <f>IF(COUNTIFS(JournalActions[Joueur],$B81,JournalActions[Action],$E$60,JournalActions[Mi-temps],E$61)=0,"",COUNTIFS(JournalActions[Joueur],$B81,JournalActions[Action],$E$60,JournalActions[Mi-temps],E$61))</f>
        <v/>
      </c>
      <c r="F81" s="94" t="str">
        <f>IF(COUNTIFS(JournalActions[Joueur],$B81,JournalActions[Action],$E$60,JournalActions[Mi-temps],F$61)=0,"",COUNTIFS(JournalActions[Joueur],$B81,JournalActions[Action],$E$60,JournalActions[Mi-temps],F$61))</f>
        <v/>
      </c>
      <c r="H81" s="93" t="str">
        <f>IF(COUNTIFS(JournalActions[Joueur],$B81,JournalActions[Action],$H$60,JournalActions[Mi-temps],H$61)=0,"",COUNTIFS(JournalActions[Joueur],$B81,JournalActions[Action],$H$60,JournalActions[Mi-temps],H$61))</f>
        <v/>
      </c>
      <c r="I81" s="94" t="str">
        <f>IF(COUNTIFS(JournalActions[Joueur],$B81,JournalActions[Action],$H$60,JournalActions[Mi-temps],I$61)=0,"",COUNTIFS(JournalActions[Joueur],$B81,JournalActions[Action],$H$60,JournalActions[Mi-temps],I$61))</f>
        <v/>
      </c>
      <c r="J81" s="93" t="str">
        <f>IF(COUNTIFS(JournalActions[Joueur],$B81,JournalActions[Action],$J$60,JournalActions[Mi-temps],J$61)=0,"",COUNTIFS(JournalActions[Joueur],$B81,JournalActions[Action],$J$60,JournalActions[Mi-temps],J$61))</f>
        <v/>
      </c>
      <c r="K81" s="9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9" customFormat="1">
      <c r="B82" s="93"/>
      <c r="C82" s="93" t="str">
        <f>IF(COUNTIFS(JournalActions[Joueur],$B82,JournalActions[Action],$C$60,JournalActions[Mi-temps],C$61)=0,"",COUNTIFS(JournalActions[Joueur],$B82,JournalActions[Action],$C$60,JournalActions[Mi-temps],C$61))</f>
        <v/>
      </c>
      <c r="D82" s="94" t="str">
        <f>IF(COUNTIFS(JournalActions[Joueur],$B82,JournalActions[Action],$C$60,JournalActions[Mi-temps],D$61)=0,"",COUNTIFS(JournalActions[Joueur],$B82,JournalActions[Action],$C$60,JournalActions[Mi-temps],D$61))</f>
        <v/>
      </c>
      <c r="E82" s="93" t="str">
        <f>IF(COUNTIFS(JournalActions[Joueur],$B82,JournalActions[Action],$E$60,JournalActions[Mi-temps],E$61)=0,"",COUNTIFS(JournalActions[Joueur],$B82,JournalActions[Action],$E$60,JournalActions[Mi-temps],E$61))</f>
        <v/>
      </c>
      <c r="F82" s="94" t="str">
        <f>IF(COUNTIFS(JournalActions[Joueur],$B82,JournalActions[Action],$E$60,JournalActions[Mi-temps],F$61)=0,"",COUNTIFS(JournalActions[Joueur],$B82,JournalActions[Action],$E$60,JournalActions[Mi-temps],F$61))</f>
        <v/>
      </c>
      <c r="H82" s="93" t="str">
        <f>IF(COUNTIFS(JournalActions[Joueur],$B82,JournalActions[Action],$H$60,JournalActions[Mi-temps],H$61)=0,"",COUNTIFS(JournalActions[Joueur],$B82,JournalActions[Action],$H$60,JournalActions[Mi-temps],H$61))</f>
        <v/>
      </c>
      <c r="I82" s="94" t="str">
        <f>IF(COUNTIFS(JournalActions[Joueur],$B82,JournalActions[Action],$H$60,JournalActions[Mi-temps],I$61)=0,"",COUNTIFS(JournalActions[Joueur],$B82,JournalActions[Action],$H$60,JournalActions[Mi-temps],I$61))</f>
        <v/>
      </c>
      <c r="J82" s="93" t="str">
        <f>IF(COUNTIFS(JournalActions[Joueur],$B82,JournalActions[Action],$J$60,JournalActions[Mi-temps],J$61)=0,"",COUNTIFS(JournalActions[Joueur],$B82,JournalActions[Action],$J$60,JournalActions[Mi-temps],J$61))</f>
        <v/>
      </c>
      <c r="K82" s="9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9" customFormat="1">
      <c r="B83" s="93"/>
      <c r="C83" s="93" t="str">
        <f>IF(COUNTIFS(JournalActions[Joueur],$B83,JournalActions[Action],$C$60,JournalActions[Mi-temps],C$61)=0,"",COUNTIFS(JournalActions[Joueur],$B83,JournalActions[Action],$C$60,JournalActions[Mi-temps],C$61))</f>
        <v/>
      </c>
      <c r="D83" s="94" t="str">
        <f>IF(COUNTIFS(JournalActions[Joueur],$B83,JournalActions[Action],$C$60,JournalActions[Mi-temps],D$61)=0,"",COUNTIFS(JournalActions[Joueur],$B83,JournalActions[Action],$C$60,JournalActions[Mi-temps],D$61))</f>
        <v/>
      </c>
      <c r="E83" s="93" t="str">
        <f>IF(COUNTIFS(JournalActions[Joueur],$B83,JournalActions[Action],$E$60,JournalActions[Mi-temps],E$61)=0,"",COUNTIFS(JournalActions[Joueur],$B83,JournalActions[Action],$E$60,JournalActions[Mi-temps],E$61))</f>
        <v/>
      </c>
      <c r="F83" s="94" t="str">
        <f>IF(COUNTIFS(JournalActions[Joueur],$B83,JournalActions[Action],$E$60,JournalActions[Mi-temps],F$61)=0,"",COUNTIFS(JournalActions[Joueur],$B83,JournalActions[Action],$E$60,JournalActions[Mi-temps],F$61))</f>
        <v/>
      </c>
      <c r="H83" s="93" t="str">
        <f>IF(COUNTIFS(JournalActions[Joueur],$B83,JournalActions[Action],$H$60,JournalActions[Mi-temps],H$61)=0,"",COUNTIFS(JournalActions[Joueur],$B83,JournalActions[Action],$H$60,JournalActions[Mi-temps],H$61))</f>
        <v/>
      </c>
      <c r="I83" s="94" t="str">
        <f>IF(COUNTIFS(JournalActions[Joueur],$B83,JournalActions[Action],$H$60,JournalActions[Mi-temps],I$61)=0,"",COUNTIFS(JournalActions[Joueur],$B83,JournalActions[Action],$H$60,JournalActions[Mi-temps],I$61))</f>
        <v/>
      </c>
      <c r="J83" s="93" t="str">
        <f>IF(COUNTIFS(JournalActions[Joueur],$B83,JournalActions[Action],$J$60,JournalActions[Mi-temps],J$61)=0,"",COUNTIFS(JournalActions[Joueur],$B83,JournalActions[Action],$J$60,JournalActions[Mi-temps],J$61))</f>
        <v/>
      </c>
      <c r="K83" s="9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9" customFormat="1">
      <c r="B84" s="91" t="s">
        <v>93</v>
      </c>
      <c r="C84" s="93" t="str">
        <f>IF(COUNTIFS(JournalActions[Joueur],$B84,JournalActions[Action],$C$60,JournalActions[Mi-temps],C$61)=0,"",COUNTIFS(JournalActions[Joueur],$B84,JournalActions[Action],$C$60,JournalActions[Mi-temps],C$61))</f>
        <v/>
      </c>
      <c r="D84" s="94" t="str">
        <f>IF(COUNTIFS(JournalActions[Joueur],$B84,JournalActions[Action],$C$60,JournalActions[Mi-temps],D$61)=0,"",COUNTIFS(JournalActions[Joueur],$B84,JournalActions[Action],$C$60,JournalActions[Mi-temps],D$61))</f>
        <v/>
      </c>
      <c r="E84" s="93" t="str">
        <f>IF(COUNTIFS(JournalActions[Joueur],$B84,JournalActions[Action],$E$60,JournalActions[Mi-temps],E$61)=0,"",COUNTIFS(JournalActions[Joueur],$B84,JournalActions[Action],$E$60,JournalActions[Mi-temps],E$61))</f>
        <v/>
      </c>
      <c r="F84" s="94" t="str">
        <f>IF(COUNTIFS(JournalActions[Joueur],$B84,JournalActions[Action],$E$60,JournalActions[Mi-temps],F$61)=0,"",COUNTIFS(JournalActions[Joueur],$B84,JournalActions[Action],$E$60,JournalActions[Mi-temps],F$61))</f>
        <v/>
      </c>
      <c r="H84" s="93" t="str">
        <f>IF(COUNTIFS(JournalActions[Joueur],$B84,JournalActions[Action],$H$60,JournalActions[Mi-temps],H$61)=0,"",COUNTIFS(JournalActions[Joueur],$B84,JournalActions[Action],$H$60,JournalActions[Mi-temps],H$61))</f>
        <v/>
      </c>
      <c r="I84" s="94" t="str">
        <f>IF(COUNTIFS(JournalActions[Joueur],$B84,JournalActions[Action],$H$60,JournalActions[Mi-temps],I$61)=0,"",COUNTIFS(JournalActions[Joueur],$B84,JournalActions[Action],$H$60,JournalActions[Mi-temps],I$61))</f>
        <v/>
      </c>
      <c r="J84" s="93" t="str">
        <f>IF(COUNTIFS(JournalActions[Joueur],$B84,JournalActions[Action],$J$60,JournalActions[Mi-temps],J$61)=0,"",COUNTIFS(JournalActions[Joueur],$B84,JournalActions[Action],$J$60,JournalActions[Mi-temps],J$61))</f>
        <v/>
      </c>
      <c r="K84" s="9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9" customFormat="1">
      <c r="B85" s="92" t="s">
        <v>83</v>
      </c>
      <c r="C85" s="93" t="str">
        <f>IF(COUNTIFS(JournalActions[Joueur],$B85,JournalActions[Action],$C$60,JournalActions[Mi-temps],C$61)=0,"",COUNTIFS(JournalActions[Joueur],$B85,JournalActions[Action],$C$60,JournalActions[Mi-temps],C$61))</f>
        <v/>
      </c>
      <c r="D85" s="94" t="str">
        <f>IF(COUNTIFS(JournalActions[Joueur],$B85,JournalActions[Action],$C$60,JournalActions[Mi-temps],D$61)=0,"",COUNTIFS(JournalActions[Joueur],$B85,JournalActions[Action],$C$60,JournalActions[Mi-temps],D$61))</f>
        <v/>
      </c>
      <c r="E85" s="93" t="str">
        <f>IF(COUNTIFS(JournalActions[Joueur],$B85,JournalActions[Action],$E$60,JournalActions[Mi-temps],E$61)=0,"",COUNTIFS(JournalActions[Joueur],$B85,JournalActions[Action],$E$60,JournalActions[Mi-temps],E$61))</f>
        <v/>
      </c>
      <c r="F85" s="94">
        <f>IF(COUNTIFS(JournalActions[Joueur],$B85,JournalActions[Action],$E$60,JournalActions[Mi-temps],F$61)=0,"",COUNTIFS(JournalActions[Joueur],$B85,JournalActions[Action],$E$60,JournalActions[Mi-temps],F$61))</f>
        <v>1</v>
      </c>
      <c r="H85" s="93" t="str">
        <f>IF(COUNTIFS(JournalActions[Joueur],$B85,JournalActions[Action],$H$60,JournalActions[Mi-temps],H$61)=0,"",COUNTIFS(JournalActions[Joueur],$B85,JournalActions[Action],$H$60,JournalActions[Mi-temps],H$61))</f>
        <v/>
      </c>
      <c r="I85" s="94" t="str">
        <f>IF(COUNTIFS(JournalActions[Joueur],$B85,JournalActions[Action],$H$60,JournalActions[Mi-temps],I$61)=0,"",COUNTIFS(JournalActions[Joueur],$B85,JournalActions[Action],$H$60,JournalActions[Mi-temps],I$61))</f>
        <v/>
      </c>
      <c r="J85" s="93" t="str">
        <f>IF(COUNTIFS(JournalActions[Joueur],$B85,JournalActions[Action],$J$60,JournalActions[Mi-temps],J$61)=0,"",COUNTIFS(JournalActions[Joueur],$B85,JournalActions[Action],$J$60,JournalActions[Mi-temps],J$61))</f>
        <v/>
      </c>
      <c r="K85" s="9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9" customFormat="1" ht="14">
      <c r="B86" s="127" t="s">
        <v>270</v>
      </c>
      <c r="C86" s="128">
        <f>SUM(C62:C85)</f>
        <v>0</v>
      </c>
      <c r="D86" s="129">
        <f t="shared" ref="D86" si="5">SUM(D62:D85)</f>
        <v>0</v>
      </c>
      <c r="E86" s="128">
        <f>SUM(E62:E85)</f>
        <v>0</v>
      </c>
      <c r="F86" s="129">
        <f t="shared" ref="F86" si="6">SUM(F62:F85)</f>
        <v>1</v>
      </c>
      <c r="H86" s="150">
        <f>SUM(H62:H85)</f>
        <v>0</v>
      </c>
      <c r="I86" s="151">
        <f>SUM(I62:I85)</f>
        <v>0</v>
      </c>
      <c r="J86" s="150">
        <f>SUM(J62:J85)</f>
        <v>0</v>
      </c>
      <c r="K86" s="151">
        <f t="shared" ref="K86" si="7">SUM(K62:K85)</f>
        <v>0</v>
      </c>
    </row>
    <row r="87" spans="2:11" s="29" customFormat="1" ht="16">
      <c r="B87" s="130" t="s">
        <v>269</v>
      </c>
      <c r="C87" s="181">
        <f>C86+D86</f>
        <v>0</v>
      </c>
      <c r="D87" s="182"/>
      <c r="E87" s="181">
        <f>E86+F86</f>
        <v>1</v>
      </c>
      <c r="F87" s="182"/>
      <c r="H87" s="183">
        <f>H86+I86</f>
        <v>0</v>
      </c>
      <c r="I87" s="184"/>
      <c r="J87" s="183">
        <f>J86+K86</f>
        <v>0</v>
      </c>
      <c r="K87" s="184"/>
    </row>
    <row r="88" spans="2:11" s="29" customFormat="1"/>
    <row r="89" spans="2:11" s="29" customFormat="1"/>
    <row r="90" spans="2:11" s="29" customFormat="1"/>
    <row r="91" spans="2:11" s="29" customFormat="1"/>
    <row r="92" spans="2:11" s="29" customFormat="1"/>
    <row r="93" spans="2:11" s="29" customFormat="1"/>
    <row r="94" spans="2:11" s="29" customFormat="1"/>
    <row r="95" spans="2:11" s="29" customFormat="1"/>
    <row r="96" spans="2:11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</sheetData>
  <mergeCells count="43">
    <mergeCell ref="B3:N4"/>
    <mergeCell ref="B6:B7"/>
    <mergeCell ref="C6:D6"/>
    <mergeCell ref="E6:F6"/>
    <mergeCell ref="G6:H6"/>
    <mergeCell ref="I6:J6"/>
    <mergeCell ref="K6:L6"/>
    <mergeCell ref="M6:N6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</mergeCells>
  <conditionalFormatting sqref="J38:N38 B8:T31">
    <cfRule type="expression" dxfId="7" priority="6" stopIfTrue="1">
      <formula>ISEVEN(ROW())</formula>
    </cfRule>
  </conditionalFormatting>
  <conditionalFormatting sqref="B62:B85">
    <cfRule type="expression" dxfId="6" priority="5" stopIfTrue="1">
      <formula>ISEVEN(ROW())</formula>
    </cfRule>
  </conditionalFormatting>
  <conditionalFormatting sqref="C62:D85">
    <cfRule type="expression" dxfId="5" priority="4" stopIfTrue="1">
      <formula>ISEVEN(ROW())</formula>
    </cfRule>
  </conditionalFormatting>
  <conditionalFormatting sqref="H62:I85">
    <cfRule type="expression" dxfId="4" priority="3" stopIfTrue="1">
      <formula>ISEVEN(ROW())</formula>
    </cfRule>
  </conditionalFormatting>
  <conditionalFormatting sqref="J62:K85">
    <cfRule type="expression" dxfId="3" priority="2" stopIfTrue="1">
      <formula>ISEVEN(ROW())</formula>
    </cfRule>
  </conditionalFormatting>
  <conditionalFormatting sqref="E62:F85">
    <cfRule type="expression" dxfId="2" priority="1" stopIfTrue="1">
      <formula>ISEVEN(ROW())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I29" sqref="I29"/>
    </sheetView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9" width="10.83203125" style="29"/>
    <col min="10" max="10" width="17.5" style="29" bestFit="1" customWidth="1"/>
    <col min="11" max="859" width="10.83203125" style="29"/>
  </cols>
  <sheetData>
    <row r="1" spans="1:5">
      <c r="A1" t="s">
        <v>141</v>
      </c>
      <c r="B1" t="s">
        <v>142</v>
      </c>
      <c r="C1" t="s">
        <v>143</v>
      </c>
      <c r="D1" t="s">
        <v>144</v>
      </c>
      <c r="E1" t="s">
        <v>203</v>
      </c>
    </row>
    <row r="2" spans="1:5">
      <c r="A2">
        <v>1</v>
      </c>
      <c r="B2" t="s">
        <v>149</v>
      </c>
      <c r="C2" t="s">
        <v>148</v>
      </c>
      <c r="D2" t="str">
        <f>LstEffectif[[#This Row],[prenom]] &amp; " " &amp;LstEffectif[[#This Row],[nom]]</f>
        <v xml:space="preserve">Emeric ABADIE </v>
      </c>
      <c r="E2" t="str">
        <f>LstEffectif[[#This Row],[nom]]&amp; " " &amp;LstEffectif[[#This Row],[prenom]]</f>
        <v>ABADIE  Emeric</v>
      </c>
    </row>
    <row r="3" spans="1:5">
      <c r="A3">
        <v>2</v>
      </c>
      <c r="B3" t="s">
        <v>100</v>
      </c>
      <c r="C3" t="s">
        <v>153</v>
      </c>
      <c r="D3" t="str">
        <f>LstEffectif[[#This Row],[prenom]] &amp; " " &amp;LstEffectif[[#This Row],[nom]]</f>
        <v>Lucas BAQUE</v>
      </c>
      <c r="E3" t="str">
        <f>LstEffectif[[#This Row],[nom]]&amp; " " &amp;LstEffectif[[#This Row],[prenom]]</f>
        <v>BAQUE Lucas</v>
      </c>
    </row>
    <row r="4" spans="1:5">
      <c r="A4">
        <v>3</v>
      </c>
      <c r="B4" t="s">
        <v>109</v>
      </c>
      <c r="C4" t="s">
        <v>344</v>
      </c>
      <c r="D4" t="str">
        <f>LstEffectif[[#This Row],[prenom]] &amp; " " &amp;LstEffectif[[#This Row],[nom]]</f>
        <v>Julian BARATGIN</v>
      </c>
      <c r="E4" t="str">
        <f>LstEffectif[[#This Row],[nom]]&amp; " " &amp;LstEffectif[[#This Row],[prenom]]</f>
        <v>BARATGIN Julian</v>
      </c>
    </row>
    <row r="5" spans="1:5">
      <c r="A5">
        <v>4</v>
      </c>
      <c r="B5" t="s">
        <v>110</v>
      </c>
      <c r="C5" t="s">
        <v>161</v>
      </c>
      <c r="D5" t="str">
        <f>LstEffectif[[#This Row],[prenom]] &amp; " " &amp;LstEffectif[[#This Row],[nom]]</f>
        <v>Sébastien BARTHIE</v>
      </c>
      <c r="E5" t="str">
        <f>LstEffectif[[#This Row],[nom]]&amp; " " &amp;LstEffectif[[#This Row],[prenom]]</f>
        <v>BARTHIE Sébastien</v>
      </c>
    </row>
    <row r="6" spans="1:5">
      <c r="A6">
        <v>5</v>
      </c>
      <c r="B6" t="s">
        <v>107</v>
      </c>
      <c r="C6" t="s">
        <v>157</v>
      </c>
      <c r="D6" t="str">
        <f>LstEffectif[[#This Row],[prenom]] &amp; " " &amp;LstEffectif[[#This Row],[nom]]</f>
        <v>Bastien BAUP</v>
      </c>
      <c r="E6" t="str">
        <f>LstEffectif[[#This Row],[nom]]&amp; " " &amp;LstEffectif[[#This Row],[prenom]]</f>
        <v>BAUP Bastien</v>
      </c>
    </row>
    <row r="7" spans="1:5">
      <c r="A7">
        <v>6</v>
      </c>
      <c r="B7" t="s">
        <v>96</v>
      </c>
      <c r="C7" t="s">
        <v>150</v>
      </c>
      <c r="D7" t="str">
        <f>LstEffectif[[#This Row],[prenom]] &amp; " " &amp;LstEffectif[[#This Row],[nom]]</f>
        <v>Jean BAYLE</v>
      </c>
      <c r="E7" t="str">
        <f>LstEffectif[[#This Row],[nom]]&amp; " " &amp;LstEffectif[[#This Row],[prenom]]</f>
        <v>BAYLE Jean</v>
      </c>
    </row>
    <row r="8" spans="1:5">
      <c r="A8">
        <v>7</v>
      </c>
      <c r="B8" t="s">
        <v>101</v>
      </c>
      <c r="C8" t="s">
        <v>154</v>
      </c>
      <c r="D8" t="str">
        <f>LstEffectif[[#This Row],[prenom]] &amp; " " &amp;LstEffectif[[#This Row],[nom]]</f>
        <v>Anthony BOURREC</v>
      </c>
      <c r="E8" t="str">
        <f>LstEffectif[[#This Row],[nom]]&amp; " " &amp;LstEffectif[[#This Row],[prenom]]</f>
        <v>BOURREC Anthony</v>
      </c>
    </row>
    <row r="9" spans="1:5">
      <c r="A9">
        <v>8</v>
      </c>
      <c r="B9" t="s">
        <v>139</v>
      </c>
      <c r="C9" t="s">
        <v>162</v>
      </c>
      <c r="D9" t="str">
        <f>LstEffectif[[#This Row],[prenom]] &amp; " " &amp;LstEffectif[[#This Row],[nom]]</f>
        <v>Tom CASTERA</v>
      </c>
      <c r="E9" t="str">
        <f>LstEffectif[[#This Row],[nom]]&amp; " " &amp;LstEffectif[[#This Row],[prenom]]</f>
        <v>CASTERA Tom</v>
      </c>
    </row>
    <row r="10" spans="1:5">
      <c r="A10">
        <v>9</v>
      </c>
      <c r="B10" t="s">
        <v>140</v>
      </c>
      <c r="C10" t="s">
        <v>145</v>
      </c>
      <c r="D10" t="str">
        <f>LstEffectif[[#This Row],[prenom]] &amp; " " &amp;LstEffectif[[#This Row],[nom]]</f>
        <v>Jonah DALLA ROSA</v>
      </c>
      <c r="E10" t="str">
        <f>LstEffectif[[#This Row],[nom]]&amp; " " &amp;LstEffectif[[#This Row],[prenom]]</f>
        <v>DALLA ROSA Jonah</v>
      </c>
    </row>
    <row r="11" spans="1:5">
      <c r="A11">
        <v>10</v>
      </c>
      <c r="B11" t="s">
        <v>94</v>
      </c>
      <c r="C11" t="s">
        <v>147</v>
      </c>
      <c r="D11" t="str">
        <f>LstEffectif[[#This Row],[prenom]] &amp; " " &amp;LstEffectif[[#This Row],[nom]]</f>
        <v>Thomas DASTUGUE</v>
      </c>
      <c r="E11" t="str">
        <f>LstEffectif[[#This Row],[nom]]&amp; " " &amp;LstEffectif[[#This Row],[prenom]]</f>
        <v>DASTUGUE Thomas</v>
      </c>
    </row>
    <row r="12" spans="1:5">
      <c r="A12">
        <v>11</v>
      </c>
      <c r="B12" t="s">
        <v>102</v>
      </c>
      <c r="C12" t="s">
        <v>155</v>
      </c>
      <c r="D12" t="str">
        <f>LstEffectif[[#This Row],[prenom]] &amp; " " &amp;LstEffectif[[#This Row],[nom]]</f>
        <v>Marius FAULONG</v>
      </c>
      <c r="E12" t="str">
        <f>LstEffectif[[#This Row],[nom]]&amp; " " &amp;LstEffectif[[#This Row],[prenom]]</f>
        <v>FAULONG Marius</v>
      </c>
    </row>
    <row r="13" spans="1:5">
      <c r="A13">
        <v>12</v>
      </c>
      <c r="B13" t="s">
        <v>111</v>
      </c>
      <c r="C13" t="s">
        <v>163</v>
      </c>
      <c r="D13" t="str">
        <f>LstEffectif[[#This Row],[prenom]] &amp; " " &amp;LstEffectif[[#This Row],[nom]]</f>
        <v>Joris JOUNAUX</v>
      </c>
      <c r="E13" t="str">
        <f>LstEffectif[[#This Row],[nom]]&amp; " " &amp;LstEffectif[[#This Row],[prenom]]</f>
        <v>JOUNAUX Joris</v>
      </c>
    </row>
    <row r="14" spans="1:5">
      <c r="A14">
        <v>13</v>
      </c>
      <c r="B14" t="s">
        <v>104</v>
      </c>
      <c r="C14" t="s">
        <v>157</v>
      </c>
      <c r="D14" t="str">
        <f>LstEffectif[[#This Row],[prenom]] &amp; " " &amp;LstEffectif[[#This Row],[nom]]</f>
        <v>Bastien KAPFER</v>
      </c>
      <c r="E14" t="str">
        <f>LstEffectif[[#This Row],[nom]]&amp; " " &amp;LstEffectif[[#This Row],[prenom]]</f>
        <v>KAPFER Bastien</v>
      </c>
    </row>
    <row r="15" spans="1:5">
      <c r="A15">
        <v>14</v>
      </c>
      <c r="B15" t="s">
        <v>103</v>
      </c>
      <c r="C15" t="s">
        <v>156</v>
      </c>
      <c r="D15" t="str">
        <f>LstEffectif[[#This Row],[prenom]] &amp; " " &amp;LstEffectif[[#This Row],[nom]]</f>
        <v>Jean-Baptiste LAUDET</v>
      </c>
      <c r="E15" t="str">
        <f>LstEffectif[[#This Row],[nom]]&amp; " " &amp;LstEffectif[[#This Row],[prenom]]</f>
        <v>LAUDET Jean-Baptiste</v>
      </c>
    </row>
    <row r="16" spans="1:5">
      <c r="A16">
        <v>15</v>
      </c>
      <c r="B16" t="s">
        <v>95</v>
      </c>
      <c r="C16" t="s">
        <v>146</v>
      </c>
      <c r="D16" t="str">
        <f>LstEffectif[[#This Row],[prenom]] &amp; " " &amp;LstEffectif[[#This Row],[nom]]</f>
        <v>Paul MICHELIN</v>
      </c>
      <c r="E16" t="str">
        <f>LstEffectif[[#This Row],[nom]]&amp; " " &amp;LstEffectif[[#This Row],[prenom]]</f>
        <v>MICHELIN Paul</v>
      </c>
    </row>
    <row r="17" spans="1:5">
      <c r="A17">
        <v>16</v>
      </c>
      <c r="B17" t="s">
        <v>99</v>
      </c>
      <c r="C17" t="s">
        <v>152</v>
      </c>
      <c r="D17" t="str">
        <f>LstEffectif[[#This Row],[prenom]] &amp; " " &amp;LstEffectif[[#This Row],[nom]]</f>
        <v>Yohan MONLOR</v>
      </c>
      <c r="E17" t="str">
        <f>LstEffectif[[#This Row],[nom]]&amp; " " &amp;LstEffectif[[#This Row],[prenom]]</f>
        <v>MONLOR Yohan</v>
      </c>
    </row>
    <row r="18" spans="1:5">
      <c r="A18">
        <v>17</v>
      </c>
      <c r="B18" t="s">
        <v>98</v>
      </c>
      <c r="C18" t="s">
        <v>345</v>
      </c>
      <c r="D18" t="str">
        <f>LstEffectif[[#This Row],[prenom]] &amp; " " &amp;LstEffectif[[#This Row],[nom]]</f>
        <v>Maxime PIQUEMIL</v>
      </c>
      <c r="E18" t="str">
        <f>LstEffectif[[#This Row],[nom]]&amp; " " &amp;LstEffectif[[#This Row],[prenom]]</f>
        <v>PIQUEMIL Maxime</v>
      </c>
    </row>
    <row r="19" spans="1:5">
      <c r="A19">
        <v>18</v>
      </c>
      <c r="B19" t="s">
        <v>106</v>
      </c>
      <c r="C19" t="s">
        <v>159</v>
      </c>
      <c r="D19" t="str">
        <f>LstEffectif[[#This Row],[prenom]] &amp; " " &amp;LstEffectif[[#This Row],[nom]]</f>
        <v>Jimmy ROBERT</v>
      </c>
      <c r="E19" t="str">
        <f>LstEffectif[[#This Row],[nom]]&amp; " " &amp;LstEffectif[[#This Row],[prenom]]</f>
        <v>ROBERT Jimmy</v>
      </c>
    </row>
    <row r="20" spans="1:5">
      <c r="A20">
        <v>19</v>
      </c>
      <c r="B20" t="s">
        <v>97</v>
      </c>
      <c r="C20" t="s">
        <v>346</v>
      </c>
      <c r="D20" t="str">
        <f>LstEffectif[[#This Row],[prenom]] &amp; " " &amp;LstEffectif[[#This Row],[nom]]</f>
        <v>Mathis ROUSSEL</v>
      </c>
      <c r="E20" t="str">
        <f>LstEffectif[[#This Row],[nom]]&amp; " " &amp;LstEffectif[[#This Row],[prenom]]</f>
        <v>ROUSSEL Mathis</v>
      </c>
    </row>
    <row r="21" spans="1:5">
      <c r="A21">
        <v>20</v>
      </c>
      <c r="B21" t="s">
        <v>105</v>
      </c>
      <c r="C21" t="s">
        <v>158</v>
      </c>
      <c r="D21" t="str">
        <f>LstEffectif[[#This Row],[prenom]] &amp; " " &amp;LstEffectif[[#This Row],[nom]]</f>
        <v>Fabien SALLES</v>
      </c>
      <c r="E21" t="str">
        <f>LstEffectif[[#This Row],[nom]]&amp; " " &amp;LstEffectif[[#This Row],[prenom]]</f>
        <v>SALLES Fabien</v>
      </c>
    </row>
    <row r="22" spans="1:5">
      <c r="A22">
        <v>21</v>
      </c>
      <c r="B22" t="s">
        <v>105</v>
      </c>
      <c r="C22" t="s">
        <v>151</v>
      </c>
      <c r="D22" t="str">
        <f>LstEffectif[[#This Row],[prenom]] &amp; " " &amp;LstEffectif[[#This Row],[nom]]</f>
        <v>Dorian SALLES</v>
      </c>
      <c r="E22" t="str">
        <f>LstEffectif[[#This Row],[nom]]&amp; " " &amp;LstEffectif[[#This Row],[prenom]]</f>
        <v>SALLES Dorian</v>
      </c>
    </row>
    <row r="23" spans="1:5">
      <c r="A23">
        <v>22</v>
      </c>
      <c r="B23" t="s">
        <v>108</v>
      </c>
      <c r="C23" t="s">
        <v>160</v>
      </c>
      <c r="D23" t="str">
        <f>LstEffectif[[#This Row],[prenom]] &amp; " " &amp;LstEffectif[[#This Row],[nom]]</f>
        <v>Titouan STEFANI</v>
      </c>
      <c r="E23" t="str">
        <f>LstEffectif[[#This Row],[nom]]&amp; " " &amp;LstEffectif[[#This Row],[prenom]]</f>
        <v>STEFANI Titouan</v>
      </c>
    </row>
    <row r="24" spans="1:5">
      <c r="A24">
        <v>23</v>
      </c>
      <c r="B24" t="s">
        <v>149</v>
      </c>
      <c r="C24" t="s">
        <v>164</v>
      </c>
      <c r="D24" t="str">
        <f>LstEffectif[[#This Row],[prenom]] &amp; " " &amp;LstEffectif[[#This Row],[nom]]</f>
        <v xml:space="preserve">Quentin ABADIE </v>
      </c>
      <c r="E24" t="str">
        <f>LstEffectif[[#This Row],[nom]]&amp; " " &amp;LstEffectif[[#This Row],[prenom]]</f>
        <v>ABADIE  Quentin</v>
      </c>
    </row>
    <row r="25" spans="1:5">
      <c r="A25">
        <v>24</v>
      </c>
      <c r="B25" t="s">
        <v>322</v>
      </c>
      <c r="C25" t="s">
        <v>323</v>
      </c>
      <c r="D25" t="str">
        <f>LstEffectif[[#This Row],[prenom]] &amp; " " &amp;LstEffectif[[#This Row],[nom]]</f>
        <v xml:space="preserve">Julien BOUTAN </v>
      </c>
      <c r="E25" t="str">
        <f>LstEffectif[[#This Row],[nom]]&amp; " " &amp;LstEffectif[[#This Row],[prenom]]</f>
        <v>BOUTAN  Julien</v>
      </c>
    </row>
    <row r="26" spans="1:5" ht="12" customHeight="1">
      <c r="A26">
        <v>25</v>
      </c>
      <c r="B26" t="s">
        <v>324</v>
      </c>
      <c r="C26" t="s">
        <v>323</v>
      </c>
      <c r="D26" t="str">
        <f>LstEffectif[[#This Row],[prenom]] &amp; " " &amp;LstEffectif[[#This Row],[nom]]</f>
        <v>Julien POUYADOU</v>
      </c>
      <c r="E26" t="str">
        <f>LstEffectif[[#This Row],[nom]]&amp; " " &amp;LstEffectif[[#This Row],[prenom]]</f>
        <v>POUYADOU Julien</v>
      </c>
    </row>
    <row r="27" spans="1:5" s="29" customFormat="1">
      <c r="A27">
        <v>26</v>
      </c>
      <c r="B27" t="s">
        <v>347</v>
      </c>
      <c r="C27" t="s">
        <v>348</v>
      </c>
      <c r="D27" t="str">
        <f>LstEffectif[[#This Row],[prenom]] &amp; " " &amp;LstEffectif[[#This Row],[nom]]</f>
        <v>Martin MULLIER</v>
      </c>
      <c r="E27" t="str">
        <f>LstEffectif[[#This Row],[nom]]&amp; " " &amp;LstEffectif[[#This Row],[prenom]]</f>
        <v>MULLIER Martin</v>
      </c>
    </row>
    <row r="28" spans="1:5" s="29" customFormat="1">
      <c r="A28">
        <v>27</v>
      </c>
      <c r="B28" t="s">
        <v>349</v>
      </c>
      <c r="C28" t="s">
        <v>350</v>
      </c>
      <c r="D28" t="str">
        <f>LstEffectif[[#This Row],[prenom]] &amp; " " &amp;LstEffectif[[#This Row],[nom]]</f>
        <v>Gregory RICHIARDONNE</v>
      </c>
      <c r="E28" t="str">
        <f>LstEffectif[[#This Row],[nom]]&amp; " " &amp;LstEffectif[[#This Row],[prenom]]</f>
        <v>RICHIARDONNE Gregory</v>
      </c>
    </row>
    <row r="29" spans="1:5" s="29" customFormat="1">
      <c r="A29">
        <v>28</v>
      </c>
      <c r="B29" t="s">
        <v>351</v>
      </c>
      <c r="C29" t="s">
        <v>352</v>
      </c>
      <c r="D29" t="str">
        <f>LstEffectif[[#This Row],[prenom]] &amp; " " &amp;LstEffectif[[#This Row],[nom]]</f>
        <v>Antonio LOUREIRO LABAZUY</v>
      </c>
      <c r="E29" t="str">
        <f>LstEffectif[[#This Row],[nom]]&amp; " " &amp;LstEffectif[[#This Row],[prenom]]</f>
        <v>LOUREIRO LABAZUY Antonio</v>
      </c>
    </row>
    <row r="30" spans="1:5" s="29" customFormat="1">
      <c r="A30">
        <v>29</v>
      </c>
      <c r="B30" t="s">
        <v>353</v>
      </c>
      <c r="C30" t="s">
        <v>354</v>
      </c>
      <c r="D30" t="str">
        <f>LstEffectif[[#This Row],[prenom]] &amp; " " &amp;LstEffectif[[#This Row],[nom]]</f>
        <v>Alexis MOUDENS</v>
      </c>
      <c r="E30" t="str">
        <f>LstEffectif[[#This Row],[nom]]&amp; " " &amp;LstEffectif[[#This Row],[prenom]]</f>
        <v>MOUDENS Alexis</v>
      </c>
    </row>
    <row r="31" spans="1:5" s="29" customFormat="1">
      <c r="A31">
        <v>30</v>
      </c>
      <c r="B31" t="s">
        <v>355</v>
      </c>
      <c r="C31" t="s">
        <v>356</v>
      </c>
      <c r="D31" t="str">
        <f>LstEffectif[[#This Row],[prenom]] &amp; " " &amp;LstEffectif[[#This Row],[nom]]</f>
        <v>Romain BOUTELOUP</v>
      </c>
      <c r="E31" t="str">
        <f>LstEffectif[[#This Row],[nom]]&amp; " " &amp;LstEffectif[[#This Row],[prenom]]</f>
        <v>BOUTELOUP Romain</v>
      </c>
    </row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topLeftCell="M7" workbookViewId="0">
      <selection activeCell="N13" sqref="N13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282</v>
      </c>
      <c r="C1" s="53" t="s">
        <v>290</v>
      </c>
      <c r="D1" s="53"/>
      <c r="F1" s="60" t="s">
        <v>201</v>
      </c>
      <c r="G1" s="61" t="s">
        <v>202</v>
      </c>
      <c r="I1" s="83" t="s">
        <v>207</v>
      </c>
      <c r="K1" s="154" t="s">
        <v>205</v>
      </c>
      <c r="N1" t="s">
        <v>243</v>
      </c>
      <c r="Q1" s="83" t="s">
        <v>168</v>
      </c>
      <c r="R1" s="83" t="s">
        <v>208</v>
      </c>
    </row>
    <row r="2" spans="1:18" ht="30" customHeight="1">
      <c r="A2" t="s">
        <v>303</v>
      </c>
      <c r="C2" s="57" t="s">
        <v>271</v>
      </c>
      <c r="D2" s="57"/>
      <c r="F2" s="55" t="s">
        <v>191</v>
      </c>
      <c r="G2" s="39"/>
      <c r="I2" s="56" t="s">
        <v>117</v>
      </c>
      <c r="K2" s="155" t="s">
        <v>93</v>
      </c>
      <c r="N2" t="s">
        <v>244</v>
      </c>
      <c r="Q2" s="56" t="s">
        <v>169</v>
      </c>
      <c r="R2" s="56" t="s">
        <v>58</v>
      </c>
    </row>
    <row r="3" spans="1:18" ht="30" customHeight="1">
      <c r="A3" t="s">
        <v>283</v>
      </c>
      <c r="C3" s="57" t="s">
        <v>281</v>
      </c>
      <c r="D3" s="57"/>
      <c r="F3" s="58" t="s">
        <v>192</v>
      </c>
      <c r="G3" s="32"/>
      <c r="I3" s="84" t="s">
        <v>204</v>
      </c>
      <c r="K3" s="155" t="s">
        <v>83</v>
      </c>
      <c r="N3" t="s">
        <v>262</v>
      </c>
      <c r="Q3" s="59" t="s">
        <v>170</v>
      </c>
      <c r="R3" s="59" t="s">
        <v>127</v>
      </c>
    </row>
    <row r="4" spans="1:18" ht="30" customHeight="1">
      <c r="A4" t="s">
        <v>284</v>
      </c>
      <c r="C4" s="57" t="s">
        <v>291</v>
      </c>
      <c r="D4" s="57"/>
      <c r="F4" s="55" t="s">
        <v>193</v>
      </c>
      <c r="G4" s="33"/>
      <c r="Q4" s="56" t="s">
        <v>171</v>
      </c>
      <c r="R4" s="56" t="s">
        <v>59</v>
      </c>
    </row>
    <row r="5" spans="1:18" ht="30" customHeight="1">
      <c r="A5" t="s">
        <v>285</v>
      </c>
      <c r="C5" s="57"/>
      <c r="D5" s="57"/>
      <c r="F5" s="58" t="s">
        <v>194</v>
      </c>
      <c r="G5" s="34"/>
      <c r="I5" s="83" t="s">
        <v>206</v>
      </c>
      <c r="Q5" s="59" t="s">
        <v>172</v>
      </c>
      <c r="R5" s="59" t="s">
        <v>173</v>
      </c>
    </row>
    <row r="6" spans="1:18" ht="30" customHeight="1">
      <c r="A6" t="s">
        <v>286</v>
      </c>
      <c r="C6" s="57" t="s">
        <v>292</v>
      </c>
      <c r="D6" s="57"/>
      <c r="F6" s="55" t="s">
        <v>196</v>
      </c>
      <c r="G6" s="35"/>
      <c r="I6" s="56" t="s">
        <v>116</v>
      </c>
      <c r="Q6" s="56" t="s">
        <v>174</v>
      </c>
      <c r="R6" s="56" t="s">
        <v>175</v>
      </c>
    </row>
    <row r="7" spans="1:18" ht="30" customHeight="1">
      <c r="A7" t="s">
        <v>287</v>
      </c>
      <c r="C7" s="57" t="s">
        <v>272</v>
      </c>
      <c r="D7" s="57"/>
      <c r="F7" s="58" t="s">
        <v>195</v>
      </c>
      <c r="G7" s="52"/>
      <c r="I7" s="84" t="s">
        <v>113</v>
      </c>
      <c r="Q7" s="59" t="s">
        <v>176</v>
      </c>
      <c r="R7" s="59" t="s">
        <v>130</v>
      </c>
    </row>
    <row r="8" spans="1:18" ht="30" customHeight="1">
      <c r="A8" s="53" t="s">
        <v>288</v>
      </c>
      <c r="C8" s="57" t="s">
        <v>293</v>
      </c>
      <c r="D8" s="57"/>
      <c r="F8" s="55" t="s">
        <v>197</v>
      </c>
      <c r="G8" s="27"/>
      <c r="Q8" s="56" t="s">
        <v>177</v>
      </c>
      <c r="R8" s="56" t="s">
        <v>128</v>
      </c>
    </row>
    <row r="9" spans="1:18" s="53" customFormat="1" ht="30" customHeight="1">
      <c r="A9" t="s">
        <v>289</v>
      </c>
      <c r="C9" s="57" t="s">
        <v>294</v>
      </c>
      <c r="D9" s="57"/>
      <c r="F9" s="58" t="s">
        <v>198</v>
      </c>
      <c r="G9" s="36"/>
      <c r="K9"/>
      <c r="Q9" s="59" t="s">
        <v>178</v>
      </c>
      <c r="R9" s="59" t="s">
        <v>131</v>
      </c>
    </row>
    <row r="10" spans="1:18" ht="30" customHeight="1">
      <c r="C10" s="57"/>
      <c r="D10" s="57"/>
      <c r="F10" s="55" t="s">
        <v>199</v>
      </c>
      <c r="G10" s="37"/>
      <c r="I10" s="120" t="s">
        <v>318</v>
      </c>
      <c r="Q10" s="56" t="s">
        <v>179</v>
      </c>
      <c r="R10" s="56" t="s">
        <v>129</v>
      </c>
    </row>
    <row r="11" spans="1:18" s="53" customFormat="1" ht="30" customHeight="1">
      <c r="C11" s="57" t="s">
        <v>295</v>
      </c>
      <c r="D11" s="57"/>
      <c r="F11" s="58"/>
      <c r="K11"/>
      <c r="Q11" s="59" t="s">
        <v>180</v>
      </c>
      <c r="R11" s="59" t="s">
        <v>132</v>
      </c>
    </row>
    <row r="12" spans="1:18" ht="30" customHeight="1">
      <c r="C12" s="57" t="s">
        <v>273</v>
      </c>
      <c r="D12" s="57"/>
      <c r="F12" s="55" t="s">
        <v>200</v>
      </c>
      <c r="G12" s="38"/>
      <c r="Q12" s="59" t="s">
        <v>328</v>
      </c>
      <c r="R12" s="59" t="s">
        <v>329</v>
      </c>
    </row>
    <row r="13" spans="1:18" s="53" customFormat="1" ht="30" customHeight="1">
      <c r="C13" s="57" t="s">
        <v>296</v>
      </c>
      <c r="D13" s="57"/>
      <c r="K13"/>
      <c r="Q13" s="58" t="s">
        <v>268</v>
      </c>
      <c r="R13" s="140" t="s">
        <v>253</v>
      </c>
    </row>
    <row r="14" spans="1:18" ht="30" customHeight="1">
      <c r="C14" s="57" t="s">
        <v>297</v>
      </c>
      <c r="D14" s="57"/>
      <c r="I14" s="54" t="s">
        <v>214</v>
      </c>
      <c r="Q14" s="58" t="s">
        <v>267</v>
      </c>
      <c r="R14" s="140" t="s">
        <v>254</v>
      </c>
    </row>
    <row r="15" spans="1:18" s="53" customFormat="1" ht="30" customHeight="1">
      <c r="C15" s="57"/>
      <c r="D15" s="57"/>
      <c r="I15" s="53" t="s">
        <v>210</v>
      </c>
      <c r="K15"/>
      <c r="Q15" s="58" t="s">
        <v>181</v>
      </c>
      <c r="R15" s="140" t="s">
        <v>122</v>
      </c>
    </row>
    <row r="16" spans="1:18" ht="30" customHeight="1">
      <c r="C16" s="57" t="s">
        <v>306</v>
      </c>
      <c r="D16" s="57"/>
      <c r="I16" s="53" t="s">
        <v>211</v>
      </c>
      <c r="Q16" s="58" t="s">
        <v>182</v>
      </c>
      <c r="R16" s="140" t="s">
        <v>133</v>
      </c>
    </row>
    <row r="17" spans="3:18" s="53" customFormat="1" ht="30" customHeight="1">
      <c r="C17" s="57" t="s">
        <v>307</v>
      </c>
      <c r="D17" s="57"/>
      <c r="I17" s="53" t="s">
        <v>212</v>
      </c>
      <c r="K17"/>
      <c r="Q17" s="58" t="s">
        <v>183</v>
      </c>
      <c r="R17" s="140" t="s">
        <v>134</v>
      </c>
    </row>
    <row r="18" spans="3:18" ht="30" customHeight="1">
      <c r="C18" s="57" t="s">
        <v>308</v>
      </c>
      <c r="D18" s="57"/>
      <c r="I18" s="53" t="s">
        <v>213</v>
      </c>
      <c r="Q18" s="58" t="s">
        <v>184</v>
      </c>
      <c r="R18" s="140" t="s">
        <v>135</v>
      </c>
    </row>
    <row r="19" spans="3:18" ht="30" customHeight="1">
      <c r="C19" s="57" t="s">
        <v>309</v>
      </c>
      <c r="D19" s="57"/>
      <c r="I19" s="53" t="s">
        <v>320</v>
      </c>
      <c r="Q19" s="58" t="s">
        <v>185</v>
      </c>
      <c r="R19" s="140" t="s">
        <v>126</v>
      </c>
    </row>
    <row r="20" spans="3:18" ht="30" customHeight="1">
      <c r="C20" s="57" t="s">
        <v>310</v>
      </c>
      <c r="D20" s="57"/>
      <c r="I20" s="53" t="s">
        <v>321</v>
      </c>
      <c r="Q20" s="58" t="s">
        <v>186</v>
      </c>
      <c r="R20" s="140" t="s">
        <v>123</v>
      </c>
    </row>
    <row r="21" spans="3:18" ht="30" customHeight="1">
      <c r="C21" s="57"/>
      <c r="D21" s="57"/>
      <c r="Q21" s="58" t="s">
        <v>187</v>
      </c>
      <c r="R21" s="140" t="s">
        <v>124</v>
      </c>
    </row>
    <row r="22" spans="3:18" ht="30" customHeight="1">
      <c r="C22" s="57"/>
      <c r="D22" s="57"/>
      <c r="Q22" s="58" t="s">
        <v>188</v>
      </c>
      <c r="R22" s="140" t="s">
        <v>119</v>
      </c>
    </row>
    <row r="23" spans="3:18" ht="30" customHeight="1">
      <c r="C23" s="57"/>
      <c r="D23" s="57"/>
      <c r="Q23" s="58" t="s">
        <v>189</v>
      </c>
      <c r="R23" s="140" t="s">
        <v>120</v>
      </c>
    </row>
    <row r="24" spans="3:18" ht="30" customHeight="1">
      <c r="C24" s="57"/>
      <c r="D24" s="57"/>
      <c r="Q24" s="58" t="s">
        <v>190</v>
      </c>
      <c r="R24" s="140" t="s">
        <v>88</v>
      </c>
    </row>
    <row r="25" spans="3:18" ht="30" customHeight="1">
      <c r="Q25" s="58" t="s">
        <v>221</v>
      </c>
      <c r="R25" s="140" t="s">
        <v>223</v>
      </c>
    </row>
    <row r="26" spans="3:18" ht="30" customHeight="1">
      <c r="Q26" s="58" t="s">
        <v>222</v>
      </c>
      <c r="R26" s="140" t="s">
        <v>224</v>
      </c>
    </row>
    <row r="27" spans="3:18" ht="30" customHeight="1">
      <c r="Q27" s="58" t="s">
        <v>225</v>
      </c>
      <c r="R27" s="140" t="s">
        <v>226</v>
      </c>
    </row>
    <row r="28" spans="3:18" ht="30" customHeight="1">
      <c r="Q28" s="58" t="s">
        <v>227</v>
      </c>
      <c r="R28" s="140" t="s">
        <v>228</v>
      </c>
    </row>
    <row r="29" spans="3:18" ht="30" customHeight="1">
      <c r="Q29" s="58" t="s">
        <v>229</v>
      </c>
      <c r="R29" s="140" t="s">
        <v>60</v>
      </c>
    </row>
    <row r="30" spans="3:18" ht="30" customHeight="1">
      <c r="Q30" s="58" t="s">
        <v>230</v>
      </c>
      <c r="R30" s="140" t="s">
        <v>231</v>
      </c>
    </row>
    <row r="31" spans="3:18" ht="30" customHeight="1">
      <c r="Q31" s="58" t="s">
        <v>252</v>
      </c>
      <c r="R31" s="140" t="s">
        <v>246</v>
      </c>
    </row>
    <row r="32" spans="3:18" ht="30" customHeight="1">
      <c r="Q32" s="58" t="s">
        <v>255</v>
      </c>
      <c r="R32" s="140" t="s">
        <v>247</v>
      </c>
    </row>
    <row r="33" spans="17:18" ht="30" customHeight="1">
      <c r="Q33" s="58" t="s">
        <v>256</v>
      </c>
      <c r="R33" s="140" t="s">
        <v>248</v>
      </c>
    </row>
    <row r="34" spans="17:18" ht="30" customHeight="1">
      <c r="Q34" s="58" t="s">
        <v>257</v>
      </c>
      <c r="R34" s="140" t="s">
        <v>173</v>
      </c>
    </row>
    <row r="35" spans="17:18" ht="30" customHeight="1">
      <c r="Q35" s="58" t="s">
        <v>258</v>
      </c>
      <c r="R35" s="140" t="s">
        <v>175</v>
      </c>
    </row>
    <row r="36" spans="17:18" ht="30" customHeight="1">
      <c r="Q36" s="58" t="s">
        <v>261</v>
      </c>
      <c r="R36" s="140" t="s">
        <v>83</v>
      </c>
    </row>
    <row r="37" spans="17:18" ht="30" customHeight="1">
      <c r="Q37" s="84" t="s">
        <v>326</v>
      </c>
      <c r="R37" s="84" t="s">
        <v>327</v>
      </c>
    </row>
    <row r="38" spans="17:18" ht="30" customHeight="1">
      <c r="Q38" s="56" t="s">
        <v>332</v>
      </c>
      <c r="R38" s="56" t="s">
        <v>333</v>
      </c>
    </row>
    <row r="39" spans="17:18" ht="30" customHeight="1">
      <c r="Q39" s="56" t="s">
        <v>334</v>
      </c>
      <c r="R39" s="56" t="s">
        <v>335</v>
      </c>
    </row>
    <row r="40" spans="17:18" ht="30" customHeight="1">
      <c r="Q40" s="56" t="s">
        <v>336</v>
      </c>
      <c r="R40" s="56" t="s">
        <v>337</v>
      </c>
    </row>
    <row r="41" spans="17:18" ht="30" customHeight="1">
      <c r="Q41" s="141" t="s">
        <v>338</v>
      </c>
      <c r="R41" s="141" t="s">
        <v>339</v>
      </c>
    </row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>
      <selection activeCell="I30" sqref="I30"/>
    </sheetView>
  </sheetViews>
  <sheetFormatPr baseColWidth="10" defaultColWidth="10.83203125" defaultRowHeight="13"/>
  <cols>
    <col min="1" max="8" width="10.83203125" style="29"/>
    <col min="9" max="9" width="27" style="29" customWidth="1"/>
    <col min="10" max="10" width="4.5" style="29" customWidth="1"/>
    <col min="11" max="16384" width="10.83203125" style="29"/>
  </cols>
  <sheetData>
    <row r="24" spans="8:11">
      <c r="H24" s="29" t="s">
        <v>167</v>
      </c>
    </row>
    <row r="26" spans="8:11">
      <c r="H26" s="42"/>
      <c r="I26" s="43"/>
      <c r="J26" s="43"/>
      <c r="K26" s="44"/>
    </row>
    <row r="27" spans="8:11">
      <c r="H27" s="45"/>
      <c r="K27" s="46"/>
    </row>
    <row r="28" spans="8:11">
      <c r="H28" s="51" t="s">
        <v>165</v>
      </c>
      <c r="I28" s="50"/>
      <c r="K28" s="46"/>
    </row>
    <row r="29" spans="8:11">
      <c r="H29" s="51"/>
      <c r="K29" s="46"/>
    </row>
    <row r="30" spans="8:11">
      <c r="H30" s="51" t="s">
        <v>166</v>
      </c>
      <c r="I30" s="50"/>
      <c r="K30" s="46"/>
    </row>
    <row r="31" spans="8:11">
      <c r="H31" s="45"/>
      <c r="K31" s="46"/>
    </row>
    <row r="32" spans="8:11">
      <c r="H32" s="47"/>
      <c r="I32" s="48"/>
      <c r="J32" s="48"/>
      <c r="K32" s="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154</vt:i4>
      </vt:variant>
    </vt:vector>
  </HeadingPairs>
  <TitlesOfParts>
    <vt:vector size="16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ACT_CONTRE_RUCK</vt:lpstr>
      <vt:lpstr>ACT_EN_AVANT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2026-08-05T17:17:59Z</dcterms:modified>
</cp:coreProperties>
</file>