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Desktop/STATS/"/>
    </mc:Choice>
  </mc:AlternateContent>
  <xr:revisionPtr revIDLastSave="0" documentId="13_ncr:1_{E072ADC3-A737-1F41-8B5D-A6809155DA46}" xr6:coauthVersionLast="47" xr6:coauthVersionMax="47" xr10:uidLastSave="{00000000-0000-0000-0000-000000000000}"/>
  <bookViews>
    <workbookView xWindow="17120" yWindow="700" windowWidth="17160" windowHeight="16960" activeTab="2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LstEquipesPoule[EQUIPES_POULE]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" l="1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<sst xmlns="http://schemas.openxmlformats.org/spreadsheetml/2006/main" count="477" uniqueCount="368">
  <si>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</si>
  <si>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</si>
  <si>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</si>
  <si>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</si>
  <si>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</si>
  <si>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</si>
  <si>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</si>
  <si>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</si>
  <si>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</si>
  <si>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</si>
  <si>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</si>
  <si>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</si>
  <si>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</si>
  <si>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</si>
  <si>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</si>
  <si>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</si>
  <si>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</si>
  <si>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</si>
  <si>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</si>
  <si>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</si>
  <si>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</si>
  <si>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</si>
  <si>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</si>
  <si>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</si>
  <si>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</si>
  <si>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</si>
  <si>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</si>
  <si>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</si>
  <si>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</si>
  <si>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</si>
  <si>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</si>
  <si>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</si>
  <si>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</si>
  <si>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</si>
  <si>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</si>
  <si>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</si>
  <si>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</si>
  <si>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</si>
  <si>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</si>
  <si>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</si>
  <si>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</si>
  <si>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</si>
  <si>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</si>
  <si>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</si>
  <si>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</si>
  <si>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</si>
  <si>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</si>
  <si>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</si>
  <si>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</si>
  <si>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</si>
  <si>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</si>
  <si>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</si>
  <si>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</si>
  <si>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</si>
  <si>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</si>
  <si>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</si>
  <si>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</si>
  <si>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</si>
  <si>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</si>
  <si>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</si>
  <si>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</si>
  <si>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</si>
  <si>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</si>
  <si>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</si>
  <si>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</si>
  <si>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</si>
  <si>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</si>
  <si>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</si>
  <si>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</si>
  <si>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</si>
  <si>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</si>
  <si>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</si>
  <si>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</si>
  <si>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</si>
  <si>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</si>
  <si>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</si>
  <si>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</si>
  <si>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</si>
  <si>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</si>
  <si>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</si>
  <si>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</si>
  <si>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</si>
  <si>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</si>
  <si>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</si>
  <si>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</si>
  <si>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</si>
  <si>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</si>
  <si>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</si>
  <si>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</si>
  <si>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</si>
  <si>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</si>
  <si>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</si>
  <si>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</si>
  <si>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</si>
  <si>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</si>
  <si>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</si>
  <si>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</si>
  <si>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</si>
  <si>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</si>
  <si>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</si>
  <si>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</si>
  <si>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</si>
  <si>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</si>
  <si>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</si>
  <si>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</si>
  <si>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</si>
  <si>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</si>
  <si>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</si>
  <si>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</si>
  <si>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</si>
  <si>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</si>
  <si>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</si>
  <si>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</si>
  <si>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</si>
  <si>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</si>
  <si>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</si>
  <si>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</si>
  <si>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</si>
  <si>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</si>
  <si>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</si>
  <si>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</si>
  <si>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</si>
  <si>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</si>
  <si>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</si>
  <si>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</si>
  <si>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</si>
  <si>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</si>
  <si>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</si>
  <si>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</si>
  <si>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</si>
  <si>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</si>
  <si>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</si>
  <si>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</si>
  <si>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</si>
  <si>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</si>
  <si>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</si>
  <si>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</si>
  <si>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</si>
  <si>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</si>
  <si>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</si>
  <si>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</si>
  <si>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</si>
  <si>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</si>
  <si>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</si>
  <si>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</si>
  <si>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</si>
  <si>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</si>
  <si>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</si>
  <si>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</si>
  <si>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</si>
  <si>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</si>
  <si>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</si>
  <si>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</si>
  <si>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</si>
  <si>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</si>
  <si>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</si>
  <si>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</si>
  <si>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</si>
  <si>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</si>
  <si>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</si>
  <si>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</si>
  <si>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</si>
  <si>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</si>
  <si>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</si>
  <si>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</si>
  <si>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</si>
  <si>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</si>
  <si>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</si>
  <si>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</si>
  <si>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</si>
  <si>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</si>
  <si>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</si>
  <si>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</si>
  <si>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</si>
  <si>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</si>
  <si>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</si>
  <si>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</si>
  <si>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</si>
  <si>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</si>
  <si>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</si>
  <si>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</si>
  <si>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</si>
  <si>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</si>
  <si>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</si>
  <si>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</si>
  <si>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</si>
  <si>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</si>
  <si>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</si>
  <si>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</si>
  <si>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</si>
  <si>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</si>
  <si>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</si>
  <si>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</si>
  <si>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</si>
  <si>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</si>
  <si>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</si>
  <si>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</si>
  <si>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</si>
  <si>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</si>
  <si>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</si>
  <si>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</si>
  <si>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</si>
  <si>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</si>
  <si>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</si>
  <si>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</si>
  <si>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</si>
  <si>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</si>
  <si>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</si>
  <si>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</si>
  <si>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</si>
  <si>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</si>
  <si>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</si>
  <si>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</si>
  <si>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</si>
  <si>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</si>
  <si>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</si>
  <si>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</si>
  <si>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</si>
  <si>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</si>
  <si>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</si>
  <si>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</si>
  <si>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</si>
  <si>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</si>
  <si>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</si>
  <si>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</si>
  <si>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</si>
  <si>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</si>
  <si>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</si>
  <si>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</si>
  <si>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</si>
  <si>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</si>
  <si>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</si>
  <si>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</si>
  <si>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</si>
  <si>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</si>
  <si>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</si>
  <si>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</si>
  <si>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</si>
  <si>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</si>
  <si>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</si>
  <si>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</si>
  <si>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</si>
  <si>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</si>
  <si>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</si>
  <si>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</si>
  <si>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</si>
  <si>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</si>
  <si>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</si>
  <si>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</si>
  <si>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</si>
  <si>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</si>
  <si>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</si>
  <si>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</si>
  <si>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</si>
  <si>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</si>
  <si>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</si>
  <si>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</si>
  <si>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</si>
  <si>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</si>
  <si>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</si>
  <si>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</si>
  <si>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</si>
  <si>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</si>
  <si>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</si>
  <si>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</si>
  <si>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</si>
  <si>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</si>
  <si>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</si>
  <si>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</si>
  <si>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</si>
  <si>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</si>
  <si>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</si>
  <si>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</si>
  <si>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</si>
  <si>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</si>
  <si>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</si>
  <si>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</si>
  <si>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</si>
  <si>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</si>
  <si>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</si>
  <si>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</si>
  <si>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</si>
  <si>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</si>
  <si>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</si>
  <si>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</si>
  <si>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</si>
  <si>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</si>
  <si>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</si>
  <si>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</si>
  <si>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</si>
  <si>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</si>
  <si>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</si>
  <si>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</si>
  <si>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</si>
  <si>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</si>
  <si>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</si>
  <si>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</si>
  <si>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</si>
  <si>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</si>
  <si>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</si>
  <si>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Durée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</si>
  <si>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</si>
  <si>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</si>
  <si>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</si>
  <si>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</si>
  <si>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</si>
  <si>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</si>
  <si>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</si>
  <si>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</si>
  <si>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</si>
  <si>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</si>
  <si>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</si>
  <si>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</si>
  <si>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</si>
  <si>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</si>
  <si>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</si>
  <si>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</si>
  <si>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</si>
  <si>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</si>
  <si>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</si>
  <si>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</si>
  <si>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</si>
  <si>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</si>
  <si>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</si>
  <si>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</si>
  <si>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</si>
  <si>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</si>
  <si>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Christian</t>
  </si>
  <si>
    <t>CALIFANO</t>
  </si>
  <si>
    <t>Guilhem</t>
  </si>
  <si>
    <t>GUIRADO</t>
  </si>
  <si>
    <t>MAS</t>
  </si>
  <si>
    <t>Olivier</t>
  </si>
  <si>
    <t>MERLE</t>
  </si>
  <si>
    <t>Thibaut</t>
  </si>
  <si>
    <t>FLAMENT</t>
  </si>
  <si>
    <t>Serge</t>
  </si>
  <si>
    <t>BETSEN</t>
  </si>
  <si>
    <t>Thierry</t>
  </si>
  <si>
    <t>DUSSAUTOIR</t>
  </si>
  <si>
    <t>PICAMOLES</t>
  </si>
  <si>
    <t>Antoine</t>
  </si>
  <si>
    <t>DUPONT</t>
  </si>
  <si>
    <t>Frederic</t>
  </si>
  <si>
    <t>MICHALACK</t>
  </si>
  <si>
    <t>Vincent</t>
  </si>
  <si>
    <t>CLERC</t>
  </si>
  <si>
    <t>Yannick</t>
  </si>
  <si>
    <t>JAUZION</t>
  </si>
  <si>
    <t>Mathieu</t>
  </si>
  <si>
    <t>BASTAREAUD</t>
  </si>
  <si>
    <t>Aurélien</t>
  </si>
  <si>
    <t>ROUGERIE</t>
  </si>
  <si>
    <t>RAMOS</t>
  </si>
  <si>
    <t>MOSCATO</t>
  </si>
  <si>
    <t>Jean-Pierre</t>
  </si>
  <si>
    <t>GARUET</t>
  </si>
  <si>
    <t>Uini</t>
  </si>
  <si>
    <t>ATONIO</t>
  </si>
  <si>
    <t>Yohan</t>
  </si>
  <si>
    <t>MAESTRI</t>
  </si>
  <si>
    <t>ALDRITT</t>
  </si>
  <si>
    <t>Arnaud</t>
  </si>
  <si>
    <t>MIGNARDI</t>
  </si>
  <si>
    <t>BIELLE-BARREY</t>
  </si>
  <si>
    <t>FC Teteaclac</t>
  </si>
  <si>
    <t>RC Sauçouze</t>
  </si>
  <si>
    <t>US Escamat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</si>
</sst>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6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14" fontId="0" fillId="0" borderId="0" xfId="0" applyNumberFormat="1"/>
    <xf numFmtId="22" fontId="0" fillId="0" borderId="0" xfId="0" applyNumberFormat="1"/>
    <xf numFmtId="0" fontId="0" fillId="17" borderId="80" xfId="0" applyFill="1" applyBorder="1"/>
    <xf numFmtId="0" fontId="0" fillId="17" borderId="87" xfId="0" applyFill="1" applyBorder="1"/>
    <xf numFmtId="0" fontId="0" fillId="17" borderId="71" xfId="0" applyFill="1" applyBorder="1" applyAlignment="1">
      <alignment horizontal="center" vertical="center"/>
    </xf>
    <xf numFmtId="0" fontId="42" fillId="0" borderId="0" xfId="0" applyFont="1" applyAlignment="1">
      <alignment wrapText="1"/>
    </xf>
    <xf numFmtId="0" fontId="0" fillId="17" borderId="93" xfId="0" applyFill="1" applyBorder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0" fillId="17" borderId="97" xfId="0" applyFill="1" applyBorder="1"/>
    <xf numFmtId="0" fontId="0" fillId="17" borderId="96" xfId="0" applyFill="1" applyBorder="1" applyAlignment="1">
      <alignment horizontal="right"/>
    </xf>
    <xf numFmtId="0" fontId="0" fillId="17" borderId="98" xfId="0" applyFill="1" applyBorder="1"/>
    <xf numFmtId="0" fontId="0" fillId="17" borderId="99" xfId="0" applyFill="1" applyBorder="1"/>
    <xf numFmtId="0" fontId="0" fillId="17" borderId="100" xfId="0" applyFill="1" applyBorder="1"/>
    <xf numFmtId="0" fontId="0" fillId="17" borderId="45" xfId="0" applyFill="1" applyBorder="1"/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  <xf numFmtId="0" fontId="3" fillId="24" borderId="55" xfId="0" applyNumberFormat="1" applyFont="1" applyFill="1" applyBorder="1" applyAlignment="1" applyProtection="1">
      <alignment horizontal="center" vertical="center"/>
    </xf>
    <xf numFmtId="0" fontId="3" fillId="24" borderId="79" xfId="0" applyNumberFormat="1" applyFont="1" applyFill="1" applyBorder="1" applyAlignment="1" applyProtection="1">
      <alignment horizontal="center" vertical="center"/>
    </xf>
    <xf numFmtId="0" fontId="3" fillId="9" borderId="2" xfId="0" applyNumberFormat="1" applyFont="1" applyFill="1" applyBorder="1" applyAlignment="1" applyProtection="1">
      <alignment horizontal="center" vertical="center" wrapText="1"/>
    </xf>
    <xf numFmtId="0" fontId="19" fillId="12" borderId="2" xfId="0" applyNumberFormat="1" applyFont="1" applyFill="1" applyBorder="1" applyAlignment="1" applyProtection="1">
      <alignment horizontal="center" vertical="center" wrapText="1"/>
    </xf>
    <xf numFmtId="0" fontId="19" fillId="23" borderId="85" xfId="0" applyNumberFormat="1" applyFont="1" applyFill="1" applyBorder="1" applyAlignment="1" applyProtection="1">
      <alignment horizontal="center" vertical="center" wrapText="1"/>
    </xf>
    <xf numFmtId="0" fontId="19" fillId="14" borderId="2" xfId="0" applyNumberFormat="1" applyFont="1" applyFill="1" applyBorder="1" applyAlignment="1" applyProtection="1">
      <alignment horizontal="center" vertical="center" wrapText="1"/>
    </xf>
    <xf numFmtId="0" fontId="19" fillId="23" borderId="2" xfId="0" applyNumberFormat="1" applyFont="1" applyFill="1" applyBorder="1" applyAlignment="1" applyProtection="1">
      <alignment horizontal="center" vertical="center" wrapText="1"/>
    </xf>
    <xf numFmtId="0" fontId="19" fillId="15" borderId="2" xfId="0" applyNumberFormat="1" applyFont="1" applyFill="1" applyBorder="1" applyAlignment="1" applyProtection="1">
      <alignment horizontal="center" vertical="center" wrapText="1"/>
    </xf>
    <xf numFmtId="0" fontId="19" fillId="11" borderId="2" xfId="0" applyNumberFormat="1" applyFont="1" applyFill="1" applyBorder="1" applyAlignment="1" applyProtection="1">
      <alignment horizontal="center" vertical="center" wrapText="1"/>
    </xf>
    <xf numFmtId="0" fontId="19" fillId="23" borderId="86" xfId="0" applyNumberFormat="1" applyFont="1" applyFill="1" applyBorder="1" applyAlignment="1" applyProtection="1">
      <alignment horizontal="center" vertical="center" wrapText="1"/>
    </xf>
    <xf numFmtId="0" fontId="0" fillId="0" borderId="25" xfId="0" applyFill="1" applyBorder="1"/>
    <xf numFmtId="0" fontId="0" fillId="0" borderId="88" xfId="0" applyFill="1" applyBorder="1"/>
    <xf numFmtId="0" fontId="0" fillId="0" borderId="53" xfId="0" applyFill="1" applyBorder="1"/>
    <xf numFmtId="0" fontId="0" fillId="0" borderId="54" xfId="0" applyFill="1" applyBorder="1"/>
    <xf numFmtId="0" fontId="3" fillId="24" borderId="56" xfId="0" applyNumberFormat="1" applyFont="1" applyFill="1" applyBorder="1" applyAlignment="1" applyProtection="1">
      <alignment horizontal="center" vertical="center"/>
    </xf>
    <xf numFmtId="0" fontId="0" fillId="0" borderId="57" xfId="0" applyFill="1" applyBorder="1"/>
    <xf numFmtId="0" fontId="0" fillId="0" borderId="58" xfId="0" applyFill="1" applyBorder="1"/>
    <xf numFmtId="0" fontId="3" fillId="24" borderId="60" xfId="0" applyNumberFormat="1" applyFont="1" applyFill="1" applyBorder="1" applyAlignment="1" applyProtection="1">
      <alignment horizontal="center" vertical="center"/>
    </xf>
    <xf numFmtId="0" fontId="0" fillId="0" borderId="72" xfId="0" applyFill="1" applyBorder="1"/>
    <xf numFmtId="0" fontId="0" fillId="0" borderId="55" xfId="0" applyFill="1" applyBorder="1"/>
    <xf numFmtId="0" fontId="0" fillId="0" borderId="56" xfId="0" applyFill="1" applyBorder="1"/>
    <xf numFmtId="0" fontId="3" fillId="24" borderId="71" xfId="0" applyNumberFormat="1" applyFont="1" applyFill="1" applyBorder="1" applyAlignment="1" applyProtection="1">
      <alignment horizontal="center" vertical="center"/>
    </xf>
    <xf numFmtId="0" fontId="3" fillId="24" borderId="0" xfId="0" applyNumberFormat="1" applyFont="1" applyFill="1" applyBorder="1" applyAlignment="1" applyProtection="1">
      <alignment horizontal="center" vertical="center"/>
    </xf>
    <xf numFmtId="0" fontId="0" fillId="0" borderId="73" xfId="0" applyFill="1" applyBorder="1"/>
    <xf numFmtId="0" fontId="0" fillId="0" borderId="60" xfId="0" applyFill="1" applyBorder="1"/>
    <xf numFmtId="0" fontId="0" fillId="0" borderId="74" xfId="0" applyFill="1" applyBorder="1"/>
    <xf numFmtId="0" fontId="0" fillId="0" borderId="68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0" xfId="0" applyFill="1" applyBorder="1"/>
    <xf numFmtId="0" fontId="19" fillId="23" borderId="101" xfId="0" applyNumberFormat="1" applyFont="1" applyFill="1" applyBorder="1" applyAlignment="1" applyProtection="1">
      <alignment horizontal="center" vertical="center" wrapText="1"/>
    </xf>
    <xf numFmtId="0" fontId="0" fillId="0" borderId="59" xfId="0" applyFill="1" applyBorder="1"/>
    <xf numFmtId="0" fontId="0" fillId="0" borderId="61" xfId="0" applyFill="1" applyBorder="1"/>
    <xf numFmtId="0" fontId="0" fillId="0" borderId="71" xfId="0" applyFill="1" applyBorder="1"/>
    <xf numFmtId="0" fontId="0" fillId="0" borderId="80" xfId="0" applyFill="1" applyBorder="1"/>
    <xf numFmtId="0" fontId="0" fillId="0" borderId="78" xfId="0" applyFill="1" applyBorder="1"/>
    <xf numFmtId="0" fontId="0" fillId="0" borderId="89" xfId="0" applyFill="1" applyBorder="1"/>
    <xf numFmtId="0" fontId="0" fillId="0" borderId="82" xfId="0" applyFill="1" applyBorder="1"/>
    <xf numFmtId="0" fontId="0" fillId="0" borderId="81" xfId="0" applyFill="1" applyBorder="1"/>
    <xf numFmtId="0" fontId="0" fillId="0" borderId="83" xfId="0" applyFill="1" applyBorder="1"/>
    <xf numFmtId="0" fontId="3" fillId="24" borderId="60" xfId="0" applyNumberFormat="1" applyFont="1" applyFill="1" applyBorder="1" applyAlignment="1" applyProtection="1">
      <alignment horizontal="center" vertical="center" wrapText="1"/>
    </xf>
    <xf numFmtId="0" fontId="3" fillId="24" borderId="71" xfId="0" applyNumberFormat="1" applyFont="1" applyFill="1" applyBorder="1" applyAlignment="1" applyProtection="1">
      <alignment horizontal="center" vertical="center" wrapText="1"/>
    </xf>
    <xf numFmtId="0" fontId="3" fillId="24" borderId="0" xfId="0" applyNumberFormat="1" applyFont="1" applyFill="1" applyBorder="1" applyAlignment="1" applyProtection="1">
      <alignment horizontal="center" vertical="center" wrapText="1"/>
    </xf>
    <xf numFmtId="0" fontId="8" fillId="10" borderId="0" xfId="0" applyNumberFormat="1" applyFont="1" applyFill="1" applyBorder="1" applyAlignment="1" applyProtection="1">
      <alignment horizontal="center" vertical="center" wrapText="1"/>
    </xf>
    <xf numFmtId="0" fontId="19" fillId="10" borderId="0" xfId="0" applyNumberFormat="1" applyFont="1" applyFill="1" applyBorder="1" applyAlignment="1" applyProtection="1">
      <alignment horizontal="center" vertical="center" wrapText="1"/>
    </xf>
    <xf numFmtId="0" fontId="0" fillId="0" borderId="90" xfId="0" applyFill="1" applyBorder="1"/>
    <xf numFmtId="0" fontId="0" fillId="0" borderId="91" xfId="0" applyFill="1" applyBorder="1"/>
    <xf numFmtId="0" fontId="39" fillId="16" borderId="0" xfId="0" applyNumberFormat="1" applyFont="1" applyFill="1" applyBorder="1" applyAlignment="1" applyProtection="1">
      <alignment horizontal="left" vertical="center"/>
    </xf>
    <xf numFmtId="165" fontId="40" fillId="10" borderId="60" xfId="0" applyNumberFormat="1" applyFont="1" applyFill="1" applyBorder="1" applyAlignment="1" applyProtection="1">
      <alignment horizontal="center" vertical="center"/>
    </xf>
    <xf numFmtId="165" fontId="40" fillId="10" borderId="71" xfId="0" applyNumberFormat="1" applyFont="1" applyFill="1" applyBorder="1" applyAlignment="1" applyProtection="1">
      <alignment horizontal="center" vertical="center"/>
    </xf>
    <xf numFmtId="165" fontId="40" fillId="10" borderId="0" xfId="0" applyNumberFormat="1" applyFont="1" applyFill="1" applyBorder="1" applyAlignment="1" applyProtection="1">
      <alignment horizontal="center" vertical="center"/>
    </xf>
    <xf numFmtId="0" fontId="0" fillId="0" borderId="92" xfId="0" applyFill="1" applyBorder="1"/>
    <xf numFmtId="0" fontId="9" fillId="18" borderId="0" xfId="0" applyNumberFormat="1" applyFont="1" applyFill="1" applyBorder="1" applyAlignment="1" applyProtection="1">
      <alignment horizontal="center" vertical="center"/>
    </xf>
    <xf numFmtId="0" fontId="41" fillId="18" borderId="0" xfId="0" applyNumberFormat="1" applyFont="1" applyFill="1" applyBorder="1" applyAlignment="1" applyProtection="1">
      <alignment horizontal="center" vertical="center"/>
    </xf>
    <xf numFmtId="0" fontId="19" fillId="13" borderId="0" xfId="0" applyNumberFormat="1" applyFont="1" applyFill="1" applyBorder="1" applyAlignment="1" applyProtection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112907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57357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3" totalsRowShown="0" headerRowDxfId="55" dataDxfId="54">
  <autoFilter ref="A1:E23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53"/>
    <tableColumn id="2" xr3:uid="{0C1B8A30-A3B8-DA4D-B893-C4C99FF33E90}" name="nom" dataDxfId="52"/>
    <tableColumn id="3" xr3:uid="{8AE5AF32-0026-9B41-8B0B-16B9ED0F3727}" name="prenom" dataDxfId="51"/>
    <tableColumn id="4" xr3:uid="{4CE41A86-7158-6B42-B932-A5275F10AB48}" name="prenom NOM" dataDxfId="50">
      <calculatedColumnFormula>LstEffectif[[#This Row],[prenom]] &amp; " " &amp; LstEffectif[[#This Row],[nom]]</calculatedColumnFormula>
    </tableColumn>
    <tableColumn id="5" xr3:uid="{EB017694-E6D2-7440-91BF-61113926AB7D}" name="NOM Prénom" dataDxfId="49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4" totalsRowShown="0" headerRowDxfId="48" dataDxfId="47">
  <autoFilter ref="I1:I4" xr:uid="{037D6424-D1EC-894D-B963-D36ABCA682C4}"/>
  <tableColumns count="1">
    <tableColumn id="1" xr3:uid="{63806632-B9ED-294D-800A-F2FDB2EC48D2}" name="EQUIPES_POULE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5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4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3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35" dataDxfId="33" headerRowBorderDxfId="34" tableBorderDxfId="32" totalsRowBorderDxfId="31">
  <autoFilter ref="Q1:R50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4" dataDxfId="13">
  <autoFilter ref="C6:C9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1" dataDxfId="10">
  <autoFilter ref="C11:C14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8" dataDxfId="7">
  <autoFilter ref="C16:C20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H20" sqref="H20"/>
    </sheetView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241</v>
      </c>
    </row>
    <row r="2" spans="1:9" ht="14">
      <c r="A2">
        <v>1</v>
      </c>
      <c r="B2" s="157" t="s">
        <v>328</v>
      </c>
      <c r="C2" s="157" t="s">
        <v>327</v>
      </c>
      <c r="D2" t="str">
        <f>LstEffectif[[#This Row],[prenom]] &amp; " " &amp; LstEffectif[[#This Row],[nom]]</f>
        <v>Christian CALIFANO</v>
      </c>
      <c r="E2" t="str">
        <f>LstEffectif[[#This Row],[nom]] &amp; " " &amp; LstEffectif[[#This Row],[prenom]]</f>
        <v>CALIFANO Christian</v>
      </c>
      <c r="I2" t="s">
        <v>366</v>
      </c>
    </row>
    <row r="3" spans="1:9" ht="14">
      <c r="A3">
        <v>2</v>
      </c>
      <c r="B3" s="157" t="s">
        <v>330</v>
      </c>
      <c r="C3" s="157" t="s">
        <v>329</v>
      </c>
      <c r="D3" t="str">
        <f>LstEffectif[[#This Row],[prenom]] &amp; " " &amp; LstEffectif[[#This Row],[nom]]</f>
        <v>Guilhem GUIRADO</v>
      </c>
      <c r="E3" t="str">
        <f>LstEffectif[[#This Row],[nom]] &amp; " " &amp; LstEffectif[[#This Row],[prenom]]</f>
        <v>GUIRADO Guilhem</v>
      </c>
      <c r="I3" t="s">
        <v>365</v>
      </c>
    </row>
    <row r="4" spans="1:9" ht="14">
      <c r="A4">
        <v>3</v>
      </c>
      <c r="B4" s="157" t="s">
        <v>331</v>
      </c>
      <c r="C4" s="157" t="s">
        <v>325</v>
      </c>
      <c r="D4" t="str">
        <f>LstEffectif[[#This Row],[prenom]] &amp; " " &amp; LstEffectif[[#This Row],[nom]]</f>
        <v>Nicolas MAS</v>
      </c>
      <c r="E4" t="str">
        <f>LstEffectif[[#This Row],[nom]] &amp; " " &amp; LstEffectif[[#This Row],[prenom]]</f>
        <v>MAS Nicolas</v>
      </c>
      <c r="I4" t="s">
        <v>367</v>
      </c>
    </row>
    <row r="5" spans="1:9" ht="14">
      <c r="A5">
        <v>4</v>
      </c>
      <c r="B5" s="157" t="s">
        <v>333</v>
      </c>
      <c r="C5" s="157" t="s">
        <v>332</v>
      </c>
      <c r="D5" t="str">
        <f>LstEffectif[[#This Row],[prenom]] &amp; " " &amp; LstEffectif[[#This Row],[nom]]</f>
        <v>Olivier MERLE</v>
      </c>
      <c r="E5" t="str">
        <f>LstEffectif[[#This Row],[nom]] &amp; " " &amp; LstEffectif[[#This Row],[prenom]]</f>
        <v>MERLE Olivier</v>
      </c>
    </row>
    <row r="6" spans="1:9" ht="14">
      <c r="A6">
        <v>5</v>
      </c>
      <c r="B6" s="157" t="s">
        <v>335</v>
      </c>
      <c r="C6" s="157" t="s">
        <v>334</v>
      </c>
      <c r="D6" t="str">
        <f>LstEffectif[[#This Row],[prenom]] &amp; " " &amp; LstEffectif[[#This Row],[nom]]</f>
        <v>Thibaut FLAMENT</v>
      </c>
      <c r="E6" t="str">
        <f>LstEffectif[[#This Row],[nom]] &amp; " " &amp; LstEffectif[[#This Row],[prenom]]</f>
        <v>FLAMENT Thibaut</v>
      </c>
    </row>
    <row r="7" spans="1:9" ht="14">
      <c r="A7">
        <v>6</v>
      </c>
      <c r="B7" s="157" t="s">
        <v>337</v>
      </c>
      <c r="C7" s="157" t="s">
        <v>336</v>
      </c>
      <c r="D7" t="str">
        <f>LstEffectif[[#This Row],[prenom]] &amp; " " &amp; LstEffectif[[#This Row],[nom]]</f>
        <v>Serge BETSEN</v>
      </c>
      <c r="E7" t="str">
        <f>LstEffectif[[#This Row],[nom]] &amp; " " &amp; LstEffectif[[#This Row],[prenom]]</f>
        <v>BETSEN Serge</v>
      </c>
    </row>
    <row r="8" spans="1:9" ht="14">
      <c r="A8">
        <v>7</v>
      </c>
      <c r="B8" s="157" t="s">
        <v>339</v>
      </c>
      <c r="C8" s="157" t="s">
        <v>338</v>
      </c>
      <c r="D8" t="str">
        <f>LstEffectif[[#This Row],[prenom]] &amp; " " &amp; LstEffectif[[#This Row],[nom]]</f>
        <v>Thierry DUSSAUTOIR</v>
      </c>
      <c r="E8" t="str">
        <f>LstEffectif[[#This Row],[nom]] &amp; " " &amp; LstEffectif[[#This Row],[prenom]]</f>
        <v>DUSSAUTOIR Thierry</v>
      </c>
    </row>
    <row r="9" spans="1:9" ht="14">
      <c r="A9">
        <v>8</v>
      </c>
      <c r="B9" s="157" t="s">
        <v>340</v>
      </c>
      <c r="C9" s="157" t="s">
        <v>326</v>
      </c>
      <c r="D9" t="str">
        <f>LstEffectif[[#This Row],[prenom]] &amp; " " &amp; LstEffectif[[#This Row],[nom]]</f>
        <v>Louis PICAMOLES</v>
      </c>
      <c r="E9" t="str">
        <f>LstEffectif[[#This Row],[nom]] &amp; " " &amp; LstEffectif[[#This Row],[prenom]]</f>
        <v>PICAMOLES Louis</v>
      </c>
    </row>
    <row r="10" spans="1:9" ht="14">
      <c r="A10">
        <v>9</v>
      </c>
      <c r="B10" s="157" t="s">
        <v>342</v>
      </c>
      <c r="C10" s="157" t="s">
        <v>341</v>
      </c>
      <c r="D10" t="str">
        <f>LstEffectif[[#This Row],[prenom]] &amp; " " &amp; LstEffectif[[#This Row],[nom]]</f>
        <v>Antoine DUPONT</v>
      </c>
      <c r="E10" t="str">
        <f>LstEffectif[[#This Row],[nom]] &amp; " " &amp; LstEffectif[[#This Row],[prenom]]</f>
        <v>DUPONT Antoine</v>
      </c>
    </row>
    <row r="11" spans="1:9" ht="14">
      <c r="A11">
        <v>10</v>
      </c>
      <c r="B11" s="157" t="s">
        <v>344</v>
      </c>
      <c r="C11" s="157" t="s">
        <v>343</v>
      </c>
      <c r="D11" t="str">
        <f>LstEffectif[[#This Row],[prenom]] &amp; " " &amp; LstEffectif[[#This Row],[nom]]</f>
        <v>Frederic MICHALACK</v>
      </c>
      <c r="E11" t="str">
        <f>LstEffectif[[#This Row],[nom]] &amp; " " &amp; LstEffectif[[#This Row],[prenom]]</f>
        <v>MICHALACK Frederic</v>
      </c>
    </row>
    <row r="12" spans="1:9" ht="14">
      <c r="A12">
        <v>11</v>
      </c>
      <c r="B12" s="157" t="s">
        <v>346</v>
      </c>
      <c r="C12" s="157" t="s">
        <v>345</v>
      </c>
      <c r="D12" t="str">
        <f>LstEffectif[[#This Row],[prenom]] &amp; " " &amp; LstEffectif[[#This Row],[nom]]</f>
        <v>Vincent CLERC</v>
      </c>
      <c r="E12" t="str">
        <f>LstEffectif[[#This Row],[nom]] &amp; " " &amp; LstEffectif[[#This Row],[prenom]]</f>
        <v>CLERC Vincent</v>
      </c>
    </row>
    <row r="13" spans="1:9" ht="14">
      <c r="A13">
        <v>12</v>
      </c>
      <c r="B13" s="157" t="s">
        <v>348</v>
      </c>
      <c r="C13" s="157" t="s">
        <v>347</v>
      </c>
      <c r="D13" t="str">
        <f>LstEffectif[[#This Row],[prenom]] &amp; " " &amp; LstEffectif[[#This Row],[nom]]</f>
        <v>Yannick JAUZION</v>
      </c>
      <c r="E13" t="str">
        <f>LstEffectif[[#This Row],[nom]] &amp; " " &amp; LstEffectif[[#This Row],[prenom]]</f>
        <v>JAUZION Yannick</v>
      </c>
    </row>
    <row r="14" spans="1:9" ht="14">
      <c r="A14">
        <v>13</v>
      </c>
      <c r="B14" s="157" t="s">
        <v>350</v>
      </c>
      <c r="C14" s="157" t="s">
        <v>349</v>
      </c>
      <c r="D14" t="str">
        <f>LstEffectif[[#This Row],[prenom]] &amp; " " &amp; LstEffectif[[#This Row],[nom]]</f>
        <v>Mathieu BASTAREAUD</v>
      </c>
      <c r="E14" t="str">
        <f>LstEffectif[[#This Row],[nom]] &amp; " " &amp; LstEffectif[[#This Row],[prenom]]</f>
        <v>BASTAREAUD Mathieu</v>
      </c>
    </row>
    <row r="15" spans="1:9" ht="14">
      <c r="A15">
        <v>14</v>
      </c>
      <c r="B15" s="157" t="s">
        <v>352</v>
      </c>
      <c r="C15" s="157" t="s">
        <v>351</v>
      </c>
      <c r="D15" t="str">
        <f>LstEffectif[[#This Row],[prenom]] &amp; " " &amp; LstEffectif[[#This Row],[nom]]</f>
        <v>Aurélien ROUGERIE</v>
      </c>
      <c r="E15" t="str">
        <f>LstEffectif[[#This Row],[nom]] &amp; " " &amp; LstEffectif[[#This Row],[prenom]]</f>
        <v>ROUGERIE Aurélien</v>
      </c>
    </row>
    <row r="16" spans="1:9" ht="14">
      <c r="A16">
        <v>15</v>
      </c>
      <c r="B16" s="157" t="s">
        <v>353</v>
      </c>
      <c r="C16" s="157" t="s">
        <v>124</v>
      </c>
      <c r="D16" t="str">
        <f>LstEffectif[[#This Row],[prenom]] &amp; " " &amp; LstEffectif[[#This Row],[nom]]</f>
        <v>Thomas RAMOS</v>
      </c>
      <c r="E16" t="str">
        <f>LstEffectif[[#This Row],[nom]] &amp; " " &amp; LstEffectif[[#This Row],[prenom]]</f>
        <v>RAMOS Thomas</v>
      </c>
    </row>
    <row r="17" spans="1:5" ht="14">
      <c r="A17">
        <v>16</v>
      </c>
      <c r="B17" s="157" t="s">
        <v>354</v>
      </c>
      <c r="C17" s="157" t="s">
        <v>345</v>
      </c>
      <c r="D17" t="str">
        <f>LstEffectif[[#This Row],[prenom]] &amp; " " &amp; LstEffectif[[#This Row],[nom]]</f>
        <v>Vincent MOSCATO</v>
      </c>
      <c r="E17" t="str">
        <f>LstEffectif[[#This Row],[nom]] &amp; " " &amp; LstEffectif[[#This Row],[prenom]]</f>
        <v>MOSCATO Vincent</v>
      </c>
    </row>
    <row r="18" spans="1:5" ht="14">
      <c r="A18">
        <v>17</v>
      </c>
      <c r="B18" s="157" t="s">
        <v>356</v>
      </c>
      <c r="C18" s="157" t="s">
        <v>355</v>
      </c>
      <c r="D18" t="str">
        <f>LstEffectif[[#This Row],[prenom]] &amp; " " &amp; LstEffectif[[#This Row],[nom]]</f>
        <v>Jean-Pierre GARUET</v>
      </c>
      <c r="E18" t="str">
        <f>LstEffectif[[#This Row],[nom]] &amp; " " &amp; LstEffectif[[#This Row],[prenom]]</f>
        <v>GARUET Jean-Pierre</v>
      </c>
    </row>
    <row r="19" spans="1:5" ht="14">
      <c r="A19">
        <v>18</v>
      </c>
      <c r="B19" s="157" t="s">
        <v>358</v>
      </c>
      <c r="C19" s="157" t="s">
        <v>357</v>
      </c>
      <c r="D19" t="str">
        <f>LstEffectif[[#This Row],[prenom]] &amp; " " &amp; LstEffectif[[#This Row],[nom]]</f>
        <v>Uini ATONIO</v>
      </c>
      <c r="E19" t="str">
        <f>LstEffectif[[#This Row],[nom]] &amp; " " &amp; LstEffectif[[#This Row],[prenom]]</f>
        <v>ATONIO Uini</v>
      </c>
    </row>
    <row r="20" spans="1:5" ht="14">
      <c r="A20">
        <v>19</v>
      </c>
      <c r="B20" s="157" t="s">
        <v>360</v>
      </c>
      <c r="C20" s="157" t="s">
        <v>359</v>
      </c>
      <c r="D20" t="str">
        <f>LstEffectif[[#This Row],[prenom]] &amp; " " &amp; LstEffectif[[#This Row],[nom]]</f>
        <v>Yohan MAESTRI</v>
      </c>
      <c r="E20" t="str">
        <f>LstEffectif[[#This Row],[nom]] &amp; " " &amp; LstEffectif[[#This Row],[prenom]]</f>
        <v>MAESTRI Yohan</v>
      </c>
    </row>
    <row r="21" spans="1:5" ht="14">
      <c r="A21">
        <v>20</v>
      </c>
      <c r="B21" s="157" t="s">
        <v>361</v>
      </c>
      <c r="C21" s="157" t="s">
        <v>292</v>
      </c>
      <c r="D21" t="str">
        <f>LstEffectif[[#This Row],[prenom]] &amp; " " &amp; LstEffectif[[#This Row],[nom]]</f>
        <v>Gregory ALDRITT</v>
      </c>
      <c r="E21" t="str">
        <f>LstEffectif[[#This Row],[nom]] &amp; " " &amp; LstEffectif[[#This Row],[prenom]]</f>
        <v>ALDRITT Gregory</v>
      </c>
    </row>
    <row r="22" spans="1:5" ht="14">
      <c r="A22">
        <v>21</v>
      </c>
      <c r="B22" s="157" t="s">
        <v>363</v>
      </c>
      <c r="C22" s="157" t="s">
        <v>362</v>
      </c>
      <c r="D22" t="str">
        <f>LstEffectif[[#This Row],[prenom]] &amp; " " &amp; LstEffectif[[#This Row],[nom]]</f>
        <v>Arnaud MIGNARDI</v>
      </c>
      <c r="E22" t="str">
        <f>LstEffectif[[#This Row],[nom]] &amp; " " &amp; LstEffectif[[#This Row],[prenom]]</f>
        <v>MIGNARDI Arnaud</v>
      </c>
    </row>
    <row r="23" spans="1:5" ht="14">
      <c r="A23">
        <v>22</v>
      </c>
      <c r="B23" s="157" t="s">
        <v>364</v>
      </c>
      <c r="C23" s="157" t="s">
        <v>326</v>
      </c>
      <c r="D23" t="str">
        <f>LstEffectif[[#This Row],[prenom]] &amp; " " &amp; LstEffectif[[#This Row],[nom]]</f>
        <v>Louis BIELLE-BARREY</v>
      </c>
      <c r="E23" t="str">
        <f>LstEffectif[[#This Row],[nom]] &amp; " " &amp; LstEffectif[[#This Row],[prenom]]</f>
        <v>BIELLE-BARREY Louis</v>
      </c>
    </row>
    <row r="24" spans="1:5">
      <c r="A24" s="25"/>
      <c r="B24" s="25"/>
      <c r="C24" s="25"/>
      <c r="D24" s="25"/>
      <c r="E24" s="25"/>
    </row>
    <row r="25" spans="1:5">
      <c r="A25" s="25"/>
      <c r="B25" s="25"/>
      <c r="C25" s="25"/>
      <c r="D25" s="25"/>
      <c r="E25" s="25"/>
    </row>
    <row r="26" spans="1:5" ht="12" customHeight="1">
      <c r="A26" s="25"/>
      <c r="B26" s="25"/>
      <c r="C26" s="25"/>
      <c r="D26" s="25"/>
      <c r="E26" s="25"/>
    </row>
    <row r="27" spans="1:5" s="25" customFormat="1"/>
    <row r="28" spans="1:5" s="25" customFormat="1"/>
    <row r="29" spans="1:5" s="25" customFormat="1"/>
    <row r="30" spans="1:5" s="25" customFormat="1"/>
    <row r="31" spans="1:5" s="25" customFormat="1"/>
    <row r="32" spans="1:5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C20" sqref="C20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168" t="s">
        <v>255</v>
      </c>
      <c r="C2" s="168"/>
      <c r="E2" s="169" t="s">
        <v>256</v>
      </c>
      <c r="F2" s="170"/>
      <c r="G2" s="170"/>
      <c r="H2" s="171"/>
    </row>
    <row r="3" spans="1:8" ht="19" customHeight="1">
      <c r="B3" s="168"/>
      <c r="C3" s="168"/>
      <c r="E3" s="172"/>
      <c r="F3" s="173"/>
      <c r="G3" s="173"/>
      <c r="H3" s="174"/>
    </row>
    <row r="4" spans="1:8" ht="19" customHeight="1" thickBot="1">
      <c r="B4" s="168"/>
      <c r="C4" s="168"/>
      <c r="E4" s="175"/>
      <c r="F4" s="176"/>
      <c r="G4" s="176"/>
      <c r="H4" s="177"/>
    </row>
    <row r="5" spans="1:8" s="25" customFormat="1">
      <c r="A5" s="91"/>
      <c r="D5" s="91"/>
    </row>
    <row r="6" spans="1:8">
      <c r="B6" s="70" t="s">
        <v>234</v>
      </c>
      <c r="C6" s="71"/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264</v>
      </c>
      <c r="C8" s="71"/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/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263</v>
      </c>
      <c r="C12" s="71"/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/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/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/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262</v>
      </c>
      <c r="C20" s="71"/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273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70" zoomScaleNormal="70" workbookViewId="0">
      <selection activeCell="N38" sqref="N38:N39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178" t="str">
        <f>"Match "&amp;IF('Compo'!C14="Aller","A",IF('Compo'!C14="Retour","R","PF"))&amp;'Compo'!C16&amp;IF('Compo'!C12="Extérieur"," : "&amp;'Compo'!C10&amp;" / MXV"," : MXV / "&amp;'Compo'!C10)</f>
        <v xml:space="preserve">Match PF : MXV / </v>
      </c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25"/>
      <c r="AZ1" s="222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5"/>
      <c r="E3" s="125"/>
      <c r="F3" s="124"/>
      <c r="G3" s="126"/>
      <c r="H3" s="124"/>
      <c r="I3" s="126"/>
      <c r="J3" s="126"/>
      <c r="K3" s="126"/>
      <c r="L3" s="124"/>
      <c r="M3" s="126"/>
      <c r="N3" s="124"/>
      <c r="O3" s="137"/>
      <c r="P3" s="149"/>
      <c r="Q3" s="230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5"/>
      <c r="AD3" s="255"/>
      <c r="AE3" s="244"/>
      <c r="AF3" s="244"/>
      <c r="AG3" s="244"/>
      <c r="AH3" s="244"/>
      <c r="AI3" s="254"/>
    </row>
    <row r="4" spans="1:52" ht="42" customHeight="1">
      <c r="A4" s="25"/>
      <c r="B4" s="25"/>
      <c r="C4" s="127"/>
      <c r="D4" s="179" t="s">
        <v>175</v>
      </c>
      <c r="E4" s="180"/>
      <c r="F4" s="35" t="s">
        <v>89</v>
      </c>
      <c r="G4" s="128"/>
      <c r="H4" s="35" t="s">
        <v>106</v>
      </c>
      <c r="I4" s="129"/>
      <c r="J4" s="130"/>
      <c r="K4" s="131"/>
      <c r="L4" s="28" t="s">
        <v>93</v>
      </c>
      <c r="M4" s="132"/>
      <c r="N4" s="28" t="s">
        <v>94</v>
      </c>
      <c r="O4" s="150"/>
      <c r="P4" s="149"/>
      <c r="Q4" s="236"/>
      <c r="R4" s="222" t="s">
        <v>88</v>
      </c>
      <c r="S4" s="255"/>
      <c r="T4" s="226" t="s">
        <v>79</v>
      </c>
      <c r="U4" s="255"/>
      <c r="V4" s="226" t="s">
        <v>102</v>
      </c>
      <c r="W4" s="255"/>
      <c r="X4" s="226" t="s">
        <v>192</v>
      </c>
      <c r="Y4" s="255"/>
      <c r="Z4" s="226" t="s">
        <v>80</v>
      </c>
      <c r="AA4" s="255"/>
      <c r="AB4" s="226" t="s">
        <v>81</v>
      </c>
      <c r="AC4" s="259"/>
      <c r="AD4" s="255"/>
      <c r="AE4" s="244"/>
      <c r="AF4" s="244"/>
      <c r="AG4" s="244"/>
      <c r="AH4" s="244"/>
      <c r="AI4" s="254"/>
    </row>
    <row r="5" spans="1:52" ht="10" customHeight="1" thickBot="1">
      <c r="A5" s="25"/>
      <c r="B5" s="25"/>
      <c r="C5" s="127"/>
      <c r="D5" s="133"/>
      <c r="E5" s="133"/>
      <c r="F5" s="134"/>
      <c r="G5" s="135"/>
      <c r="H5" s="134"/>
      <c r="I5" s="135"/>
      <c r="J5" s="135"/>
      <c r="K5" s="135"/>
      <c r="L5" s="134"/>
      <c r="M5" s="135"/>
      <c r="N5" s="136"/>
      <c r="O5" s="49"/>
      <c r="P5" s="149"/>
      <c r="Q5" s="252"/>
      <c r="R5" s="258"/>
      <c r="S5" s="253"/>
      <c r="T5" s="258"/>
      <c r="U5" s="253"/>
      <c r="V5" s="258"/>
      <c r="W5" s="253"/>
      <c r="X5" s="258"/>
      <c r="Y5" s="253"/>
      <c r="Z5" s="258"/>
      <c r="AA5" s="253"/>
      <c r="AB5" s="258"/>
      <c r="AC5" s="260"/>
      <c r="AD5" s="255"/>
      <c r="AE5" s="244"/>
      <c r="AF5" s="244"/>
      <c r="AG5" s="244"/>
      <c r="AH5" s="244"/>
      <c r="AI5" s="254"/>
    </row>
    <row r="6" spans="1:52" ht="10" customHeight="1" thickTop="1" thickBot="1">
      <c r="A6" s="25"/>
      <c r="B6" s="25"/>
      <c r="C6" s="137"/>
      <c r="D6" s="125"/>
      <c r="E6" s="125"/>
      <c r="F6" s="126"/>
      <c r="G6" s="126"/>
      <c r="H6" s="126"/>
      <c r="I6" s="126"/>
      <c r="J6" s="126"/>
      <c r="K6" s="126"/>
      <c r="L6" s="126"/>
      <c r="M6" s="126"/>
      <c r="N6" s="126"/>
      <c r="O6" s="137"/>
      <c r="P6" s="151"/>
      <c r="Q6" s="256"/>
      <c r="R6" s="256"/>
      <c r="S6" s="256"/>
      <c r="T6" s="256"/>
      <c r="U6" s="256"/>
      <c r="V6" s="256"/>
      <c r="W6" s="256"/>
      <c r="X6" s="256"/>
      <c r="Y6" s="256"/>
      <c r="Z6" s="256"/>
      <c r="AA6" s="256"/>
      <c r="AB6" s="256"/>
      <c r="AC6" s="256"/>
      <c r="AD6" s="244"/>
      <c r="AE6" s="244"/>
      <c r="AF6" s="244"/>
      <c r="AG6" s="244"/>
      <c r="AH6" s="244"/>
      <c r="AI6" s="254"/>
    </row>
    <row r="7" spans="1:52" ht="10" customHeight="1" thickTop="1">
      <c r="A7" s="25"/>
      <c r="B7" s="25"/>
      <c r="C7" s="51"/>
      <c r="D7" s="139"/>
      <c r="E7" s="140"/>
      <c r="F7" s="138"/>
      <c r="G7" s="140"/>
      <c r="H7" s="138"/>
      <c r="I7" s="140"/>
      <c r="J7" s="138"/>
      <c r="K7" s="140"/>
      <c r="L7" s="138"/>
      <c r="M7" s="140"/>
      <c r="N7" s="140"/>
      <c r="O7" s="140"/>
      <c r="P7" s="149"/>
      <c r="Q7" s="230"/>
      <c r="R7" s="233"/>
      <c r="S7" s="233"/>
      <c r="T7" s="233"/>
      <c r="U7" s="233"/>
      <c r="V7" s="233"/>
      <c r="W7" s="233"/>
      <c r="X7" s="233"/>
      <c r="Y7" s="233"/>
      <c r="Z7" s="233"/>
      <c r="AA7" s="233"/>
      <c r="AB7" s="233"/>
      <c r="AC7" s="235"/>
      <c r="AD7" s="255"/>
      <c r="AE7" s="244"/>
      <c r="AF7" s="244"/>
      <c r="AG7" s="244"/>
      <c r="AH7" s="244"/>
      <c r="AI7" s="254"/>
    </row>
    <row r="8" spans="1:52" ht="26" customHeight="1">
      <c r="A8" s="25"/>
      <c r="B8" s="25"/>
      <c r="C8" s="141"/>
      <c r="D8" s="142" t="s">
        <v>301</v>
      </c>
      <c r="E8" s="143"/>
      <c r="F8" s="33"/>
      <c r="G8" s="144"/>
      <c r="H8" s="121"/>
      <c r="I8" s="144"/>
      <c r="J8" s="122"/>
      <c r="K8" s="144"/>
      <c r="L8" s="123"/>
      <c r="M8" s="129"/>
      <c r="N8" s="135"/>
      <c r="O8" s="148"/>
      <c r="P8" s="149"/>
      <c r="Q8" s="236"/>
      <c r="R8" s="222" t="s">
        <v>99</v>
      </c>
      <c r="S8" s="255"/>
      <c r="T8" s="227" t="s">
        <v>83</v>
      </c>
      <c r="U8" s="255"/>
      <c r="V8" s="227" t="s">
        <v>84</v>
      </c>
      <c r="W8" s="255"/>
      <c r="X8" s="227" t="s">
        <v>85</v>
      </c>
      <c r="Y8" s="255"/>
      <c r="Z8" s="227" t="s">
        <v>86</v>
      </c>
      <c r="AA8" s="255"/>
      <c r="AB8" s="228" t="s">
        <v>87</v>
      </c>
      <c r="AC8" s="259"/>
      <c r="AD8" s="255"/>
      <c r="AE8" s="244"/>
      <c r="AF8" s="244"/>
      <c r="AG8" s="244"/>
      <c r="AH8" s="244"/>
      <c r="AI8" s="254"/>
    </row>
    <row r="9" spans="1:52" ht="10" customHeight="1" thickBot="1">
      <c r="A9" s="25"/>
      <c r="B9" s="25"/>
      <c r="C9" s="127"/>
      <c r="D9" s="145"/>
      <c r="E9" s="133"/>
      <c r="F9" s="134"/>
      <c r="G9" s="135"/>
      <c r="H9" s="134"/>
      <c r="I9" s="135"/>
      <c r="J9" s="134"/>
      <c r="K9" s="135"/>
      <c r="L9" s="134"/>
      <c r="M9" s="135"/>
      <c r="N9" s="146"/>
      <c r="O9" s="49"/>
      <c r="P9" s="149"/>
      <c r="Q9" s="252"/>
      <c r="R9" s="258"/>
      <c r="S9" s="253"/>
      <c r="T9" s="258"/>
      <c r="U9" s="253"/>
      <c r="V9" s="258"/>
      <c r="W9" s="253"/>
      <c r="X9" s="258"/>
      <c r="Y9" s="253"/>
      <c r="Z9" s="258"/>
      <c r="AA9" s="253"/>
      <c r="AB9" s="258"/>
      <c r="AC9" s="260"/>
      <c r="AD9" s="255"/>
      <c r="AE9" s="244"/>
      <c r="AF9" s="244"/>
      <c r="AG9" s="244"/>
      <c r="AH9" s="244"/>
      <c r="AI9" s="254"/>
    </row>
    <row r="10" spans="1:52" ht="10" customHeight="1" thickTop="1" thickBot="1">
      <c r="A10" s="25"/>
      <c r="B10" s="25"/>
      <c r="C10" s="140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0"/>
      <c r="P10" s="151"/>
      <c r="Q10" s="256"/>
      <c r="R10" s="256"/>
      <c r="S10" s="256"/>
      <c r="T10" s="256"/>
      <c r="U10" s="256"/>
      <c r="V10" s="256"/>
      <c r="W10" s="256"/>
      <c r="X10" s="256"/>
      <c r="Y10" s="256"/>
      <c r="Z10" s="256"/>
      <c r="AA10" s="256"/>
      <c r="AB10" s="256"/>
      <c r="AC10" s="256"/>
      <c r="AD10" s="244"/>
      <c r="AE10" s="244"/>
      <c r="AF10" s="244"/>
      <c r="AG10" s="244"/>
      <c r="AH10" s="244"/>
      <c r="AI10" s="254"/>
    </row>
    <row r="11" spans="1:52" ht="10" customHeight="1" thickTop="1">
      <c r="A11" s="25"/>
      <c r="B11" s="25" t="s">
        <v>95</v>
      </c>
      <c r="C11" s="230"/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2"/>
      <c r="O11" s="235"/>
      <c r="P11" s="154"/>
      <c r="Q11" s="230"/>
      <c r="R11" s="233"/>
      <c r="S11" s="233"/>
      <c r="T11" s="233"/>
      <c r="U11" s="233"/>
      <c r="V11" s="233"/>
      <c r="W11" s="233"/>
      <c r="X11" s="233"/>
      <c r="Y11" s="233"/>
      <c r="Z11" s="233"/>
      <c r="AA11" s="233"/>
      <c r="AB11" s="233"/>
      <c r="AC11" s="233"/>
      <c r="AD11" s="233"/>
      <c r="AE11" s="233"/>
      <c r="AF11" s="233"/>
      <c r="AG11" s="233"/>
      <c r="AH11" s="233"/>
      <c r="AI11" s="235"/>
    </row>
    <row r="12" spans="1:52" ht="15" customHeight="1">
      <c r="A12" s="25"/>
      <c r="B12" s="25"/>
      <c r="C12" s="236"/>
      <c r="D12" s="261" t="s">
        <v>68</v>
      </c>
      <c r="E12" s="261"/>
      <c r="F12" s="261"/>
      <c r="G12" s="261"/>
      <c r="H12" s="261"/>
      <c r="I12" s="261"/>
      <c r="J12" s="261"/>
      <c r="K12" s="261"/>
      <c r="L12" s="261"/>
      <c r="M12" s="262"/>
      <c r="N12" s="263"/>
      <c r="O12" s="243"/>
      <c r="P12" s="154"/>
      <c r="Q12" s="236"/>
      <c r="R12" s="220" t="s">
        <v>69</v>
      </c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34"/>
      <c r="AH12" s="221"/>
      <c r="AI12" s="259"/>
    </row>
    <row r="13" spans="1:52">
      <c r="A13" s="25"/>
      <c r="B13" s="25"/>
      <c r="C13" s="236"/>
      <c r="D13" s="238"/>
      <c r="E13" s="244"/>
      <c r="F13" s="238"/>
      <c r="G13" s="244"/>
      <c r="H13" s="238"/>
      <c r="I13" s="244"/>
      <c r="J13" s="238"/>
      <c r="K13" s="244"/>
      <c r="L13" s="238"/>
      <c r="M13" s="244"/>
      <c r="N13" s="238"/>
      <c r="O13" s="243"/>
      <c r="P13" s="154"/>
      <c r="Q13" s="236"/>
      <c r="R13" s="256"/>
      <c r="S13" s="256"/>
      <c r="T13" s="256"/>
      <c r="U13" s="256"/>
      <c r="V13" s="256"/>
      <c r="W13" s="256"/>
      <c r="X13" s="256"/>
      <c r="Y13" s="256"/>
      <c r="Z13" s="256"/>
      <c r="AA13" s="256"/>
      <c r="AB13" s="256"/>
      <c r="AC13" s="256"/>
      <c r="AD13" s="256"/>
      <c r="AE13" s="256"/>
      <c r="AF13" s="256"/>
      <c r="AG13" s="256"/>
      <c r="AH13" s="256"/>
      <c r="AI13" s="243"/>
    </row>
    <row r="14" spans="1:52" ht="42" customHeight="1">
      <c r="A14" s="25"/>
      <c r="B14" s="25"/>
      <c r="C14" s="246"/>
      <c r="D14" s="264">
        <v>1</v>
      </c>
      <c r="E14" s="248"/>
      <c r="F14" s="264">
        <v>2</v>
      </c>
      <c r="G14" s="248"/>
      <c r="H14" s="264">
        <v>3</v>
      </c>
      <c r="I14" s="248"/>
      <c r="J14" s="264">
        <v>4</v>
      </c>
      <c r="K14" s="248"/>
      <c r="L14" s="264">
        <v>5</v>
      </c>
      <c r="M14" s="248"/>
      <c r="N14" s="264">
        <v>6</v>
      </c>
      <c r="O14" s="249"/>
      <c r="P14" s="154"/>
      <c r="Q14" s="236"/>
      <c r="R14" s="222" t="s">
        <v>324</v>
      </c>
      <c r="S14" s="255"/>
      <c r="T14" s="223" t="s">
        <v>72</v>
      </c>
      <c r="U14" s="255"/>
      <c r="V14" s="223" t="s">
        <v>70</v>
      </c>
      <c r="W14" s="255"/>
      <c r="X14" s="223" t="s">
        <v>73</v>
      </c>
      <c r="Y14" s="255"/>
      <c r="Z14" s="223" t="s">
        <v>74</v>
      </c>
      <c r="AA14" s="255"/>
      <c r="AB14" s="223" t="s">
        <v>71</v>
      </c>
      <c r="AC14" s="255"/>
      <c r="AD14" s="244"/>
      <c r="AE14" s="244"/>
      <c r="AF14" s="224" t="s">
        <v>302</v>
      </c>
      <c r="AG14" s="251"/>
      <c r="AH14" s="229"/>
      <c r="AI14" s="259"/>
    </row>
    <row r="15" spans="1:52" ht="10" customHeight="1">
      <c r="A15" s="25"/>
      <c r="B15" s="25"/>
      <c r="C15" s="236"/>
      <c r="D15" s="247"/>
      <c r="E15" s="244"/>
      <c r="F15" s="247"/>
      <c r="G15" s="244"/>
      <c r="H15" s="247"/>
      <c r="I15" s="244"/>
      <c r="J15" s="247"/>
      <c r="K15" s="244"/>
      <c r="L15" s="247"/>
      <c r="M15" s="244"/>
      <c r="N15" s="247"/>
      <c r="O15" s="243"/>
      <c r="P15" s="154"/>
      <c r="Q15" s="236"/>
      <c r="R15" s="256"/>
      <c r="S15" s="244"/>
      <c r="T15" s="256"/>
      <c r="U15" s="244"/>
      <c r="V15" s="256"/>
      <c r="W15" s="244"/>
      <c r="X15" s="256"/>
      <c r="Y15" s="244"/>
      <c r="Z15" s="256"/>
      <c r="AA15" s="244"/>
      <c r="AB15" s="256"/>
      <c r="AC15" s="244"/>
      <c r="AD15" s="244"/>
      <c r="AE15" s="244"/>
      <c r="AF15" s="256"/>
      <c r="AG15" s="256"/>
      <c r="AH15" s="256"/>
      <c r="AI15" s="243"/>
    </row>
    <row r="16" spans="1:52" ht="42" customHeight="1">
      <c r="A16" s="25"/>
      <c r="B16" s="25"/>
      <c r="C16" s="246"/>
      <c r="D16" s="264">
        <v>7</v>
      </c>
      <c r="E16" s="248"/>
      <c r="F16" s="264">
        <v>8</v>
      </c>
      <c r="G16" s="248"/>
      <c r="H16" s="264">
        <v>9</v>
      </c>
      <c r="I16" s="248"/>
      <c r="J16" s="264">
        <v>10</v>
      </c>
      <c r="K16" s="248"/>
      <c r="L16" s="264">
        <v>11</v>
      </c>
      <c r="M16" s="248"/>
      <c r="N16" s="264">
        <v>12</v>
      </c>
      <c r="O16" s="249"/>
      <c r="P16" s="154"/>
      <c r="Q16" s="236"/>
      <c r="R16" s="222" t="s">
        <v>278</v>
      </c>
      <c r="S16" s="255"/>
      <c r="T16" s="223" t="s">
        <v>75</v>
      </c>
      <c r="U16" s="255"/>
      <c r="V16" s="223" t="s">
        <v>76</v>
      </c>
      <c r="W16" s="255"/>
      <c r="X16" s="223" t="s">
        <v>96</v>
      </c>
      <c r="Y16" s="255"/>
      <c r="Z16" s="244"/>
      <c r="AA16" s="244"/>
      <c r="AB16" s="244"/>
      <c r="AC16" s="244"/>
      <c r="AD16" s="222" t="s">
        <v>279</v>
      </c>
      <c r="AE16" s="255"/>
      <c r="AF16" s="223" t="s">
        <v>75</v>
      </c>
      <c r="AG16" s="255"/>
      <c r="AH16" s="223" t="s">
        <v>76</v>
      </c>
      <c r="AI16" s="259"/>
    </row>
    <row r="17" spans="1:35" ht="10" customHeight="1">
      <c r="A17" s="25"/>
      <c r="B17" s="25"/>
      <c r="C17" s="236"/>
      <c r="D17" s="247"/>
      <c r="E17" s="244"/>
      <c r="F17" s="247"/>
      <c r="G17" s="244"/>
      <c r="H17" s="247"/>
      <c r="I17" s="244"/>
      <c r="J17" s="247"/>
      <c r="K17" s="244"/>
      <c r="L17" s="247"/>
      <c r="M17" s="244"/>
      <c r="N17" s="247"/>
      <c r="O17" s="243"/>
      <c r="P17" s="154"/>
      <c r="Q17" s="236"/>
      <c r="R17" s="256"/>
      <c r="S17" s="244"/>
      <c r="T17" s="256"/>
      <c r="U17" s="244"/>
      <c r="V17" s="256"/>
      <c r="W17" s="244"/>
      <c r="X17" s="256"/>
      <c r="Y17" s="244"/>
      <c r="Z17" s="244"/>
      <c r="AA17" s="244"/>
      <c r="AB17" s="244"/>
      <c r="AC17" s="244"/>
      <c r="AD17" s="256"/>
      <c r="AE17" s="244"/>
      <c r="AF17" s="256"/>
      <c r="AG17" s="244"/>
      <c r="AH17" s="256"/>
      <c r="AI17" s="243"/>
    </row>
    <row r="18" spans="1:35" ht="42" customHeight="1">
      <c r="A18" s="25"/>
      <c r="B18" s="25"/>
      <c r="C18" s="246"/>
      <c r="D18" s="264">
        <v>13</v>
      </c>
      <c r="E18" s="248"/>
      <c r="F18" s="264">
        <v>14</v>
      </c>
      <c r="G18" s="248"/>
      <c r="H18" s="264">
        <v>15</v>
      </c>
      <c r="I18" s="248"/>
      <c r="J18" s="264">
        <v>16</v>
      </c>
      <c r="K18" s="248"/>
      <c r="L18" s="264">
        <v>17</v>
      </c>
      <c r="M18" s="248"/>
      <c r="N18" s="264">
        <v>18</v>
      </c>
      <c r="O18" s="249"/>
      <c r="P18" s="154"/>
      <c r="Q18" s="236"/>
      <c r="R18" s="222" t="s">
        <v>176</v>
      </c>
      <c r="S18" s="255"/>
      <c r="T18" s="223" t="s">
        <v>177</v>
      </c>
      <c r="U18" s="255"/>
      <c r="V18" s="223" t="s">
        <v>178</v>
      </c>
      <c r="W18" s="255"/>
      <c r="X18" s="223" t="s">
        <v>179</v>
      </c>
      <c r="Y18" s="255"/>
      <c r="Z18" s="223" t="s">
        <v>180</v>
      </c>
      <c r="AA18" s="255"/>
      <c r="AB18" s="223" t="s">
        <v>60</v>
      </c>
      <c r="AC18" s="255"/>
      <c r="AD18" s="223" t="s">
        <v>77</v>
      </c>
      <c r="AE18" s="255"/>
      <c r="AF18" s="223" t="s">
        <v>275</v>
      </c>
      <c r="AG18" s="255"/>
      <c r="AH18" s="244"/>
      <c r="AI18" s="243"/>
    </row>
    <row r="19" spans="1:35" s="25" customFormat="1" ht="10" customHeight="1">
      <c r="C19" s="236"/>
      <c r="D19" s="247"/>
      <c r="E19" s="244"/>
      <c r="F19" s="247"/>
      <c r="G19" s="244"/>
      <c r="H19" s="247"/>
      <c r="I19" s="244"/>
      <c r="J19" s="247"/>
      <c r="K19" s="244"/>
      <c r="L19" s="247"/>
      <c r="M19" s="244"/>
      <c r="N19" s="247"/>
      <c r="O19" s="243"/>
      <c r="P19" s="154"/>
      <c r="Q19" s="236"/>
      <c r="R19" s="256"/>
      <c r="S19" s="244"/>
      <c r="T19" s="256"/>
      <c r="U19" s="244"/>
      <c r="V19" s="256"/>
      <c r="W19" s="244"/>
      <c r="X19" s="256"/>
      <c r="Y19" s="244"/>
      <c r="Z19" s="256"/>
      <c r="AA19" s="244"/>
      <c r="AB19" s="256"/>
      <c r="AC19" s="244"/>
      <c r="AD19" s="256"/>
      <c r="AE19" s="244"/>
      <c r="AF19" s="256"/>
      <c r="AG19" s="244"/>
      <c r="AH19" s="244"/>
      <c r="AI19" s="243"/>
    </row>
    <row r="20" spans="1:35" ht="42" customHeight="1">
      <c r="A20" s="25"/>
      <c r="B20" s="25"/>
      <c r="C20" s="246"/>
      <c r="D20" s="264">
        <v>19</v>
      </c>
      <c r="E20" s="248"/>
      <c r="F20" s="264">
        <v>20</v>
      </c>
      <c r="G20" s="248"/>
      <c r="H20" s="264">
        <v>21</v>
      </c>
      <c r="I20" s="248"/>
      <c r="J20" s="264">
        <v>22</v>
      </c>
      <c r="K20" s="248"/>
      <c r="L20" s="265" t="s">
        <v>92</v>
      </c>
      <c r="M20" s="248"/>
      <c r="N20" s="265" t="s">
        <v>82</v>
      </c>
      <c r="O20" s="245"/>
      <c r="P20" s="154"/>
      <c r="Q20" s="236"/>
      <c r="R20" s="222" t="s">
        <v>116</v>
      </c>
      <c r="S20" s="255"/>
      <c r="T20" s="225" t="s">
        <v>210</v>
      </c>
      <c r="U20" s="255"/>
      <c r="V20" s="225" t="s">
        <v>211</v>
      </c>
      <c r="W20" s="255"/>
      <c r="X20" s="222" t="s">
        <v>205</v>
      </c>
      <c r="Y20" s="255"/>
      <c r="Z20" s="225" t="s">
        <v>206</v>
      </c>
      <c r="AA20" s="255"/>
      <c r="AB20" s="225" t="s">
        <v>207</v>
      </c>
      <c r="AC20" s="255"/>
      <c r="AD20" s="225" t="s">
        <v>208</v>
      </c>
      <c r="AE20" s="255"/>
      <c r="AF20" s="225" t="s">
        <v>209</v>
      </c>
      <c r="AG20" s="255"/>
      <c r="AH20" s="225" t="s">
        <v>135</v>
      </c>
      <c r="AI20" s="259"/>
    </row>
    <row r="21" spans="1:35" ht="10" customHeight="1" thickBot="1">
      <c r="A21" s="25"/>
      <c r="B21" s="25"/>
      <c r="C21" s="236"/>
      <c r="D21" s="250"/>
      <c r="E21" s="244"/>
      <c r="F21" s="250"/>
      <c r="G21" s="244"/>
      <c r="H21" s="250"/>
      <c r="I21" s="244"/>
      <c r="J21" s="250"/>
      <c r="K21" s="244"/>
      <c r="L21" s="250"/>
      <c r="M21" s="244"/>
      <c r="N21" s="266"/>
      <c r="O21" s="231"/>
      <c r="P21" s="155"/>
      <c r="Q21" s="252"/>
      <c r="R21" s="258"/>
      <c r="S21" s="253"/>
      <c r="T21" s="258"/>
      <c r="U21" s="253"/>
      <c r="V21" s="258"/>
      <c r="W21" s="253"/>
      <c r="X21" s="258"/>
      <c r="Y21" s="253"/>
      <c r="Z21" s="258"/>
      <c r="AA21" s="253"/>
      <c r="AB21" s="258"/>
      <c r="AC21" s="253"/>
      <c r="AD21" s="258"/>
      <c r="AE21" s="253"/>
      <c r="AF21" s="258"/>
      <c r="AG21" s="253"/>
      <c r="AH21" s="258"/>
      <c r="AI21" s="260"/>
    </row>
    <row r="22" spans="1:35" ht="10" customHeight="1" thickTop="1" thickBot="1">
      <c r="A22" s="25"/>
      <c r="B22" s="25"/>
      <c r="C22" s="233"/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57"/>
      <c r="P22" s="25"/>
    </row>
    <row r="23" spans="1:35" ht="10" customHeight="1" thickTop="1">
      <c r="A23" s="25"/>
      <c r="B23" s="25"/>
      <c r="C23" s="230"/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2"/>
      <c r="O23" s="235"/>
      <c r="P23" s="25"/>
    </row>
    <row r="24" spans="1:35" ht="15" customHeight="1">
      <c r="A24" s="25"/>
      <c r="B24" s="25"/>
      <c r="C24" s="236"/>
      <c r="D24" s="237" t="s">
        <v>90</v>
      </c>
      <c r="E24" s="237"/>
      <c r="F24" s="237"/>
      <c r="G24" s="237"/>
      <c r="H24" s="237"/>
      <c r="I24" s="237"/>
      <c r="J24" s="237"/>
      <c r="K24" s="237"/>
      <c r="L24" s="237"/>
      <c r="M24" s="241"/>
      <c r="N24" s="242"/>
      <c r="O24" s="243"/>
      <c r="P24" s="25"/>
    </row>
    <row r="25" spans="1:35" s="25" customFormat="1" ht="10" customHeight="1">
      <c r="C25" s="236"/>
      <c r="D25" s="239"/>
      <c r="E25" s="244"/>
      <c r="F25" s="244"/>
      <c r="G25" s="244"/>
      <c r="H25" s="244"/>
      <c r="I25" s="244"/>
      <c r="J25" s="244"/>
      <c r="K25" s="244"/>
      <c r="L25" s="244"/>
      <c r="M25" s="244"/>
      <c r="N25" s="244"/>
      <c r="O25" s="243"/>
    </row>
    <row r="26" spans="1:35" ht="15" customHeight="1">
      <c r="A26" s="25"/>
      <c r="B26" s="25"/>
      <c r="C26" s="267"/>
      <c r="D26" s="268" t="s">
        <v>91</v>
      </c>
      <c r="E26" s="244"/>
      <c r="F26" s="244"/>
      <c r="G26" s="244"/>
      <c r="H26" s="244"/>
      <c r="I26" s="244"/>
      <c r="J26" s="244"/>
      <c r="K26" s="244"/>
      <c r="L26" s="244"/>
      <c r="M26" s="244"/>
      <c r="N26" s="244"/>
      <c r="O26" s="243"/>
      <c r="P26" s="25"/>
    </row>
    <row r="27" spans="1:35" ht="10" customHeight="1">
      <c r="A27" s="25"/>
      <c r="B27" s="25"/>
      <c r="C27" s="236"/>
      <c r="D27" s="244"/>
      <c r="E27" s="244"/>
      <c r="F27" s="239"/>
      <c r="G27" s="244"/>
      <c r="H27" s="238"/>
      <c r="I27" s="244"/>
      <c r="J27" s="238"/>
      <c r="K27" s="244"/>
      <c r="L27" s="238"/>
      <c r="M27" s="244"/>
      <c r="N27" s="238"/>
      <c r="O27" s="243"/>
      <c r="P27" s="25"/>
    </row>
    <row r="28" spans="1:35" ht="42" customHeight="1">
      <c r="A28" s="25"/>
      <c r="B28" s="25"/>
      <c r="C28" s="236"/>
      <c r="D28" s="269">
        <v>6.7046440393518517E-3</v>
      </c>
      <c r="E28" s="270"/>
      <c r="F28" s="271"/>
      <c r="G28" s="272"/>
      <c r="H28" s="273" t="s">
        <v>62</v>
      </c>
      <c r="I28" s="248"/>
      <c r="J28" s="274" t="s">
        <v>61</v>
      </c>
      <c r="K28" s="248"/>
      <c r="L28" s="273" t="s">
        <v>169</v>
      </c>
      <c r="M28" s="248"/>
      <c r="N28" s="275" t="s">
        <v>63</v>
      </c>
      <c r="O28" s="245"/>
      <c r="P28" s="25"/>
      <c r="R28" s="25" t="s">
        <v>117</v>
      </c>
    </row>
    <row r="29" spans="1:35" ht="90" customHeight="1" thickBot="1">
      <c r="A29" s="25"/>
      <c r="B29" s="25"/>
      <c r="C29" s="236"/>
      <c r="D29" s="244"/>
      <c r="E29" s="244"/>
      <c r="F29" s="244"/>
      <c r="G29" s="244"/>
      <c r="H29" s="250"/>
      <c r="I29" s="244"/>
      <c r="J29" s="250"/>
      <c r="K29" s="244"/>
      <c r="L29" s="250"/>
      <c r="M29" s="244"/>
      <c r="N29" s="266"/>
      <c r="O29" s="231"/>
      <c r="P29" s="25"/>
    </row>
    <row r="30" spans="1:35" ht="106" customHeight="1" thickTop="1">
      <c r="A30" s="25"/>
      <c r="B30" s="25"/>
      <c r="C30" s="233"/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57"/>
      <c r="P30" s="25"/>
    </row>
    <row r="31" spans="1:35" ht="10" customHeight="1">
      <c r="A31" s="25"/>
      <c r="B31" s="25"/>
      <c r="C31" s="244"/>
      <c r="D31" s="244"/>
      <c r="E31" s="244"/>
      <c r="F31" s="244"/>
      <c r="G31" s="244"/>
      <c r="H31" s="244"/>
      <c r="I31" s="244"/>
      <c r="J31" s="244"/>
      <c r="K31" s="244"/>
      <c r="L31" s="244"/>
      <c r="M31" s="244"/>
      <c r="N31" s="244"/>
      <c r="O31" s="254"/>
      <c r="P31" s="25"/>
    </row>
    <row r="32" spans="1:35" ht="10" customHeight="1">
      <c r="A32" s="25"/>
      <c r="B32" s="25"/>
      <c r="C32" s="130"/>
      <c r="D32" s="133"/>
      <c r="E32" s="133"/>
      <c r="F32" s="135"/>
      <c r="G32" s="135"/>
      <c r="H32" s="135"/>
      <c r="I32" s="135"/>
      <c r="J32" s="135"/>
      <c r="K32" s="135"/>
      <c r="L32" s="135"/>
      <c r="M32" s="135"/>
      <c r="N32" s="135"/>
      <c r="O32" s="156"/>
      <c r="P32" s="25"/>
    </row>
    <row r="33" spans="1:21" ht="10" customHeight="1">
      <c r="A33" s="25"/>
      <c r="B33" s="25"/>
      <c r="C33" s="244"/>
      <c r="D33" s="244"/>
      <c r="E33" s="244"/>
      <c r="F33" s="244"/>
      <c r="G33" s="244"/>
      <c r="H33" s="244"/>
      <c r="I33" s="244"/>
      <c r="J33" s="244"/>
      <c r="K33" s="244"/>
      <c r="L33" s="244"/>
      <c r="M33" s="244"/>
      <c r="N33" s="244"/>
      <c r="O33" s="254"/>
      <c r="P33" s="25"/>
    </row>
    <row r="34" spans="1:21" ht="15" customHeight="1">
      <c r="A34" s="25"/>
      <c r="B34" s="25"/>
      <c r="C34" s="244"/>
      <c r="D34" s="244"/>
      <c r="E34" s="244"/>
      <c r="F34" s="244"/>
      <c r="G34" s="244"/>
      <c r="H34" s="244"/>
      <c r="I34" s="244"/>
      <c r="J34" s="244"/>
      <c r="K34" s="244"/>
      <c r="L34" s="244"/>
      <c r="M34" s="244"/>
      <c r="N34" s="244"/>
      <c r="O34" s="254"/>
      <c r="P34" s="25"/>
    </row>
    <row r="35" spans="1:21" ht="13" customHeight="1">
      <c r="A35" s="25"/>
      <c r="B35" s="25"/>
      <c r="C35" s="244"/>
      <c r="D35" s="244"/>
      <c r="E35" s="244"/>
      <c r="F35" s="244"/>
      <c r="G35" s="244"/>
      <c r="H35" s="244"/>
      <c r="I35" s="244"/>
      <c r="J35" s="244"/>
      <c r="K35" s="244"/>
      <c r="L35" s="244"/>
      <c r="M35" s="244"/>
      <c r="N35" s="244"/>
      <c r="O35" s="254"/>
      <c r="P35" s="25"/>
    </row>
    <row r="36" spans="1:21" ht="42" customHeight="1">
      <c r="A36" s="25"/>
      <c r="B36" s="25"/>
      <c r="C36" s="244"/>
      <c r="D36" s="244"/>
      <c r="E36" s="244"/>
      <c r="F36" s="244"/>
      <c r="G36" s="244"/>
      <c r="H36" s="244"/>
      <c r="I36" s="244"/>
      <c r="J36" s="244"/>
      <c r="K36" s="244"/>
      <c r="L36" s="244"/>
      <c r="M36" s="244"/>
      <c r="N36" s="244"/>
      <c r="O36" s="254"/>
      <c r="P36" s="25"/>
    </row>
    <row r="37" spans="1:21" ht="10" customHeight="1">
      <c r="A37" s="25"/>
      <c r="B37" s="25"/>
      <c r="C37" s="244"/>
      <c r="D37" s="244"/>
      <c r="E37" s="244"/>
      <c r="F37" s="244"/>
      <c r="G37" s="244"/>
      <c r="H37" s="244"/>
      <c r="I37" s="244"/>
      <c r="J37" s="244"/>
      <c r="K37" s="244"/>
      <c r="L37" s="244"/>
      <c r="M37" s="244"/>
      <c r="N37" s="244"/>
      <c r="O37" s="254"/>
      <c r="P37" s="25"/>
    </row>
    <row r="38" spans="1:21" ht="42" customHeight="1">
      <c r="A38" s="25"/>
      <c r="B38" s="25"/>
      <c r="C38" s="244"/>
      <c r="D38" s="244"/>
      <c r="E38" s="244"/>
      <c r="F38" s="244"/>
      <c r="G38" s="244"/>
      <c r="H38" s="244"/>
      <c r="I38" s="244"/>
      <c r="J38" s="244"/>
      <c r="K38" s="244"/>
      <c r="L38" s="244"/>
      <c r="M38" s="244"/>
      <c r="N38" s="244"/>
      <c r="O38" s="254"/>
      <c r="P38" s="25"/>
    </row>
    <row r="39" spans="1:21" ht="10" customHeight="1">
      <c r="A39" s="25"/>
      <c r="B39" s="25"/>
      <c r="C39" s="244"/>
      <c r="D39" s="244"/>
      <c r="E39" s="244"/>
      <c r="F39" s="244"/>
      <c r="G39" s="244"/>
      <c r="H39" s="244"/>
      <c r="I39" s="244"/>
      <c r="J39" s="244"/>
      <c r="K39" s="244"/>
      <c r="L39" s="244"/>
      <c r="M39" s="244"/>
      <c r="N39" s="244"/>
      <c r="O39" s="254"/>
      <c r="P39" s="25"/>
    </row>
    <row r="40" spans="1:21" ht="42" customHeight="1">
      <c r="A40" s="25"/>
      <c r="B40" s="25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54"/>
      <c r="P40" s="25"/>
      <c r="R40" s="26"/>
      <c r="S40" s="26"/>
    </row>
    <row r="41" spans="1:21" ht="10" customHeight="1">
      <c r="A41" s="25"/>
      <c r="B41" s="25"/>
      <c r="C41" s="244"/>
      <c r="D41" s="244"/>
      <c r="E41" s="244"/>
      <c r="F41" s="244"/>
      <c r="G41" s="244"/>
      <c r="H41" s="244"/>
      <c r="I41" s="244"/>
      <c r="J41" s="244"/>
      <c r="K41" s="244"/>
      <c r="L41" s="244"/>
      <c r="M41" s="244"/>
      <c r="N41" s="244"/>
      <c r="O41" s="254"/>
      <c r="P41" s="25"/>
      <c r="R41" s="26"/>
      <c r="S41" s="26"/>
    </row>
    <row r="42" spans="1:21" ht="42" customHeight="1">
      <c r="A42" s="25"/>
      <c r="B42" s="25"/>
      <c r="C42" s="244"/>
      <c r="D42" s="244"/>
      <c r="E42" s="244"/>
      <c r="F42" s="244"/>
      <c r="G42" s="244"/>
      <c r="H42" s="244"/>
      <c r="I42" s="244"/>
      <c r="J42" s="244"/>
      <c r="K42" s="244"/>
      <c r="L42" s="244"/>
      <c r="M42" s="244"/>
      <c r="N42" s="244"/>
      <c r="O42" s="254"/>
      <c r="P42" s="25"/>
    </row>
    <row r="43" spans="1:21" s="25" customFormat="1" ht="10" customHeight="1">
      <c r="C43" s="244"/>
      <c r="D43" s="244"/>
      <c r="E43" s="244"/>
      <c r="F43" s="244"/>
      <c r="G43" s="244"/>
      <c r="H43" s="244"/>
      <c r="I43" s="244"/>
      <c r="J43" s="244"/>
      <c r="K43" s="244"/>
      <c r="L43" s="244"/>
      <c r="M43" s="244"/>
      <c r="N43" s="244"/>
      <c r="O43" s="254"/>
    </row>
    <row r="44" spans="1:21" ht="10" customHeight="1">
      <c r="A44" s="25"/>
      <c r="B44" s="25"/>
      <c r="C44" s="130"/>
      <c r="D44" s="133"/>
      <c r="E44" s="133"/>
      <c r="F44" s="135"/>
      <c r="G44" s="135"/>
      <c r="H44" s="135"/>
      <c r="I44" s="135"/>
      <c r="J44" s="135"/>
      <c r="K44" s="135"/>
      <c r="L44" s="135"/>
      <c r="M44" s="135"/>
      <c r="N44" s="135"/>
      <c r="O44" s="156"/>
      <c r="P44" s="25"/>
    </row>
    <row r="45" spans="1:21" ht="10" customHeight="1">
      <c r="A45" s="25"/>
      <c r="B45" s="25"/>
      <c r="C45" s="244"/>
      <c r="D45" s="244"/>
      <c r="E45" s="244"/>
      <c r="F45" s="244"/>
      <c r="G45" s="244"/>
      <c r="H45" s="244"/>
      <c r="I45" s="244"/>
      <c r="J45" s="244"/>
      <c r="K45" s="244"/>
      <c r="L45" s="244"/>
      <c r="M45" s="244"/>
      <c r="N45" s="244"/>
      <c r="O45" s="254"/>
      <c r="P45" s="25"/>
      <c r="Q45" s="27"/>
      <c r="T45" s="26"/>
      <c r="U45" s="26"/>
    </row>
    <row r="46" spans="1:21" ht="15" customHeight="1">
      <c r="A46" s="25"/>
      <c r="B46" s="25"/>
      <c r="C46" s="244"/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4"/>
      <c r="O46" s="254"/>
      <c r="P46" s="25"/>
      <c r="U46" s="26"/>
    </row>
    <row r="47" spans="1:21" ht="11" customHeight="1">
      <c r="A47" s="25"/>
      <c r="B47" s="25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4"/>
      <c r="O47" s="254"/>
      <c r="P47" s="25"/>
      <c r="U47" s="26"/>
    </row>
    <row r="48" spans="1:21">
      <c r="A48" s="25"/>
      <c r="B48" s="25"/>
      <c r="C48" s="244"/>
      <c r="D48" s="244"/>
      <c r="E48" s="244"/>
      <c r="F48" s="244"/>
      <c r="G48" s="244"/>
      <c r="H48" s="244"/>
      <c r="I48" s="244"/>
      <c r="J48" s="244"/>
      <c r="K48" s="244"/>
      <c r="L48" s="244"/>
      <c r="M48" s="244"/>
      <c r="N48" s="244"/>
      <c r="O48" s="254"/>
      <c r="P48" s="25"/>
      <c r="Q48" s="25" t="s">
        <v>117</v>
      </c>
      <c r="U48" s="26"/>
    </row>
    <row r="49" spans="1:18" ht="6" customHeight="1">
      <c r="A49" s="25"/>
      <c r="B49" s="25"/>
      <c r="C49" s="244"/>
      <c r="D49" s="244"/>
      <c r="E49" s="244"/>
      <c r="F49" s="244"/>
      <c r="G49" s="244"/>
      <c r="H49" s="244"/>
      <c r="I49" s="244"/>
      <c r="J49" s="244"/>
      <c r="K49" s="244"/>
      <c r="L49" s="244"/>
      <c r="M49" s="244"/>
      <c r="N49" s="244"/>
      <c r="O49" s="254"/>
      <c r="P49" s="25"/>
    </row>
    <row r="50" spans="1:18" ht="42" customHeight="1">
      <c r="A50" s="25"/>
      <c r="B50" s="25"/>
      <c r="C50" s="244"/>
      <c r="D50" s="244"/>
      <c r="E50" s="244"/>
      <c r="F50" s="244"/>
      <c r="G50" s="244"/>
      <c r="H50" s="244"/>
      <c r="I50" s="244"/>
      <c r="J50" s="244"/>
      <c r="K50" s="244"/>
      <c r="L50" s="244"/>
      <c r="M50" s="244"/>
      <c r="N50" s="244"/>
      <c r="O50" s="254"/>
      <c r="P50" s="25"/>
    </row>
    <row r="51" spans="1:18" ht="93" customHeight="1">
      <c r="A51" s="25"/>
      <c r="B51" s="25"/>
      <c r="C51" s="239"/>
      <c r="D51" s="239"/>
      <c r="E51" s="239"/>
      <c r="F51" s="239"/>
      <c r="G51" s="239"/>
      <c r="H51" s="239"/>
      <c r="I51" s="239"/>
      <c r="J51" s="239"/>
      <c r="K51" s="239"/>
      <c r="L51" s="239"/>
      <c r="M51" s="239"/>
      <c r="N51" s="239"/>
      <c r="O51" s="240"/>
      <c r="P51" s="25"/>
      <c r="R51" s="25" t="s">
        <v>117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AF14:AH14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D23" sqref="D2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270</v>
      </c>
      <c r="B1" t="s">
        <v>57</v>
      </c>
      <c r="C1" t="s">
        <v>64</v>
      </c>
      <c r="D1" t="s">
        <v>219</v>
      </c>
      <c r="E1" t="s">
        <v>65</v>
      </c>
      <c r="F1" t="s">
        <v>267</v>
      </c>
      <c r="G1" t="s">
        <v>194</v>
      </c>
      <c r="H1" t="s">
        <v>66</v>
      </c>
      <c r="I1" t="s">
        <v>67</v>
      </c>
      <c r="J1" t="s">
        <v>250</v>
      </c>
      <c r="K1" t="s">
        <v>251</v>
      </c>
      <c r="L1" t="s">
        <v>252</v>
      </c>
      <c r="M1" t="s">
        <v>106</v>
      </c>
      <c r="N1" t="s">
        <v>253</v>
      </c>
      <c r="O1" t="s">
        <v>254</v>
      </c>
      <c r="P1" t="s">
        <v>265</v>
      </c>
      <c r="Q1" t="s">
        <v>268</v>
      </c>
    </row>
    <row r="2" spans="1:17" s="25" customFormat="1">
      <c r="A2" s="120"/>
      <c r="B2"/>
      <c r="C2"/>
      <c r="D2"/>
      <c r="E2"/>
      <c r="F2"/>
      <c r="G2"/>
      <c r="H2"/>
      <c r="I2" s="153"/>
      <c r="J2"/>
      <c r="K2"/>
      <c r="L2" s="152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EEBDCD36-9AD4-8344-9955-E06AB1BF184A}">
      <formula1>LISTE_MT_JOURNAL</formula1>
    </dataValidation>
    <dataValidation type="list" allowBlank="1" showErrorMessage="1" sqref="C2" xr:uid="{9E5C0A8D-2414-F140-90F5-55DD4723EC81}">
      <formula1>LISTE_JOUEURS_JOURNAL</formula1>
    </dataValidation>
    <dataValidation type="list" allowBlank="1" showErrorMessage="1" sqref="E2" xr:uid="{65405442-F809-C14B-B717-0B20E9FF0894}">
      <formula1>LISTE_ACTIONS_JOURNAL</formula1>
    </dataValidation>
    <dataValidation type="list" allowBlank="1" showErrorMessage="1" sqref="G2" xr:uid="{82A8702B-3DFF-194C-BEA7-AA1EA3E8B5C7}">
      <formula1>LISTE_EQUIPES_JOURNAL</formula1>
    </dataValidation>
    <dataValidation type="list" allowBlank="1" showErrorMessage="1" sqref="F2" xr:uid="{99AAA5A5-AC4B-144E-BF02-2CDEEB00840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workbookViewId="0"/>
  </sheetViews>
  <sheetFormatPr baseColWidth="10" defaultRowHeight="13"/>
  <cols>
    <col min="1" max="1" width="12.83203125" style="25" customWidth="1"/>
    <col min="2" max="2" width="12.332031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5"/>
    <col min="17" max="17" width="12.33203125" style="25" bestFit="1" customWidth="1"/>
    <col min="18" max="18" width="13.83203125" style="25" bestFit="1" customWidth="1"/>
    <col min="19" max="24" width="10.83203125" style="25"/>
    <col min="25" max="25" width="15.6640625" style="25" customWidth="1"/>
    <col min="26" max="27" width="10.83203125" style="25"/>
  </cols>
  <sheetData>
    <row r="1" spans="2:31" s="25" customFormat="1"/>
    <row r="2" spans="2:31" s="25" customFormat="1"/>
    <row r="3" spans="2:31" s="25" customFormat="1">
      <c r="B3" s="181" t="str">
        <f>"Stats par joueur - Match "&amp;IF('Compo'!C14="Aller","A",IF('Compo'!C14="Retour","R","PF"))&amp;'Compo'!C16&amp;IF('Compo'!C12="Extérieur"," : "&amp;'Compo'!C10&amp;" / MXV"," : MXV / "&amp;'Compo'!C10)&amp;" "&amp;'Compo'!C20</f>
        <v xml:space="preserve">Stats par joueur - Match PF : MXV /  </v>
      </c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3"/>
    </row>
    <row r="4" spans="2:31" s="25" customFormat="1">
      <c r="B4" s="184"/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6"/>
    </row>
    <row r="5" spans="2:31" s="25" customFormat="1"/>
    <row r="6" spans="2:31" ht="14" customHeight="1">
      <c r="B6" s="187" t="s">
        <v>64</v>
      </c>
      <c r="C6" s="189" t="str">
        <f>ACT_PL_NORMAL</f>
        <v>Plaquage normal</v>
      </c>
      <c r="D6" s="190"/>
      <c r="E6" s="189" t="str">
        <f>ACT_PL_OFF</f>
        <v>Plaquage offensif</v>
      </c>
      <c r="F6" s="190"/>
      <c r="G6" s="189" t="str">
        <f>ACT_PL_RATE</f>
        <v>Plaquage raté</v>
      </c>
      <c r="H6" s="190"/>
      <c r="I6" s="189" t="str">
        <f>ACT_PL_A2</f>
        <v>Plaquage à 2</v>
      </c>
      <c r="J6" s="191"/>
      <c r="K6" s="191" t="str">
        <f>ACT_PL_HAUT</f>
        <v>Plaquage haut</v>
      </c>
      <c r="L6" s="190"/>
      <c r="M6" s="191" t="str">
        <f>ACT_GRATTAGE</f>
        <v>Grattage</v>
      </c>
      <c r="N6" s="190"/>
      <c r="O6" s="192" t="s">
        <v>288</v>
      </c>
      <c r="P6" s="193"/>
      <c r="Q6" s="193"/>
      <c r="R6" s="193"/>
      <c r="S6" s="193"/>
      <c r="T6" s="194"/>
      <c r="Z6"/>
      <c r="AA6"/>
    </row>
    <row r="7" spans="2:31" ht="13" customHeight="1">
      <c r="B7" s="188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95" t="str">
        <f>ACT_PEN_MAUL</f>
        <v>Maul</v>
      </c>
      <c r="P7" s="95" t="str">
        <f>ACT_PEN_HORS_JEU</f>
        <v>Hors-jeu</v>
      </c>
      <c r="Q7" s="95" t="str">
        <f>ACT_PEN_PL_A_2</f>
        <v>Plaquage à 2</v>
      </c>
      <c r="R7" s="95" t="str">
        <f>ACT_PEN_PL_HAUT</f>
        <v>Plaquage haut</v>
      </c>
      <c r="S7" s="95" t="str">
        <f>ACT_PEN_RUCK</f>
        <v>Ruck</v>
      </c>
      <c r="T7" s="95" t="str">
        <f>ACT_PEN_UNKNOWN</f>
        <v>?</v>
      </c>
      <c r="Z7"/>
      <c r="AA7"/>
    </row>
    <row r="8" spans="2:31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89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96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96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96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96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96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96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96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96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96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96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96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96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96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96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96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96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96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96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96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96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96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96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97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5" customFormat="1" ht="22" customHeight="1">
      <c r="B32" s="80" t="s">
        <v>230</v>
      </c>
      <c r="C32" s="81">
        <f>SUM(C8:C31)</f>
        <v>0</v>
      </c>
      <c r="D32" s="82">
        <f t="shared" ref="D32:T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195">
        <f t="shared" si="0"/>
        <v>0</v>
      </c>
      <c r="P32" s="195">
        <f t="shared" si="0"/>
        <v>0</v>
      </c>
      <c r="Q32" s="195">
        <f t="shared" si="0"/>
        <v>0</v>
      </c>
      <c r="R32" s="195">
        <f t="shared" si="0"/>
        <v>0</v>
      </c>
      <c r="S32" s="195">
        <f t="shared" si="0"/>
        <v>0</v>
      </c>
      <c r="T32" s="195">
        <f t="shared" si="0"/>
        <v>0</v>
      </c>
    </row>
    <row r="33" spans="2:20" s="69" customFormat="1" ht="25" customHeight="1">
      <c r="B33" s="83" t="s">
        <v>229</v>
      </c>
      <c r="C33" s="199">
        <f>C32+D32</f>
        <v>0</v>
      </c>
      <c r="D33" s="200"/>
      <c r="E33" s="201">
        <f t="shared" ref="E33" si="1">E32+F32</f>
        <v>0</v>
      </c>
      <c r="F33" s="201"/>
      <c r="G33" s="199">
        <f t="shared" ref="G33" si="2">G32+H32</f>
        <v>0</v>
      </c>
      <c r="H33" s="200"/>
      <c r="I33" s="199">
        <f>I32+J32</f>
        <v>0</v>
      </c>
      <c r="J33" s="200"/>
      <c r="K33" s="199">
        <f t="shared" ref="K33" si="3">K32+L32</f>
        <v>0</v>
      </c>
      <c r="L33" s="200"/>
      <c r="M33" s="201">
        <f t="shared" ref="M33" si="4">M32+N32</f>
        <v>0</v>
      </c>
      <c r="N33" s="200"/>
      <c r="O33" s="196"/>
      <c r="P33" s="196"/>
      <c r="Q33" s="196"/>
      <c r="R33" s="196"/>
      <c r="S33" s="196"/>
      <c r="T33" s="196"/>
    </row>
    <row r="34" spans="2:20" s="25" customFormat="1"/>
    <row r="35" spans="2:20" s="25" customFormat="1"/>
    <row r="36" spans="2:20" ht="14">
      <c r="B36" s="25"/>
      <c r="C36" s="84" t="s">
        <v>196</v>
      </c>
      <c r="D36" s="84" t="s">
        <v>266</v>
      </c>
      <c r="E36" s="85" t="s">
        <v>195</v>
      </c>
      <c r="F36" s="25"/>
      <c r="G36" s="189" t="s">
        <v>224</v>
      </c>
      <c r="H36" s="190"/>
      <c r="J36" s="189" t="s">
        <v>78</v>
      </c>
      <c r="K36" s="189" t="s">
        <v>198</v>
      </c>
      <c r="L36" s="191"/>
      <c r="M36" s="190"/>
      <c r="N36" s="190" t="s">
        <v>225</v>
      </c>
    </row>
    <row r="37" spans="2:20" ht="14">
      <c r="B37" s="25"/>
      <c r="C37" s="64" t="s">
        <v>193</v>
      </c>
      <c r="D37" s="64">
        <f>COUNTIFS(JournalActions[Action],ACT_TO_NS_G,JournalActions[Mi-temps],"MT1")</f>
        <v>0</v>
      </c>
      <c r="E37" s="65">
        <f>COUNTIFS(JournalActions[Action],ACT_TO_NS_P,JournalActions[Mi-temps],"MT1")
+COUNTIFS(JournalActions[Action],ACT_TO_NS_PAS_DROIT,JournalActions[Mi-temps],"MT1")</f>
        <v>0</v>
      </c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5"/>
      <c r="J37" s="202"/>
      <c r="K37" s="98" t="s">
        <v>204</v>
      </c>
      <c r="L37" s="94" t="s">
        <v>223</v>
      </c>
      <c r="M37" s="99" t="s">
        <v>82</v>
      </c>
      <c r="N37" s="203"/>
    </row>
    <row r="38" spans="2:20">
      <c r="B38" s="25"/>
      <c r="C38" s="36" t="s">
        <v>226</v>
      </c>
      <c r="D38" s="36">
        <f>COUNTIFS(JournalActions[Action],ACT_TO_ADV_PERDUE,JournalActions[Mi-temps],"MT1")</f>
        <v>0</v>
      </c>
      <c r="E38" s="37">
        <f>COUNTIFS(JournalActions[Action],ACT_TO_ADV_VOLEE,JournalActions[Mi-temps],"MT1")
+COUNTIFS(JournalActions[Action],ACT_TO_ADV_PAS_DROIT,JournalActions[Mi-temps],"MT1")</f>
        <v>0</v>
      </c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</row>
    <row r="40" spans="2:20" ht="14">
      <c r="B40" s="25"/>
      <c r="C40" s="84" t="s">
        <v>197</v>
      </c>
      <c r="D40" s="84" t="s">
        <v>266</v>
      </c>
      <c r="E40" s="85" t="s">
        <v>195</v>
      </c>
      <c r="F40" s="25"/>
      <c r="G40" s="189" t="s">
        <v>200</v>
      </c>
      <c r="H40" s="190"/>
      <c r="I40" s="25"/>
      <c r="J40" s="25"/>
      <c r="K40" s="25"/>
      <c r="L40" s="25"/>
      <c r="M40" s="25"/>
      <c r="N40" s="25"/>
    </row>
    <row r="41" spans="2:20" ht="14">
      <c r="B41" s="25"/>
      <c r="C41" s="64" t="s">
        <v>193</v>
      </c>
      <c r="D41" s="64">
        <f>COUNTIFS(JournalActions[Action],ACT_TO_NS_G,JournalActions[Mi-temps],"MT2")</f>
        <v>0</v>
      </c>
      <c r="E41" s="65">
        <f>COUNTIFS(JournalActions[Action],ACT_TO_NS_P,JournalActions[Mi-temps],"MT2")
+COUNTIFS(JournalActions[Action],ACT_TO_NS_PAS_DROIT,JournalActions[Mi-temps],"MT2")</f>
        <v>0</v>
      </c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</row>
    <row r="42" spans="2:20">
      <c r="B42" s="25"/>
      <c r="C42" s="36" t="s">
        <v>226</v>
      </c>
      <c r="D42" s="36">
        <f>COUNTIFS(JournalActions[Action],ACT_TO_ADV_PERDUE,JournalActions[Mi-temps],"MT2")</f>
        <v>0</v>
      </c>
      <c r="E42" s="37">
        <f>COUNTIFS(JournalActions[Action],ACT_TO_ADV_VOLEE,JournalActions[Mi-temps],"MT2")
+COUNTIFS(JournalActions[Action],ACT_TO_ADV_PAS_DROIT,JournalActions[Mi-temps],"MT2")</f>
        <v>0</v>
      </c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5"/>
      <c r="J42" s="197" t="s">
        <v>31</v>
      </c>
      <c r="K42" s="198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206" t="s">
        <v>33</v>
      </c>
      <c r="K43" s="207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</row>
    <row r="44" spans="2:20" ht="14">
      <c r="B44" s="25"/>
      <c r="C44" s="84" t="s">
        <v>289</v>
      </c>
      <c r="D44" s="84" t="s">
        <v>266</v>
      </c>
      <c r="E44" s="85" t="s">
        <v>195</v>
      </c>
      <c r="F44" s="25"/>
      <c r="G44" s="189" t="s">
        <v>293</v>
      </c>
      <c r="H44" s="190"/>
      <c r="I44" s="25"/>
      <c r="J44" s="197" t="s">
        <v>35</v>
      </c>
      <c r="K44" s="198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</row>
    <row r="45" spans="2:20">
      <c r="B45" s="25"/>
      <c r="C45" s="64" t="s">
        <v>193</v>
      </c>
      <c r="D45" s="64">
        <f>COUNTIFS(JournalActions[Action],ACT_ME_NS_G,JournalActions[Mi-temps],"MT1")</f>
        <v>0</v>
      </c>
      <c r="E45" s="65">
        <f>COUNTIFS(JournalActions[Action],ACT_ME_NS_P,JournalActions[Mi-temps],"MT1")</f>
        <v>0</v>
      </c>
      <c r="F45" s="25"/>
      <c r="G45" s="64" t="s">
        <v>97</v>
      </c>
      <c r="H45" s="105">
        <v>0</v>
      </c>
      <c r="I45" s="25"/>
      <c r="J45" s="206" t="s">
        <v>37</v>
      </c>
      <c r="K45" s="207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</row>
    <row r="46" spans="2:20">
      <c r="B46" s="25"/>
      <c r="C46" s="36" t="s">
        <v>226</v>
      </c>
      <c r="D46" s="36">
        <f>COUNTIFS(JournalActions[Action],ACT_ME_ADV_P,JournalActions[Mi-temps],"MT1")</f>
        <v>0</v>
      </c>
      <c r="E46" s="37">
        <f>COUNTIFS(JournalActions[Action],ACT_ME_ADV_G,JournalActions[Mi-temps],"MT1")</f>
        <v>0</v>
      </c>
      <c r="F46" s="25"/>
      <c r="G46" s="36" t="s">
        <v>94</v>
      </c>
      <c r="H46" s="106">
        <v>0</v>
      </c>
      <c r="I46" s="25"/>
      <c r="J46" s="197" t="s">
        <v>39</v>
      </c>
      <c r="K46" s="198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</row>
    <row r="47" spans="2:20">
      <c r="B47" s="25"/>
      <c r="C47" s="25"/>
      <c r="D47" s="25"/>
      <c r="E47" s="25"/>
      <c r="F47" s="25"/>
      <c r="G47" s="107" t="s">
        <v>294</v>
      </c>
      <c r="H47" s="108">
        <v>0</v>
      </c>
      <c r="I47" s="25"/>
      <c r="J47" s="206" t="s">
        <v>220</v>
      </c>
      <c r="K47" s="207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</row>
    <row r="48" spans="2:20" ht="14">
      <c r="B48" s="25"/>
      <c r="C48" s="84" t="s">
        <v>290</v>
      </c>
      <c r="D48" s="84" t="s">
        <v>266</v>
      </c>
      <c r="E48" s="85" t="s">
        <v>195</v>
      </c>
      <c r="F48" s="25"/>
      <c r="G48" s="25"/>
      <c r="H48" s="25"/>
      <c r="I48" s="25"/>
      <c r="J48" s="68" t="s">
        <v>45</v>
      </c>
      <c r="K48" s="25"/>
      <c r="L48" s="25"/>
      <c r="M48" s="25"/>
      <c r="N48" s="25"/>
    </row>
    <row r="49" spans="2:14">
      <c r="B49" s="25"/>
      <c r="C49" s="64" t="s">
        <v>193</v>
      </c>
      <c r="D49" s="64">
        <f>COUNTIFS(JournalActions[Action],ACT_ME_NS_G,JournalActions[Mi-temps],"MT2")</f>
        <v>0</v>
      </c>
      <c r="E49" s="65">
        <f>COUNTIFS(JournalActions[Action],ACT_ME_NS_P,JournalActions[Mi-temps],"MT2")</f>
        <v>0</v>
      </c>
      <c r="F49" s="25"/>
      <c r="G49" s="25"/>
      <c r="H49" s="25"/>
      <c r="I49" s="25"/>
      <c r="K49" s="67"/>
      <c r="L49" s="25"/>
      <c r="M49" s="25"/>
      <c r="N49" s="25"/>
    </row>
    <row r="50" spans="2:14">
      <c r="B50" s="25"/>
      <c r="C50" s="36" t="s">
        <v>226</v>
      </c>
      <c r="D50" s="36">
        <f>COUNTIFS(JournalActions[Action],ACT_ME_ADV_P,JournalActions[Mi-temps],"MT2")</f>
        <v>0</v>
      </c>
      <c r="E50" s="37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4" thickBot="1"/>
    <row r="56" spans="2:14" s="25" customFormat="1">
      <c r="B56" s="208" t="s">
        <v>291</v>
      </c>
      <c r="C56" s="209"/>
      <c r="D56" s="209"/>
      <c r="E56" s="209"/>
      <c r="F56" s="209"/>
      <c r="G56" s="209"/>
      <c r="H56" s="209"/>
      <c r="I56" s="209"/>
      <c r="J56" s="209"/>
      <c r="K56" s="210"/>
    </row>
    <row r="57" spans="2:14" s="25" customFormat="1">
      <c r="B57" s="211"/>
      <c r="C57" s="212"/>
      <c r="D57" s="212"/>
      <c r="E57" s="212"/>
      <c r="F57" s="212"/>
      <c r="G57" s="212"/>
      <c r="H57" s="212"/>
      <c r="I57" s="212"/>
      <c r="J57" s="212"/>
      <c r="K57" s="213"/>
    </row>
    <row r="58" spans="2:14" s="25" customFormat="1" ht="14" thickBot="1">
      <c r="B58" s="214"/>
      <c r="C58" s="215"/>
      <c r="D58" s="215"/>
      <c r="E58" s="215"/>
      <c r="F58" s="215"/>
      <c r="G58" s="215"/>
      <c r="H58" s="215"/>
      <c r="I58" s="215"/>
      <c r="J58" s="215"/>
      <c r="K58" s="216"/>
    </row>
    <row r="59" spans="2:14" s="25" customFormat="1"/>
    <row r="60" spans="2:14" s="25" customFormat="1" ht="14">
      <c r="B60" s="187" t="s">
        <v>64</v>
      </c>
      <c r="C60" s="189" t="str">
        <f>ACT_TO_NS_G</f>
        <v>Touche à nous conservée</v>
      </c>
      <c r="D60" s="190"/>
      <c r="E60" s="189" t="str">
        <f>ACT_TO_ADV_VOLEE</f>
        <v>Touche à eux volée</v>
      </c>
      <c r="F60" s="190"/>
      <c r="H60" s="217" t="str">
        <f>ACT_TO_NS_P</f>
        <v>Touche à nous perdue</v>
      </c>
      <c r="I60" s="218"/>
      <c r="J60" s="217" t="str">
        <f>ACT_TO_NS_PAS_DROIT</f>
        <v>Touche à nous pas droite</v>
      </c>
      <c r="K60" s="218"/>
    </row>
    <row r="61" spans="2:14" s="25" customFormat="1" ht="14">
      <c r="B61" s="188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14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10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5">SUM(D62:D85)</f>
        <v>0</v>
      </c>
      <c r="E86" s="81">
        <f>SUM(E62:E85)</f>
        <v>0</v>
      </c>
      <c r="F86" s="82">
        <f t="shared" ref="F86" si="6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7">SUM(K62:K85)</f>
        <v>0</v>
      </c>
    </row>
    <row r="87" spans="2:11" s="25" customFormat="1" ht="16">
      <c r="B87" s="83" t="s">
        <v>229</v>
      </c>
      <c r="C87" s="199">
        <f>C86+D86</f>
        <v>0</v>
      </c>
      <c r="D87" s="200"/>
      <c r="E87" s="199">
        <f>E86+F86</f>
        <v>0</v>
      </c>
      <c r="F87" s="200"/>
      <c r="H87" s="204">
        <f>H86+I86</f>
        <v>0</v>
      </c>
      <c r="I87" s="205"/>
      <c r="J87" s="204">
        <f>J86+K86</f>
        <v>0</v>
      </c>
      <c r="K87" s="205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1" t="s">
        <v>300</v>
      </c>
      <c r="C92" s="113" t="s">
        <v>98</v>
      </c>
      <c r="D92" s="114" t="s">
        <v>164</v>
      </c>
    </row>
    <row r="93" spans="2:11" s="25" customFormat="1" ht="16">
      <c r="B93" s="115" t="s">
        <v>295</v>
      </c>
      <c r="C93" s="112">
        <v>0</v>
      </c>
      <c r="D93" s="116">
        <v>0</v>
      </c>
    </row>
    <row r="94" spans="2:11" s="25" customFormat="1" ht="16">
      <c r="B94" s="115" t="s">
        <v>296</v>
      </c>
      <c r="C94" s="112">
        <v>0</v>
      </c>
      <c r="D94" s="116">
        <v>0</v>
      </c>
    </row>
    <row r="95" spans="2:11" s="25" customFormat="1" ht="16">
      <c r="B95" s="115" t="s">
        <v>297</v>
      </c>
      <c r="C95" s="112">
        <v>0</v>
      </c>
      <c r="D95" s="116">
        <v>0</v>
      </c>
    </row>
    <row r="96" spans="2:11" s="25" customFormat="1" ht="16">
      <c r="B96" s="115" t="s">
        <v>298</v>
      </c>
      <c r="C96" s="112">
        <v>0</v>
      </c>
      <c r="D96" s="116">
        <v>0</v>
      </c>
    </row>
    <row r="97" spans="2:4" s="25" customFormat="1" ht="17" thickBot="1">
      <c r="B97" s="117" t="s">
        <v>299</v>
      </c>
      <c r="C97" s="118">
        <v>0</v>
      </c>
      <c r="D97" s="119">
        <v>0</v>
      </c>
    </row>
    <row r="98" spans="2:4" s="25" customFormat="1" ht="14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O6:T6"/>
    <mergeCell ref="O32:O33"/>
    <mergeCell ref="P32:P33"/>
    <mergeCell ref="Q32:Q33"/>
    <mergeCell ref="R32:R33"/>
    <mergeCell ref="S32:S33"/>
    <mergeCell ref="T32:T33"/>
    <mergeCell ref="B3:N4"/>
    <mergeCell ref="B6:B7"/>
    <mergeCell ref="C6:D6"/>
    <mergeCell ref="E6:F6"/>
    <mergeCell ref="G6:H6"/>
    <mergeCell ref="I6:J6"/>
    <mergeCell ref="K6:L6"/>
    <mergeCell ref="M6:N6"/>
  </mergeCells>
  <conditionalFormatting sqref="J38:N38 B8:T31">
    <cfRule type="expression" dxfId="41" priority="6" stopIfTrue="1">
      <formula>ISEVEN(ROW())</formula>
    </cfRule>
  </conditionalFormatting>
  <conditionalFormatting sqref="B62:B85">
    <cfRule type="expression" dxfId="40" priority="5" stopIfTrue="1">
      <formula>ISEVEN(ROW())</formula>
    </cfRule>
  </conditionalFormatting>
  <conditionalFormatting sqref="C62:D85">
    <cfRule type="expression" dxfId="39" priority="4" stopIfTrue="1">
      <formula>ISEVEN(ROW())</formula>
    </cfRule>
  </conditionalFormatting>
  <conditionalFormatting sqref="H62:I85">
    <cfRule type="expression" dxfId="38" priority="3" stopIfTrue="1">
      <formula>ISEVEN(ROW())</formula>
    </cfRule>
  </conditionalFormatting>
  <conditionalFormatting sqref="J62:K85">
    <cfRule type="expression" dxfId="37" priority="2" stopIfTrue="1">
      <formula>ISEVEN(ROW())</formula>
    </cfRule>
  </conditionalFormatting>
  <conditionalFormatting sqref="E62:F85">
    <cfRule type="expression" dxfId="3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>
      <selection sqref="A1:A10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242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09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09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243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Q5" s="46" t="s">
        <v>132</v>
      </c>
      <c r="R5" s="46" t="s">
        <v>133</v>
      </c>
    </row>
    <row r="6" spans="3:18" ht="30" customHeight="1">
      <c r="C6" s="44" t="s">
        <v>244</v>
      </c>
      <c r="D6" s="44"/>
      <c r="F6" s="42" t="s">
        <v>156</v>
      </c>
      <c r="G6" s="31"/>
      <c r="I6" s="43" t="s">
        <v>97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Q7" s="46" t="s">
        <v>136</v>
      </c>
      <c r="R7" s="46" t="s">
        <v>111</v>
      </c>
    </row>
    <row r="8" spans="3:18" ht="30" customHeight="1">
      <c r="C8" s="44" t="s">
        <v>245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246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/>
      <c r="D10" s="44"/>
      <c r="F10" s="42" t="s">
        <v>159</v>
      </c>
      <c r="G10" s="33"/>
      <c r="I10" s="73" t="s">
        <v>269</v>
      </c>
      <c r="Q10" s="43" t="s">
        <v>139</v>
      </c>
      <c r="R10" s="43" t="s">
        <v>110</v>
      </c>
    </row>
    <row r="11" spans="3:18" s="40" customFormat="1" ht="30" customHeight="1">
      <c r="C11" s="44" t="s">
        <v>247</v>
      </c>
      <c r="D11" s="44"/>
      <c r="F11" s="45" t="s">
        <v>303</v>
      </c>
      <c r="G11" s="121"/>
      <c r="K11"/>
      <c r="Q11" s="46" t="s">
        <v>140</v>
      </c>
      <c r="R11" s="46" t="s">
        <v>113</v>
      </c>
    </row>
    <row r="12" spans="3:18" ht="30" customHeight="1">
      <c r="C12" s="44" t="s">
        <v>233</v>
      </c>
      <c r="D12" s="44"/>
      <c r="F12" s="42" t="s">
        <v>304</v>
      </c>
      <c r="G12" s="122"/>
      <c r="Q12" s="46" t="s">
        <v>276</v>
      </c>
      <c r="R12" s="46" t="s">
        <v>277</v>
      </c>
    </row>
    <row r="13" spans="3:18" s="40" customFormat="1" ht="30" customHeight="1">
      <c r="C13" s="44" t="s">
        <v>248</v>
      </c>
      <c r="D13" s="44"/>
      <c r="F13" s="45" t="s">
        <v>305</v>
      </c>
      <c r="G13" s="123"/>
      <c r="K13"/>
      <c r="Q13" s="45" t="s">
        <v>228</v>
      </c>
      <c r="R13" s="93" t="s">
        <v>213</v>
      </c>
    </row>
    <row r="14" spans="3:18" ht="30" customHeight="1">
      <c r="C14" s="44" t="s">
        <v>249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/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 t="s">
        <v>257</v>
      </c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258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259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260</v>
      </c>
      <c r="D19" s="44"/>
      <c r="I19" s="40" t="s">
        <v>271</v>
      </c>
      <c r="Q19" s="45" t="s">
        <v>145</v>
      </c>
      <c r="R19" s="93" t="s">
        <v>107</v>
      </c>
    </row>
    <row r="20" spans="3:18" ht="30" customHeight="1">
      <c r="C20" s="44" t="s">
        <v>261</v>
      </c>
      <c r="D20" s="44"/>
      <c r="I20" s="40" t="s">
        <v>272</v>
      </c>
      <c r="Q20" s="45" t="s">
        <v>146</v>
      </c>
      <c r="R20" s="93" t="s">
        <v>104</v>
      </c>
    </row>
    <row r="21" spans="3:18" ht="30" customHeight="1">
      <c r="C21" s="44"/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274</v>
      </c>
      <c r="R37" s="53" t="s">
        <v>275</v>
      </c>
    </row>
    <row r="38" spans="17:18" ht="30" customHeight="1">
      <c r="Q38" s="46" t="s">
        <v>280</v>
      </c>
      <c r="R38" s="46" t="s">
        <v>281</v>
      </c>
    </row>
    <row r="39" spans="17:18" ht="30" customHeight="1">
      <c r="Q39" s="46" t="s">
        <v>282</v>
      </c>
      <c r="R39" s="46" t="s">
        <v>283</v>
      </c>
    </row>
    <row r="40" spans="17:18" ht="30" customHeight="1">
      <c r="Q40" s="46" t="s">
        <v>284</v>
      </c>
      <c r="R40" s="46" t="s">
        <v>285</v>
      </c>
    </row>
    <row r="41" spans="17:18" ht="30" customHeight="1">
      <c r="Q41" s="53" t="s">
        <v>286</v>
      </c>
      <c r="R41" s="53" t="s">
        <v>287</v>
      </c>
    </row>
    <row r="42" spans="17:18" ht="30" customHeight="1">
      <c r="Q42" s="53" t="s">
        <v>306</v>
      </c>
      <c r="R42" s="53" t="s">
        <v>307</v>
      </c>
    </row>
    <row r="43" spans="17:18" ht="30" customHeight="1">
      <c r="Q43" s="53" t="s">
        <v>308</v>
      </c>
      <c r="R43" s="53" t="s">
        <v>309</v>
      </c>
    </row>
    <row r="44" spans="17:18" ht="30" customHeight="1">
      <c r="Q44" s="53" t="s">
        <v>310</v>
      </c>
      <c r="R44" s="53" t="s">
        <v>311</v>
      </c>
    </row>
    <row r="45" spans="17:18" ht="30" customHeight="1">
      <c r="Q45" s="53" t="s">
        <v>312</v>
      </c>
      <c r="R45" s="53" t="s">
        <v>318</v>
      </c>
    </row>
    <row r="46" spans="17:18" ht="30" customHeight="1">
      <c r="Q46" s="53" t="s">
        <v>313</v>
      </c>
      <c r="R46" s="53" t="s">
        <v>319</v>
      </c>
    </row>
    <row r="47" spans="17:18" ht="30" customHeight="1">
      <c r="Q47" s="53" t="s">
        <v>314</v>
      </c>
      <c r="R47" s="53" t="s">
        <v>320</v>
      </c>
    </row>
    <row r="48" spans="17:18" ht="30" customHeight="1">
      <c r="Q48" s="53" t="s">
        <v>315</v>
      </c>
      <c r="R48" s="53" t="s">
        <v>321</v>
      </c>
    </row>
    <row r="49" spans="17:18" ht="30" customHeight="1">
      <c r="Q49" s="53" t="s">
        <v>316</v>
      </c>
      <c r="R49" s="53" t="s">
        <v>322</v>
      </c>
    </row>
    <row r="50" spans="17:18" ht="30" customHeight="1">
      <c r="Q50" s="53" t="s">
        <v>317</v>
      </c>
      <c r="R50" s="53" t="s">
        <v>323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19" t="s">
        <v>127</v>
      </c>
      <c r="D5" s="219"/>
      <c r="E5" s="219"/>
      <c r="F5" s="219"/>
      <c r="G5" s="219"/>
    </row>
    <row r="6" spans="3:7" ht="14" thickBot="1"/>
    <row r="7" spans="3:7">
      <c r="C7" s="158"/>
      <c r="D7" s="159"/>
      <c r="E7" s="159"/>
      <c r="F7" s="159"/>
      <c r="G7" s="160"/>
    </row>
    <row r="8" spans="3:7">
      <c r="C8" s="161"/>
      <c r="G8" s="162"/>
    </row>
    <row r="9" spans="3:7">
      <c r="C9" s="163" t="s">
        <v>125</v>
      </c>
      <c r="D9" s="167"/>
      <c r="G9" s="162"/>
    </row>
    <row r="10" spans="3:7">
      <c r="C10" s="163"/>
      <c r="G10" s="162"/>
    </row>
    <row r="11" spans="3:7">
      <c r="C11" s="163" t="s">
        <v>126</v>
      </c>
      <c r="D11" s="167"/>
      <c r="G11" s="162"/>
    </row>
    <row r="12" spans="3:7">
      <c r="C12" s="161"/>
      <c r="G12" s="162"/>
    </row>
    <row r="13" spans="3:7" ht="14" thickBot="1">
      <c r="C13" s="164"/>
      <c r="D13" s="165"/>
      <c r="E13" s="165"/>
      <c r="F13" s="165"/>
      <c r="G13" s="166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184</vt:i4>
      </vt:variant>
    </vt:vector>
  </HeadingPairs>
  <TitlesOfParts>
    <vt:vector size="191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2026-08-20T17:08:27Z</dcterms:modified>
</cp:coreProperties>
</file>