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A64436AA-E3D9-6541-9021-CE94F0F6BCAC}" xr6:coauthVersionLast="47" xr6:coauthVersionMax="47" xr10:uidLastSave="{00000000-0000-0000-0000-000000000000}"/>
  <bookViews>
    <workbookView xWindow="6000" yWindow="660" windowWidth="28560" windowHeight="17660" activeTab="2" xr2:uid="{1E5C896C-F332-E148-BC32-5F8B49356FF5}"/>
    <workbookView xWindow="14800" yWindow="13540" windowWidth="19760" windowHeight="8580" activeTab="3" xr2:uid="{00A46784-0C6C-534B-ABC6-270933803FFF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8" i="12" l="1"/>
  <c r="I37" i="12"/>
  <c r="N31" i="12"/>
  <c r="M31" i="12"/>
  <c r="N30" i="12"/>
  <c r="M30" i="12"/>
  <c r="N29" i="12"/>
  <c r="M29" i="12"/>
  <c r="N28" i="12"/>
  <c r="M28" i="12"/>
  <c r="N27" i="12"/>
  <c r="M27" i="12"/>
  <c r="N26" i="12"/>
  <c r="M26" i="12"/>
  <c r="N25" i="12"/>
  <c r="M25" i="12"/>
  <c r="N24" i="12"/>
  <c r="M24" i="12"/>
  <c r="N23" i="12"/>
  <c r="M23" i="12"/>
  <c r="N22" i="12"/>
  <c r="M22" i="12"/>
  <c r="N21" i="12"/>
  <c r="M21" i="12"/>
  <c r="N20" i="12"/>
  <c r="M20" i="12"/>
  <c r="N19" i="12"/>
  <c r="M19" i="12"/>
  <c r="N18" i="12"/>
  <c r="M18" i="12"/>
  <c r="N17" i="12"/>
  <c r="M17" i="12"/>
  <c r="N16" i="12"/>
  <c r="M16" i="12"/>
  <c r="N15" i="12"/>
  <c r="M15" i="12"/>
  <c r="N14" i="12"/>
  <c r="M14" i="12"/>
  <c r="N13" i="12"/>
  <c r="M13" i="12"/>
  <c r="N12" i="12"/>
  <c r="M12" i="12"/>
  <c r="N11" i="12"/>
  <c r="M11" i="12"/>
  <c r="N10" i="12"/>
  <c r="M10" i="12"/>
  <c r="N9" i="12"/>
  <c r="M9" i="12"/>
  <c r="N8" i="12"/>
  <c r="M8" i="12"/>
  <c r="C23" i="18"/>
  <c r="B23" i="18"/>
  <c r="C22" i="18"/>
  <c r="B22" i="18"/>
  <c r="D7" i="18"/>
  <c r="C7" i="18"/>
  <c r="B7" i="18"/>
  <c r="D6" i="18"/>
  <c r="C6" i="18"/>
  <c r="B6" i="18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F15" i="3"/>
  <c r="E15" i="3"/>
  <c r="F66" i="3"/>
  <c r="E66" i="3"/>
  <c r="B65" i="12" a="1"/>
  <c r="B65" i="12" s="1"/>
  <c r="B8" i="12" a="1"/>
  <c r="B8" i="12" s="1"/>
  <c r="B3" i="12"/>
  <c r="E2" i="7"/>
  <c r="E38" i="12"/>
  <c r="E42" i="12"/>
  <c r="F40" i="3"/>
  <c r="E40" i="3"/>
  <c r="N47" i="12" l="1"/>
  <c r="O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<sst xmlns="http://schemas.openxmlformats.org/spreadsheetml/2006/main" count="940" uniqueCount="644">
  <si>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</si>
  <si>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</si>
  <si>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</si>
  <si>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</si>
  <si>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</si>
  <si>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</si>
  <si>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</si>
  <si>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</si>
  <si>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</si>
  <si>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</si>
  <si>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</si>
  <si>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</si>
  <si>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</si>
  <si>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</si>
  <si>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</si>
  <si>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</si>
  <si>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</si>
  <si>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</si>
  <si>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</si>
  <si>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</si>
  <si>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</si>
  <si>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</si>
  <si>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</si>
  <si>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</si>
  <si>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</si>
  <si>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</si>
  <si>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</si>
  <si>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</si>
  <si>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</si>
  <si>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</si>
  <si>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</si>
  <si>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</si>
  <si>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</si>
  <si>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</si>
  <si>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</si>
  <si>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</si>
  <si>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</si>
  <si>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</si>
  <si>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</si>
  <si>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</si>
  <si>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</si>
  <si>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</si>
  <si>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</si>
  <si>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</si>
  <si>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</si>
  <si>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</si>
  <si>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</si>
  <si>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</si>
  <si>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</si>
  <si>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</si>
  <si>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</si>
  <si>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</si>
  <si>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</si>
  <si>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</si>
  <si>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</si>
  <si>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</si>
  <si>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</si>
  <si>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</si>
  <si>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</si>
  <si>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</si>
  <si>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</si>
  <si>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</si>
  <si>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</si>
  <si>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</si>
  <si>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</si>
  <si>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</si>
  <si>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</si>
  <si>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</si>
  <si>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</si>
  <si>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</si>
  <si>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</si>
  <si>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</si>
  <si>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</si>
  <si>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</si>
  <si>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</si>
  <si>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</si>
  <si>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</si>
  <si>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</si>
  <si>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</si>
  <si>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</si>
  <si>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</si>
  <si>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</si>
  <si>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</si>
  <si>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</si>
  <si>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</si>
  <si>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</si>
  <si>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</si>
  <si>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</si>
  <si>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</si>
  <si>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</si>
  <si>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</si>
  <si>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</si>
  <si>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</si>
  <si>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</si>
  <si>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</si>
  <si>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</si>
  <si>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</si>
  <si>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</si>
  <si>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</si>
  <si>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</si>
  <si>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</si>
  <si>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</si>
  <si>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</si>
  <si>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</si>
  <si>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</si>
  <si>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</si>
  <si>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</si>
  <si>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</si>
  <si>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</si>
  <si>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</si>
  <si>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</si>
  <si>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</si>
  <si>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</si>
  <si>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</si>
  <si>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</si>
  <si>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</si>
  <si>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</si>
  <si>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</si>
  <si>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</si>
  <si>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</si>
  <si>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</si>
  <si>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</si>
  <si>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</si>
  <si>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</si>
  <si>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</si>
  <si>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</si>
  <si>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</si>
  <si>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</si>
  <si>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</si>
  <si>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</si>
  <si>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</si>
  <si>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</si>
  <si>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</si>
  <si>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</si>
  <si>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</si>
  <si>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</si>
  <si>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</si>
  <si>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</si>
  <si>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</si>
  <si>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</si>
  <si>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</si>
  <si>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</si>
  <si>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</si>
  <si>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</si>
  <si>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</si>
  <si>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</si>
  <si>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</si>
  <si>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</si>
  <si>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</si>
  <si>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</si>
  <si>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</si>
  <si>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</si>
  <si>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</si>
  <si>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</si>
  <si>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</si>
  <si>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</si>
  <si>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</si>
  <si>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</si>
  <si>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</si>
  <si>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</si>
  <si>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</si>
  <si>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</si>
  <si>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</si>
  <si>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</si>
  <si>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</si>
  <si>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</si>
  <si>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</si>
  <si>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</si>
  <si>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</si>
  <si>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</si>
  <si>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</si>
  <si>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</si>
  <si>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</si>
  <si>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</si>
  <si>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</si>
  <si>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</si>
  <si>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</si>
  <si>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</si>
  <si>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</si>
  <si>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</si>
  <si>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</si>
  <si>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</si>
  <si>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</si>
  <si>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</si>
  <si>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</si>
  <si>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</si>
  <si>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</si>
  <si>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</si>
  <si>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</si>
  <si>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</si>
  <si>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</si>
  <si>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</si>
  <si>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</si>
  <si>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</si>
  <si>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</si>
  <si>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</si>
  <si>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</si>
  <si>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</si>
  <si>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</si>
  <si>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</si>
  <si>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</si>
  <si>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</si>
  <si>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</si>
  <si>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</si>
  <si>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</si>
  <si>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</si>
  <si>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</si>
  <si>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</si>
  <si>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</si>
  <si>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</si>
  <si>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</si>
  <si>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</si>
  <si>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</si>
  <si>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</si>
  <si>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</si>
  <si>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</si>
  <si>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</si>
  <si>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</si>
  <si>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</si>
  <si>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</si>
  <si>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</si>
  <si>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</si>
  <si>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</si>
  <si>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</si>
  <si>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</si>
  <si>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</si>
  <si>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</si>
  <si>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</si>
  <si>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</si>
  <si>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</si>
  <si>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</si>
  <si>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</si>
  <si>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</si>
  <si>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</si>
  <si>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</si>
  <si>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</si>
  <si>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</si>
  <si>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</si>
  <si>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</si>
  <si>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</si>
  <si>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</si>
  <si>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</si>
  <si>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</si>
  <si>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</si>
  <si>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</si>
  <si>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</si>
  <si>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</si>
  <si>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</si>
  <si>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</si>
  <si>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</si>
  <si>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</si>
  <si>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</si>
  <si>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</si>
  <si>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</si>
  <si>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</si>
  <si>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</si>
  <si>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</si>
  <si>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</si>
  <si>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</si>
  <si>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</si>
  <si>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</si>
  <si>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</si>
  <si>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</si>
  <si>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</si>
  <si>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</si>
  <si>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</si>
  <si>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</si>
  <si>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</si>
  <si>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</si>
  <si>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</si>
  <si>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</si>
  <si>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</si>
  <si>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</si>
  <si>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</si>
  <si>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</si>
  <si>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</si>
  <si>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</si>
  <si>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</si>
  <si>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</si>
  <si>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</si>
  <si>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</si>
  <si>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</si>
  <si>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</si>
  <si>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</si>
  <si>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</si>
  <si>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</si>
  <si>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</si>
  <si>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</si>
  <si>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</si>
  <si>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</si>
  <si>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</si>
  <si>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</si>
  <si>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</si>
  <si>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</si>
  <si>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</si>
  <si>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</si>
  <si>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</si>
  <si>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</si>
  <si>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</si>
  <si>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</si>
  <si>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</si>
  <si>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</si>
  <si>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</si>
  <si>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</si>
  <si>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</si>
  <si>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</si>
  <si>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</si>
  <si>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</si>
  <si>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</si>
  <si>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</si>
  <si>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</si>
  <si>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</si>
  <si>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</si>
  <si>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</si>
  <si>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</si>
  <si>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</si>
  <si>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</si>
  <si>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</si>
  <si>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</si>
  <si>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</si>
  <si>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</si>
  <si>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</si>
  <si>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</si>
  <si>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</si>
  <si>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</si>
  <si>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</si>
  <si>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</si>
  <si>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</si>
  <si>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</si>
  <si>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</si>
  <si>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</si>
  <si>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</si>
  <si>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</si>
  <si>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</si>
  <si>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</si>
  <si>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</si>
  <si>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</si>
  <si>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</si>
  <si>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</si>
  <si>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</si>
  <si>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</si>
  <si>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</si>
  <si>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</si>
  <si>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</si>
  <si>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</si>
  <si>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</si>
  <si>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</si>
  <si>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</si>
  <si>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</si>
  <si>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</si>
  <si>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</si>
  <si>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</si>
  <si>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</si>
  <si>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</si>
  <si>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</si>
  <si>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</si>
  <si>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</si>
  <si>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</si>
  <si>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</si>
  <si>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</si>
  <si>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</si>
  <si>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</si>
  <si>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</si>
  <si>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</si>
  <si>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</si>
  <si>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</si>
  <si>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</si>
  <si>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</si>
  <si>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</si>
  <si>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</si>
  <si>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</si>
  <si>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</si>
  <si>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</si>
  <si>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</si>
  <si>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</si>
  <si>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</si>
  <si>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</si>
  <si>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</si>
  <si>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</si>
  <si>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</si>
  <si>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</si>
  <si>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</si>
  <si>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</si>
  <si>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</si>
  <si>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</si>
  <si>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</si>
  <si>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</si>
  <si>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</si>
  <si>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</si>
  <si>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</si>
  <si>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</si>
  <si>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</si>
  <si>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</si>
  <si>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</si>
  <si>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</si>
  <si>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</si>
  <si>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</si>
  <si>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</si>
  <si>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</si>
  <si>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</si>
  <si>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</si>
  <si>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</si>
  <si>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</si>
  <si>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</si>
  <si>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</si>
  <si>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</si>
  <si>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</si>
  <si>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</si>
  <si>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</si>
  <si>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</si>
  <si>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</si>
  <si>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</si>
  <si>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</si>
  <si>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</si>
  <si>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</si>
  <si>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</si>
  <si>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</si>
  <si>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</si>
  <si>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</si>
  <si>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</si>
  <si>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</si>
  <si>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</si>
  <si>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</si>
  <si>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</si>
  <si>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</si>
  <si>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</si>
  <si>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</si>
  <si>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</si>
  <si>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</si>
  <si>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</si>
  <si>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</si>
  <si>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</si>
  <si>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</si>
  <si>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</si>
  <si>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</si>
  <si>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</si>
  <si>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</si>
  <si>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</si>
  <si>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</si>
  <si>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</si>
  <si>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</si>
  <si>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</si>
  <si>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</si>
  <si>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</si>
  <si>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</si>
  <si>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</si>
  <si>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</si>
  <si>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</si>
  <si>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</si>
  <si>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</si>
  <si>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</si>
  <si>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</si>
  <si>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</si>
  <si>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</si>
  <si>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</si>
  <si>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</si>
  <si>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</si>
  <si>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</si>
  <si>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</si>
  <si>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</si>
  <si>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</si>
  <si>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</si>
  <si>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</si>
  <si>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</si>
  <si>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</si>
  <si>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</si>
  <si>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</si>
  <si>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</si>
  <si>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</si>
  <si>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</si>
  <si>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</si>
  <si>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</si>
  <si>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</si>
  <si>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</si>
  <si>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</si>
  <si>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</si>
  <si>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</si>
  <si>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</si>
  <si>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</si>
  <si>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</si>
  <si>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</si>
  <si>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</si>
  <si>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</si>
  <si>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</si>
  <si>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</si>
  <si>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</si>
  <si>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</si>
  <si>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</si>
  <si>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</si>
  <si>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</si>
  <si>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</si>
  <si>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</si>
  <si>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</si>
  <si>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</si>
  <si>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</si>
  <si>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</si>
  <si>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</si>
  <si>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</si>
  <si>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</si>
  <si>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</si>
  <si>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</si>
  <si>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</si>
  <si>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</si>
  <si>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</si>
  <si>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</si>
  <si>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</si>
  <si>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</si>
  <si>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</si>
  <si>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</si>
  <si>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</si>
  <si>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</si>
  <si>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</si>
  <si>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</si>
  <si>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</si>
  <si>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</si>
  <si>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</si>
  <si>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JOUEUR FAUTIF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</si>
  <si>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</si>
  <si>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</si>
  <si>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</si>
  <si>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</si>
  <si>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</si>
  <si>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</si>
  <si>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</si>
  <si>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</si>
  <si>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</si>
  <si>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</si>
  <si>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</si>
  <si>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</si>
  <si>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</si>
  <si>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</si>
  <si>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</si>
  <si>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</si>
  <si>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</si>
  <si>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</si>
  <si>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</si>
  <si>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</si>
  <si>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</si>
  <si>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</si>
  <si>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</si>
  <si>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</si>
  <si>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</si>
  <si>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</si>
  <si>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</si>
  <si>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</si>
  <si>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</si>
  <si>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</si>
  <si>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</si>
  <si>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</si>
  <si>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</si>
  <si>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</si>
  <si>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</si>
  <si>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</si>
  <si>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</si>
  <si>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</si>
  <si>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</si>
  <si>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</si>
  <si>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</si>
  <si>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</si>
  <si>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</si>
  <si>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</si>
  <si>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</si>
  <si>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</si>
  <si>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</si>
  <si>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</si>
  <si>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</si>
  <si>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</si>
  <si>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</si>
  <si>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</si>
  <si>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</si>
  <si>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</si>
  <si>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</si>
  <si>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</si>
  <si>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</si>
  <si>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Nous  -  carton jaune  -  ABADIE Emeric  -  43:53</t>
  </si>
  <si>
    <t>Nous  -  carton blanc  -  DUTREY Thomas  -  43:53</t>
  </si>
  <si>
    <t>43:57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</si>
  <si>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</si>
  <si>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</si>
  <si>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3
</t>
    </r>
    <r>
      <rPr>
        <sz val="9"/>
        <color rgb="FF000000"/>
        <rFont val="Calibri"/>
        <family val="2"/>
      </rPr>
      <t>BAUP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</si>
  <si>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</si>
  <si>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</si>
  <si>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7
</t>
    </r>
    <r>
      <rPr>
        <sz val="9"/>
        <color rgb="FF000000"/>
        <rFont val="Calibri"/>
        <family val="2"/>
      </rPr>
      <t>BIFFI</t>
    </r>
  </si>
  <si>
    <r>
      <t xml:space="preserve">9
</t>
    </r>
    <r>
      <rPr>
        <sz val="9"/>
        <color rgb="FF000000"/>
        <rFont val="Calibri"/>
        <family val="2"/>
      </rPr>
      <t>MOUDENS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</si>
  <si>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</si>
  <si>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12
</t>
    </r>
    <r>
      <rPr>
        <sz val="9"/>
        <color rgb="FF000000"/>
        <rFont val="Calibri"/>
        <family val="2"/>
      </rPr>
      <t>LAUDET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</si>
  <si>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</si>
  <si>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</si>
  <si>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15
</t>
    </r>
    <r>
      <rPr>
        <sz val="9"/>
        <color rgb="FF000000"/>
        <rFont val="Calibri"/>
        <family val="2"/>
      </rPr>
      <t>SALLES</t>
    </r>
  </si>
  <si>
    <r>
      <t xml:space="preserve">14
</t>
    </r>
    <r>
      <rPr>
        <sz val="9"/>
        <color rgb="FF000000"/>
        <rFont val="Calibri"/>
        <family val="2"/>
      </rPr>
      <t>JOUNAUX</t>
    </r>
  </si>
  <si>
    <t>US Eauze Gondrin</t>
  </si>
  <si>
    <t>Jeu effectif</t>
  </si>
  <si>
    <t>Eux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</si>
  <si>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</si>
  <si>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t>10m de plus - contestation</t>
  </si>
  <si>
    <r>
      <t xml:space="preserve">4
</t>
    </r>
    <r>
      <rPr>
        <sz val="9"/>
        <color rgb="FF000000"/>
        <rFont val="Calibri"/>
        <family val="2"/>
      </rPr>
      <t>DUTREY</t>
    </r>
  </si>
  <si>
    <r>
      <t xml:space="preserve">6
</t>
    </r>
    <r>
      <rPr>
        <sz val="9"/>
        <color rgb="FF000000"/>
        <rFont val="Calibri"/>
        <family val="2"/>
      </rPr>
      <t>MULLIER</t>
    </r>
  </si>
  <si>
    <t>COUP FRANC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</si>
  <si>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</si>
  <si>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</si>
  <si>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</si>
  <si>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</si>
  <si>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</si>
  <si>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</si>
  <si>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</si>
  <si>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</si>
  <si>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</si>
  <si>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</si>
  <si>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</si>
  <si>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</si>
  <si>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</si>
  <si>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</si>
  <si>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</si>
  <si>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</si>
  <si>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</si>
  <si>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</si>
  <si>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</si>
  <si>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</si>
  <si>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</si>
  <si>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</si>
  <si>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</si>
  <si>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</si>
  <si>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</si>
  <si>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</si>
  <si>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</si>
  <si>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</si>
  <si>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</si>
  <si>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</si>
  <si>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</si>
  <si>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10:42</t>
  </si>
  <si>
    <t>10:47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</si>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</sst>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9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6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3" fillId="16" borderId="0" xfId="0" applyFont="1" applyFill="1" applyAlignment="1">
      <alignment horizontal="center"/>
    </xf>
    <xf numFmtId="0" fontId="48" fillId="44" borderId="67" xfId="0" applyFont="1" applyFill="1" applyBorder="1" applyAlignment="1">
      <alignment horizontal="center" vertical="center"/>
    </xf>
    <xf numFmtId="0" fontId="48" fillId="12" borderId="67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0" fontId="48" fillId="16" borderId="0" xfId="0" applyFont="1" applyFill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" fillId="16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23" fillId="24" borderId="9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2" fillId="16" borderId="0" xfId="0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49" fontId="42" fillId="33" borderId="0" xfId="0" applyNumberFormat="1" applyFont="1" applyFill="1" applyAlignment="1">
      <alignment horizontal="center"/>
    </xf>
    <xf numFmtId="0" fontId="49" fillId="37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1" fillId="43" borderId="43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  <sheetView topLeftCell="B1" workbookViewId="2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590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D34" sqref="D34"/>
    </sheetView>
    <sheetView workbookViewId="1"/>
    <sheetView workbookViewId="2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70" t="s">
        <v>200</v>
      </c>
      <c r="C2" s="170"/>
      <c r="E2" s="171" t="str">
        <f>"FEUILLE COMPO "&amp;MATCH_NOUS</f>
        <v>FEUILLE COMPO MXV</v>
      </c>
      <c r="F2" s="172"/>
      <c r="G2" s="172"/>
      <c r="H2" s="173"/>
    </row>
    <row r="3" spans="1:8" ht="19" customHeight="1">
      <c r="B3" s="170"/>
      <c r="C3" s="170"/>
      <c r="E3" s="174"/>
      <c r="F3" s="175"/>
      <c r="G3" s="175"/>
      <c r="H3" s="176"/>
    </row>
    <row r="4" spans="1:8" ht="19" customHeight="1" thickBot="1">
      <c r="B4" s="170"/>
      <c r="C4" s="170"/>
      <c r="E4" s="177"/>
      <c r="F4" s="178"/>
      <c r="G4" s="178"/>
      <c r="H4" s="17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46314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193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627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AP18" sqref="AP18"/>
    </sheetView>
    <sheetView workbookViewId="1"/>
    <sheetView workbookViewId="2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8"/>
      <c r="B1" s="224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  <c r="AF1" s="225"/>
      <c r="AG1" s="225"/>
      <c r="AH1" s="225"/>
      <c r="AI1" s="225"/>
      <c r="AJ1" s="225"/>
      <c r="AK1" s="225"/>
      <c r="AL1" s="225"/>
      <c r="AM1" s="225"/>
      <c r="AN1" s="225"/>
      <c r="AO1" s="225"/>
      <c r="AP1" s="225"/>
      <c r="AQ1" s="225"/>
      <c r="AR1" s="225"/>
      <c r="AS1" s="225"/>
      <c r="AT1" s="225"/>
      <c r="AU1" s="225"/>
      <c r="AV1" s="225"/>
      <c r="AW1" s="225"/>
      <c r="AX1" s="225"/>
      <c r="AY1" s="225"/>
      <c r="AZ1" s="138"/>
      <c r="BA1" s="138"/>
      <c r="BB1" s="138"/>
      <c r="BC1" s="138"/>
      <c r="BD1" s="138"/>
      <c r="BE1" s="138"/>
      <c r="BF1" s="138"/>
      <c r="BG1" s="138"/>
      <c r="BH1" s="138"/>
      <c r="BI1" s="138"/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</row>
    <row r="2" spans="1:88" ht="10" customHeight="1" thickBot="1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  <c r="AC2" s="138"/>
      <c r="AD2" s="138"/>
      <c r="AE2" s="138"/>
      <c r="AF2" s="138"/>
      <c r="AG2" s="138"/>
      <c r="AH2" s="138"/>
      <c r="AI2" s="138"/>
      <c r="AJ2" s="138"/>
      <c r="AK2" s="138"/>
      <c r="AL2" s="138"/>
      <c r="AM2" s="138"/>
      <c r="AN2" s="138"/>
      <c r="AO2" s="138"/>
      <c r="AP2" s="138"/>
      <c r="AQ2" s="138"/>
      <c r="AR2" s="138"/>
      <c r="AS2" s="138"/>
      <c r="AT2" s="138"/>
      <c r="AU2" s="138"/>
      <c r="AV2" s="138"/>
      <c r="AW2" s="138"/>
      <c r="AX2" s="138"/>
      <c r="AY2" s="138"/>
      <c r="AZ2" s="138"/>
      <c r="BA2" s="138"/>
      <c r="BB2" s="138"/>
      <c r="BC2" s="138"/>
      <c r="BD2" s="138"/>
      <c r="BE2" s="138"/>
      <c r="BF2" s="138"/>
      <c r="BG2" s="138"/>
      <c r="BH2" s="138"/>
      <c r="BI2" s="138"/>
      <c r="BJ2" s="138"/>
      <c r="BK2" s="138"/>
      <c r="BL2" s="138"/>
      <c r="BM2" s="138"/>
      <c r="BN2" s="138"/>
      <c r="BO2" s="138"/>
      <c r="BP2" s="138"/>
      <c r="BQ2" s="138"/>
      <c r="BR2" s="138"/>
      <c r="BS2" s="138"/>
      <c r="BT2" s="138"/>
      <c r="BU2" s="138"/>
      <c r="BV2" s="138"/>
      <c r="BW2" s="138"/>
      <c r="BX2" s="138"/>
      <c r="BY2" s="138"/>
      <c r="BZ2" s="138"/>
      <c r="CA2" s="138"/>
      <c r="CB2" s="138"/>
      <c r="CC2" s="138"/>
      <c r="CD2" s="138"/>
      <c r="CE2" s="138"/>
      <c r="CF2" s="138"/>
      <c r="CG2" s="138"/>
      <c r="CH2" s="138"/>
      <c r="CI2" s="138"/>
      <c r="CJ2" s="138"/>
    </row>
    <row r="3" spans="1:88" ht="10" customHeight="1">
      <c r="A3" s="138"/>
      <c r="B3" s="140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2"/>
      <c r="AZ3" s="138"/>
      <c r="BA3" s="140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2"/>
      <c r="BN3" s="138"/>
      <c r="BO3" s="138"/>
      <c r="BP3" s="138"/>
      <c r="BQ3" s="138"/>
      <c r="BR3" s="138"/>
      <c r="BS3" s="138"/>
      <c r="BT3" s="138"/>
      <c r="BU3" s="138"/>
      <c r="BV3" s="138"/>
      <c r="BW3" s="138"/>
      <c r="BX3" s="138"/>
      <c r="BY3" s="138"/>
      <c r="BZ3" s="138"/>
      <c r="CA3" s="138"/>
      <c r="CB3" s="138"/>
      <c r="CC3" s="138"/>
      <c r="CD3" s="138"/>
      <c r="CE3" s="138"/>
      <c r="CF3" s="138"/>
      <c r="CG3" s="138"/>
      <c r="CH3" s="138"/>
      <c r="CI3" s="138"/>
      <c r="CJ3" s="138"/>
    </row>
    <row r="4" spans="1:88" ht="42" customHeight="1">
      <c r="A4" s="138"/>
      <c r="B4" s="139"/>
      <c r="C4" s="180" t="s">
        <v>124</v>
      </c>
      <c r="D4" s="181"/>
      <c r="E4" s="181"/>
      <c r="F4" s="181"/>
      <c r="G4" s="181"/>
      <c r="H4" s="181"/>
      <c r="I4" s="181"/>
      <c r="J4" s="181"/>
      <c r="K4" s="138"/>
      <c r="L4" s="198" t="s">
        <v>39</v>
      </c>
      <c r="M4" s="199"/>
      <c r="N4" s="199"/>
      <c r="O4" s="199"/>
      <c r="P4" s="199"/>
      <c r="Q4" s="199"/>
      <c r="R4" s="200"/>
      <c r="S4" s="138"/>
      <c r="T4" s="198" t="s">
        <v>55</v>
      </c>
      <c r="U4" s="199"/>
      <c r="V4" s="199"/>
      <c r="W4" s="199"/>
      <c r="X4" s="199"/>
      <c r="Y4" s="199"/>
      <c r="Z4" s="200"/>
      <c r="AA4" s="138"/>
      <c r="AB4" s="180" t="s">
        <v>628</v>
      </c>
      <c r="AC4" s="181"/>
      <c r="AD4" s="181"/>
      <c r="AE4" s="181"/>
      <c r="AF4" s="181"/>
      <c r="AG4" s="181"/>
      <c r="AH4" s="181"/>
      <c r="AI4" s="138"/>
      <c r="AJ4" s="201" t="s">
        <v>43</v>
      </c>
      <c r="AK4" s="202"/>
      <c r="AL4" s="202"/>
      <c r="AM4" s="202"/>
      <c r="AN4" s="202"/>
      <c r="AO4" s="202"/>
      <c r="AP4" s="203"/>
      <c r="AQ4" s="138"/>
      <c r="AR4" s="201" t="s">
        <v>44</v>
      </c>
      <c r="AS4" s="202"/>
      <c r="AT4" s="202"/>
      <c r="AU4" s="202"/>
      <c r="AV4" s="202"/>
      <c r="AW4" s="202"/>
      <c r="AX4" s="203"/>
      <c r="AY4" s="143"/>
      <c r="AZ4" s="138"/>
      <c r="BA4" s="139"/>
      <c r="BB4" s="162" t="s">
        <v>38</v>
      </c>
      <c r="BC4" s="138"/>
      <c r="BD4" s="14" t="s">
        <v>29</v>
      </c>
      <c r="BE4" s="138"/>
      <c r="BF4" s="14" t="s">
        <v>51</v>
      </c>
      <c r="BG4" s="138"/>
      <c r="BH4" s="14" t="s">
        <v>141</v>
      </c>
      <c r="BI4" s="138"/>
      <c r="BJ4" s="14" t="s">
        <v>30</v>
      </c>
      <c r="BK4" s="138"/>
      <c r="BL4" s="14" t="s">
        <v>31</v>
      </c>
      <c r="BM4" s="143"/>
      <c r="BN4" s="138"/>
      <c r="BO4" s="138"/>
      <c r="BP4" s="138"/>
      <c r="BQ4" s="138"/>
      <c r="BR4" s="138"/>
      <c r="BS4" s="138"/>
      <c r="BT4" s="138"/>
      <c r="BU4" s="138"/>
      <c r="BV4" s="138"/>
      <c r="BW4" s="138"/>
      <c r="BX4" s="138"/>
      <c r="BY4" s="138"/>
      <c r="BZ4" s="138"/>
      <c r="CA4" s="138"/>
      <c r="CB4" s="138"/>
      <c r="CC4" s="138"/>
      <c r="CD4" s="138"/>
      <c r="CE4" s="138"/>
      <c r="CF4" s="138"/>
      <c r="CG4" s="138"/>
      <c r="CH4" s="138"/>
      <c r="CI4" s="138"/>
      <c r="CJ4" s="138"/>
    </row>
    <row r="5" spans="1:88" ht="10" customHeight="1" thickBot="1">
      <c r="A5" s="138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6"/>
      <c r="AZ5" s="138"/>
      <c r="BA5" s="144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6"/>
      <c r="BN5" s="138"/>
      <c r="BO5" s="138"/>
      <c r="BP5" s="138"/>
      <c r="BQ5" s="138"/>
      <c r="BR5" s="138"/>
      <c r="BS5" s="138"/>
      <c r="BT5" s="138"/>
      <c r="BU5" s="138"/>
      <c r="BV5" s="138"/>
      <c r="BW5" s="138"/>
      <c r="BX5" s="138"/>
      <c r="BY5" s="138"/>
      <c r="BZ5" s="138"/>
      <c r="CA5" s="138"/>
      <c r="CB5" s="138"/>
      <c r="CC5" s="138"/>
      <c r="CD5" s="138"/>
      <c r="CE5" s="138"/>
      <c r="CF5" s="138"/>
      <c r="CG5" s="138"/>
      <c r="CH5" s="138"/>
      <c r="CI5" s="138"/>
      <c r="CJ5" s="138"/>
    </row>
    <row r="6" spans="1:88" ht="10" customHeight="1" thickBot="1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AQ6" s="138"/>
      <c r="AR6" s="138"/>
      <c r="AS6" s="138"/>
      <c r="AT6" s="138"/>
      <c r="AU6" s="138"/>
      <c r="AV6" s="138"/>
      <c r="AW6" s="138"/>
      <c r="AX6" s="138"/>
      <c r="AY6" s="138"/>
      <c r="AZ6" s="138"/>
      <c r="BA6" s="138"/>
      <c r="BB6" s="138"/>
      <c r="BC6" s="138"/>
      <c r="BD6" s="138"/>
      <c r="BE6" s="138"/>
      <c r="BF6" s="138"/>
      <c r="BG6" s="138"/>
      <c r="BH6" s="138"/>
      <c r="BI6" s="138"/>
      <c r="BJ6" s="138"/>
      <c r="BK6" s="138"/>
      <c r="BL6" s="138"/>
      <c r="BM6" s="138"/>
      <c r="BN6" s="138"/>
      <c r="BO6" s="138"/>
      <c r="BP6" s="138"/>
      <c r="BQ6" s="138"/>
      <c r="BR6" s="138"/>
      <c r="BS6" s="138"/>
      <c r="BT6" s="138"/>
      <c r="BU6" s="138"/>
      <c r="BV6" s="138"/>
      <c r="BW6" s="138"/>
      <c r="BX6" s="138"/>
      <c r="BY6" s="138"/>
      <c r="BZ6" s="138"/>
      <c r="CA6" s="138"/>
      <c r="CB6" s="138"/>
      <c r="CC6" s="138"/>
      <c r="CD6" s="138"/>
      <c r="CE6" s="138"/>
      <c r="CF6" s="138"/>
      <c r="CG6" s="138"/>
      <c r="CH6" s="138"/>
      <c r="CI6" s="138"/>
      <c r="CJ6" s="138"/>
    </row>
    <row r="7" spans="1:88" ht="10" customHeight="1">
      <c r="A7" s="138"/>
      <c r="B7" s="140"/>
      <c r="C7" s="141"/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2"/>
      <c r="AZ7" s="138"/>
      <c r="BA7" s="140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2"/>
      <c r="BN7" s="138"/>
      <c r="BO7" s="189" t="s">
        <v>514</v>
      </c>
      <c r="BP7" s="190"/>
      <c r="BQ7" s="191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</row>
    <row r="8" spans="1:88" ht="26" customHeight="1">
      <c r="A8" s="138"/>
      <c r="B8" s="139"/>
      <c r="C8" s="204" t="s">
        <v>242</v>
      </c>
      <c r="D8" s="181"/>
      <c r="E8" s="181"/>
      <c r="F8" s="181"/>
      <c r="G8" s="181"/>
      <c r="H8" s="181"/>
      <c r="I8" s="181"/>
      <c r="J8" s="138"/>
      <c r="K8" s="205"/>
      <c r="L8" s="206"/>
      <c r="M8" s="206"/>
      <c r="N8" s="206"/>
      <c r="O8" s="206"/>
      <c r="P8" s="206"/>
      <c r="Q8" s="207"/>
      <c r="R8" s="138"/>
      <c r="S8" s="208"/>
      <c r="T8" s="209"/>
      <c r="U8" s="209"/>
      <c r="V8" s="209"/>
      <c r="W8" s="209"/>
      <c r="X8" s="209"/>
      <c r="Y8" s="210"/>
      <c r="Z8" s="138"/>
      <c r="AA8" s="211"/>
      <c r="AB8" s="212"/>
      <c r="AC8" s="212"/>
      <c r="AD8" s="212"/>
      <c r="AE8" s="212"/>
      <c r="AF8" s="212"/>
      <c r="AG8" s="213"/>
      <c r="AH8" s="138"/>
      <c r="AI8" s="214"/>
      <c r="AJ8" s="215"/>
      <c r="AK8" s="215"/>
      <c r="AL8" s="215"/>
      <c r="AM8" s="215"/>
      <c r="AN8" s="215"/>
      <c r="AO8" s="216"/>
      <c r="AP8" s="138"/>
      <c r="AQ8" s="217" t="s">
        <v>626</v>
      </c>
      <c r="AR8" s="218"/>
      <c r="AS8" s="218"/>
      <c r="AT8" s="218"/>
      <c r="AU8" s="218"/>
      <c r="AV8" s="218"/>
      <c r="AW8" s="219"/>
      <c r="AX8" s="138"/>
      <c r="AY8" s="143"/>
      <c r="AZ8" s="138"/>
      <c r="BA8" s="139"/>
      <c r="BB8" s="162" t="s">
        <v>48</v>
      </c>
      <c r="BC8" s="138"/>
      <c r="BD8" s="7" t="s">
        <v>33</v>
      </c>
      <c r="BE8" s="138"/>
      <c r="BF8" s="7" t="s">
        <v>34</v>
      </c>
      <c r="BG8" s="138"/>
      <c r="BH8" s="7" t="s">
        <v>35</v>
      </c>
      <c r="BI8" s="138"/>
      <c r="BJ8" s="7" t="s">
        <v>36</v>
      </c>
      <c r="BK8" s="138"/>
      <c r="BL8" s="2" t="s">
        <v>37</v>
      </c>
      <c r="BM8" s="143"/>
      <c r="BN8" s="138"/>
      <c r="BO8" s="192"/>
      <c r="BP8" s="193"/>
      <c r="BQ8" s="194"/>
      <c r="BR8" s="138"/>
      <c r="BS8" s="138"/>
      <c r="BT8" s="138"/>
      <c r="BU8" s="138"/>
      <c r="BV8" s="138"/>
      <c r="BW8" s="138"/>
      <c r="BX8" s="138"/>
      <c r="BY8" s="138"/>
      <c r="BZ8" s="138"/>
      <c r="CA8" s="138"/>
      <c r="CB8" s="138"/>
      <c r="CC8" s="138"/>
      <c r="CD8" s="138"/>
      <c r="CE8" s="138"/>
      <c r="CF8" s="138"/>
      <c r="CG8" s="138"/>
      <c r="CH8" s="138"/>
      <c r="CI8" s="138"/>
      <c r="CJ8" s="138"/>
    </row>
    <row r="9" spans="1:88" ht="10" customHeight="1" thickBot="1">
      <c r="A9" s="138"/>
      <c r="B9" s="144"/>
      <c r="C9" s="145"/>
      <c r="D9" s="145"/>
      <c r="E9" s="145"/>
      <c r="F9" s="145"/>
      <c r="G9" s="145"/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6"/>
      <c r="AZ9" s="138"/>
      <c r="BA9" s="144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6"/>
      <c r="BN9" s="138"/>
      <c r="BO9" s="195"/>
      <c r="BP9" s="196"/>
      <c r="BQ9" s="197"/>
      <c r="BR9" s="138"/>
      <c r="BS9" s="138"/>
      <c r="BT9" s="138"/>
      <c r="BU9" s="138"/>
      <c r="BV9" s="138"/>
      <c r="BW9" s="138"/>
      <c r="BX9" s="138"/>
      <c r="BY9" s="138"/>
      <c r="BZ9" s="138"/>
      <c r="CA9" s="138"/>
      <c r="CB9" s="138"/>
      <c r="CC9" s="138"/>
      <c r="CD9" s="138"/>
      <c r="CE9" s="138"/>
      <c r="CF9" s="138"/>
      <c r="CG9" s="138"/>
      <c r="CH9" s="138"/>
      <c r="CI9" s="138"/>
      <c r="CJ9" s="138"/>
    </row>
    <row r="10" spans="1:88" ht="10" customHeight="1" thickBot="1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8"/>
      <c r="BD10" s="138"/>
      <c r="BE10" s="138"/>
      <c r="BF10" s="138"/>
      <c r="BG10" s="138"/>
      <c r="BH10" s="138"/>
      <c r="BI10" s="138"/>
      <c r="BJ10" s="138"/>
      <c r="BK10" s="138"/>
      <c r="BL10" s="138"/>
      <c r="BM10" s="138"/>
      <c r="BN10" s="138"/>
      <c r="BO10" s="138"/>
      <c r="BP10" s="138"/>
      <c r="BQ10" s="138"/>
      <c r="BR10" s="138"/>
      <c r="BS10" s="138"/>
      <c r="BT10" s="138"/>
      <c r="BU10" s="138"/>
      <c r="BV10" s="138"/>
      <c r="BW10" s="138"/>
      <c r="BX10" s="138"/>
      <c r="BY10" s="138"/>
      <c r="BZ10" s="138"/>
      <c r="CA10" s="138"/>
      <c r="CB10" s="138"/>
      <c r="CC10" s="138"/>
      <c r="CD10" s="138"/>
      <c r="CE10" s="138"/>
      <c r="CF10" s="138"/>
      <c r="CG10" s="138"/>
      <c r="CH10" s="138"/>
      <c r="CI10" s="138"/>
      <c r="CJ10" s="138"/>
    </row>
    <row r="11" spans="1:88" ht="10" customHeight="1">
      <c r="A11" s="138"/>
      <c r="B11" s="140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  <c r="AH11" s="141"/>
      <c r="AI11" s="141"/>
      <c r="AJ11" s="141"/>
      <c r="AK11" s="141"/>
      <c r="AL11" s="141"/>
      <c r="AM11" s="141"/>
      <c r="AN11" s="141"/>
      <c r="AO11" s="141"/>
      <c r="AP11" s="141"/>
      <c r="AQ11" s="141"/>
      <c r="AR11" s="141"/>
      <c r="AS11" s="141"/>
      <c r="AT11" s="141"/>
      <c r="AU11" s="141"/>
      <c r="AV11" s="141"/>
      <c r="AW11" s="141"/>
      <c r="AX11" s="141"/>
      <c r="AY11" s="142"/>
      <c r="AZ11" s="138"/>
      <c r="BA11" s="140"/>
      <c r="BB11" s="141"/>
      <c r="BC11" s="141"/>
      <c r="BD11" s="141"/>
      <c r="BE11" s="141"/>
      <c r="BF11" s="141"/>
      <c r="BG11" s="141"/>
      <c r="BH11" s="141"/>
      <c r="BI11" s="141"/>
      <c r="BJ11" s="141"/>
      <c r="BK11" s="141"/>
      <c r="BL11" s="141"/>
      <c r="BM11" s="141"/>
      <c r="BN11" s="141"/>
      <c r="BO11" s="141"/>
      <c r="BP11" s="141"/>
      <c r="BQ11" s="141"/>
      <c r="BR11" s="141"/>
      <c r="BS11" s="142"/>
      <c r="BT11" s="138"/>
      <c r="BU11" s="138"/>
      <c r="BV11" s="138"/>
      <c r="BW11" s="138"/>
      <c r="BX11" s="138"/>
      <c r="BY11" s="138"/>
      <c r="BZ11" s="138"/>
      <c r="CA11" s="138"/>
      <c r="CB11" s="138"/>
      <c r="CC11" s="138"/>
      <c r="CD11" s="138"/>
      <c r="CE11" s="138"/>
      <c r="CF11" s="138"/>
      <c r="CG11" s="138"/>
      <c r="CH11" s="138"/>
      <c r="CI11" s="138"/>
      <c r="CJ11" s="138"/>
    </row>
    <row r="12" spans="1:88" ht="15" customHeight="1">
      <c r="A12" s="138"/>
      <c r="B12" s="139"/>
      <c r="C12" s="188" t="s">
        <v>18</v>
      </c>
      <c r="D12" s="181"/>
      <c r="E12" s="181"/>
      <c r="F12" s="181"/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43"/>
      <c r="AZ12" s="138"/>
      <c r="BA12" s="139"/>
      <c r="BB12" s="188" t="s">
        <v>19</v>
      </c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/>
      <c r="BO12" s="181"/>
      <c r="BP12" s="181"/>
      <c r="BQ12" s="181"/>
      <c r="BR12" s="181"/>
      <c r="BS12" s="143"/>
      <c r="BT12" s="138"/>
      <c r="BU12" s="138"/>
      <c r="BV12" s="138"/>
      <c r="BW12" s="138"/>
      <c r="BX12" s="138"/>
      <c r="BY12" s="138"/>
      <c r="BZ12" s="138"/>
      <c r="CA12" s="138"/>
      <c r="CB12" s="138"/>
      <c r="CC12" s="138"/>
      <c r="CD12" s="138"/>
      <c r="CE12" s="138"/>
      <c r="CF12" s="138"/>
      <c r="CG12" s="138"/>
      <c r="CH12" s="138"/>
      <c r="CI12" s="138"/>
      <c r="CJ12" s="138"/>
    </row>
    <row r="13" spans="1:88" ht="13" customHeight="1">
      <c r="A13" s="138"/>
      <c r="B13" s="139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8"/>
      <c r="AB13" s="138"/>
      <c r="AC13" s="138"/>
      <c r="AD13" s="138"/>
      <c r="AE13" s="138"/>
      <c r="AF13" s="138"/>
      <c r="AG13" s="138"/>
      <c r="AH13" s="138"/>
      <c r="AI13" s="138"/>
      <c r="AJ13" s="138"/>
      <c r="AK13" s="138"/>
      <c r="AL13" s="138"/>
      <c r="AM13" s="138"/>
      <c r="AN13" s="138"/>
      <c r="AO13" s="138"/>
      <c r="AP13" s="138"/>
      <c r="AQ13" s="138"/>
      <c r="AR13" s="138"/>
      <c r="AS13" s="138"/>
      <c r="AT13" s="138"/>
      <c r="AU13" s="138"/>
      <c r="AV13" s="138"/>
      <c r="AW13" s="138"/>
      <c r="AX13" s="138"/>
      <c r="AY13" s="143"/>
      <c r="AZ13" s="138"/>
      <c r="BA13" s="139"/>
      <c r="BB13" s="138"/>
      <c r="BC13" s="138"/>
      <c r="BD13" s="138"/>
      <c r="BE13" s="138"/>
      <c r="BF13" s="138"/>
      <c r="BG13" s="138"/>
      <c r="BH13" s="138"/>
      <c r="BI13" s="138"/>
      <c r="BJ13" s="138"/>
      <c r="BK13" s="138"/>
      <c r="BL13" s="138"/>
      <c r="BM13" s="138"/>
      <c r="BN13" s="138"/>
      <c r="BO13" s="138"/>
      <c r="BP13" s="138"/>
      <c r="BQ13" s="138"/>
      <c r="BR13" s="138"/>
      <c r="BS13" s="143"/>
      <c r="BT13" s="138"/>
      <c r="BU13" s="138"/>
      <c r="BV13" s="138"/>
      <c r="BW13" s="138"/>
      <c r="BX13" s="138"/>
      <c r="BY13" s="138"/>
      <c r="BZ13" s="138"/>
      <c r="CA13" s="138"/>
      <c r="CB13" s="138"/>
      <c r="CC13" s="138"/>
      <c r="CD13" s="138"/>
      <c r="CE13" s="138"/>
      <c r="CF13" s="138"/>
      <c r="CG13" s="138"/>
      <c r="CH13" s="138"/>
      <c r="CI13" s="138"/>
      <c r="CJ13" s="138"/>
    </row>
    <row r="14" spans="1:88" ht="42" customHeight="1">
      <c r="A14" s="138"/>
      <c r="B14" s="139"/>
      <c r="C14" s="220" t="s">
        <v>593</v>
      </c>
      <c r="D14" s="183"/>
      <c r="E14" s="183"/>
      <c r="F14" s="183"/>
      <c r="G14" s="183"/>
      <c r="H14" s="183"/>
      <c r="I14" s="184"/>
      <c r="J14" s="138"/>
      <c r="K14" s="220" t="s">
        <v>541</v>
      </c>
      <c r="L14" s="183"/>
      <c r="M14" s="183"/>
      <c r="N14" s="183"/>
      <c r="O14" s="183"/>
      <c r="P14" s="183"/>
      <c r="Q14" s="184"/>
      <c r="R14" s="138"/>
      <c r="S14" s="220" t="s">
        <v>542</v>
      </c>
      <c r="T14" s="183"/>
      <c r="U14" s="183"/>
      <c r="V14" s="183"/>
      <c r="W14" s="183"/>
      <c r="X14" s="183"/>
      <c r="Y14" s="184"/>
      <c r="Z14" s="138"/>
      <c r="AA14" s="138"/>
      <c r="AB14" s="138"/>
      <c r="AC14" s="138"/>
      <c r="AD14" s="220" t="s">
        <v>548</v>
      </c>
      <c r="AE14" s="183"/>
      <c r="AF14" s="183"/>
      <c r="AG14" s="183"/>
      <c r="AH14" s="183"/>
      <c r="AI14" s="183"/>
      <c r="AJ14" s="184"/>
      <c r="AK14" s="138"/>
      <c r="AL14" s="138"/>
      <c r="AM14" s="138"/>
      <c r="AN14" s="138"/>
      <c r="AO14" s="138"/>
      <c r="AP14" s="220" t="s">
        <v>549</v>
      </c>
      <c r="AQ14" s="183"/>
      <c r="AR14" s="183"/>
      <c r="AS14" s="183"/>
      <c r="AT14" s="183"/>
      <c r="AU14" s="183"/>
      <c r="AV14" s="184"/>
      <c r="AW14" s="138"/>
      <c r="AX14" s="138"/>
      <c r="AY14" s="143"/>
      <c r="AZ14" s="138"/>
      <c r="BA14" s="139"/>
      <c r="BB14" s="162" t="s">
        <v>265</v>
      </c>
      <c r="BC14" s="138"/>
      <c r="BD14" s="5" t="s">
        <v>22</v>
      </c>
      <c r="BE14" s="138"/>
      <c r="BF14" s="5" t="s">
        <v>20</v>
      </c>
      <c r="BG14" s="138"/>
      <c r="BH14" s="5" t="s">
        <v>23</v>
      </c>
      <c r="BI14" s="138"/>
      <c r="BJ14" s="5" t="s">
        <v>24</v>
      </c>
      <c r="BK14" s="138"/>
      <c r="BL14" s="5" t="s">
        <v>21</v>
      </c>
      <c r="BM14" s="138"/>
      <c r="BN14" s="162" t="s">
        <v>222</v>
      </c>
      <c r="BO14" s="138"/>
      <c r="BP14" s="5" t="s">
        <v>25</v>
      </c>
      <c r="BQ14" s="138"/>
      <c r="BR14" s="5" t="s">
        <v>26</v>
      </c>
      <c r="BS14" s="143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</row>
    <row r="15" spans="1:88" ht="10" customHeight="1">
      <c r="A15" s="138"/>
      <c r="B15" s="139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  <c r="AE15" s="138"/>
      <c r="AF15" s="138"/>
      <c r="AG15" s="138"/>
      <c r="AH15" s="138"/>
      <c r="AI15" s="138"/>
      <c r="AJ15" s="138"/>
      <c r="AK15" s="138"/>
      <c r="AL15" s="138"/>
      <c r="AM15" s="138"/>
      <c r="AN15" s="138"/>
      <c r="AO15" s="138"/>
      <c r="AP15" s="138"/>
      <c r="AQ15" s="138"/>
      <c r="AR15" s="138"/>
      <c r="AS15" s="138"/>
      <c r="AT15" s="138"/>
      <c r="AU15" s="138"/>
      <c r="AV15" s="138"/>
      <c r="AW15" s="138"/>
      <c r="AX15" s="138"/>
      <c r="AY15" s="143"/>
      <c r="AZ15" s="138"/>
      <c r="BA15" s="139"/>
      <c r="BB15" s="138"/>
      <c r="BC15" s="138"/>
      <c r="BD15" s="138"/>
      <c r="BE15" s="138"/>
      <c r="BF15" s="138"/>
      <c r="BG15" s="138"/>
      <c r="BH15" s="138"/>
      <c r="BI15" s="138"/>
      <c r="BJ15" s="138"/>
      <c r="BK15" s="138"/>
      <c r="BL15" s="138"/>
      <c r="BM15" s="138"/>
      <c r="BN15" s="138"/>
      <c r="BO15" s="138"/>
      <c r="BP15" s="138"/>
      <c r="BQ15" s="138"/>
      <c r="BR15" s="138"/>
      <c r="BS15" s="143"/>
      <c r="BT15" s="138"/>
      <c r="BU15" s="138"/>
      <c r="BV15" s="138"/>
      <c r="BW15" s="138"/>
      <c r="BX15" s="138"/>
      <c r="BY15" s="138"/>
      <c r="BZ15" s="138"/>
      <c r="CA15" s="138"/>
      <c r="CB15" s="138"/>
      <c r="CC15" s="138"/>
      <c r="CD15" s="138"/>
      <c r="CE15" s="138"/>
      <c r="CF15" s="138"/>
      <c r="CG15" s="138"/>
      <c r="CH15" s="138"/>
      <c r="CI15" s="138"/>
      <c r="CJ15" s="138"/>
    </row>
    <row r="16" spans="1:88" ht="42" customHeight="1">
      <c r="A16" s="138"/>
      <c r="B16" s="139"/>
      <c r="C16" s="138"/>
      <c r="D16" s="138"/>
      <c r="E16" s="138"/>
      <c r="F16" s="138"/>
      <c r="G16" s="220" t="s">
        <v>543</v>
      </c>
      <c r="H16" s="183"/>
      <c r="I16" s="183"/>
      <c r="J16" s="183"/>
      <c r="K16" s="183"/>
      <c r="L16" s="183"/>
      <c r="M16" s="184"/>
      <c r="N16" s="138"/>
      <c r="O16" s="220" t="s">
        <v>544</v>
      </c>
      <c r="P16" s="183"/>
      <c r="Q16" s="183"/>
      <c r="R16" s="183"/>
      <c r="S16" s="183"/>
      <c r="T16" s="183"/>
      <c r="U16" s="184"/>
      <c r="V16" s="138"/>
      <c r="W16" s="138"/>
      <c r="X16" s="138"/>
      <c r="Y16" s="138"/>
      <c r="Z16" s="138"/>
      <c r="AA16" s="138"/>
      <c r="AB16" s="138"/>
      <c r="AC16" s="138"/>
      <c r="AD16" s="138"/>
      <c r="AE16" s="138"/>
      <c r="AF16" s="220" t="s">
        <v>551</v>
      </c>
      <c r="AG16" s="183"/>
      <c r="AH16" s="183"/>
      <c r="AI16" s="183"/>
      <c r="AJ16" s="183"/>
      <c r="AK16" s="183"/>
      <c r="AL16" s="184"/>
      <c r="AM16" s="138"/>
      <c r="AN16" s="220" t="s">
        <v>552</v>
      </c>
      <c r="AO16" s="183"/>
      <c r="AP16" s="183"/>
      <c r="AQ16" s="183"/>
      <c r="AR16" s="183"/>
      <c r="AS16" s="183"/>
      <c r="AT16" s="184"/>
      <c r="AU16" s="138"/>
      <c r="AV16" s="138"/>
      <c r="AW16" s="138"/>
      <c r="AX16" s="138"/>
      <c r="AY16" s="143"/>
      <c r="AZ16" s="138"/>
      <c r="BA16" s="139"/>
      <c r="BB16" s="162" t="s">
        <v>221</v>
      </c>
      <c r="BC16" s="138"/>
      <c r="BD16" s="5" t="s">
        <v>25</v>
      </c>
      <c r="BE16" s="138"/>
      <c r="BF16" s="5" t="s">
        <v>26</v>
      </c>
      <c r="BG16" s="138"/>
      <c r="BH16" s="5" t="s">
        <v>45</v>
      </c>
      <c r="BI16" s="138"/>
      <c r="BJ16" s="138"/>
      <c r="BK16" s="138"/>
      <c r="BL16" s="162" t="s">
        <v>402</v>
      </c>
      <c r="BM16" s="138"/>
      <c r="BN16" s="14" t="s">
        <v>243</v>
      </c>
      <c r="BO16" s="138"/>
      <c r="BP16" s="14" t="s">
        <v>400</v>
      </c>
      <c r="BQ16" s="138"/>
      <c r="BR16" s="14" t="s">
        <v>401</v>
      </c>
      <c r="BS16" s="143"/>
      <c r="BT16" s="138"/>
      <c r="BU16" s="138"/>
      <c r="BV16" s="138"/>
      <c r="BW16" s="138"/>
      <c r="BX16" s="138"/>
      <c r="BY16" s="138"/>
      <c r="BZ16" s="138"/>
      <c r="CA16" s="138"/>
      <c r="CB16" s="138"/>
      <c r="CC16" s="138"/>
      <c r="CD16" s="138"/>
      <c r="CE16" s="138"/>
      <c r="CF16" s="138"/>
      <c r="CG16" s="138"/>
      <c r="CH16" s="138"/>
      <c r="CI16" s="138"/>
      <c r="CJ16" s="138"/>
    </row>
    <row r="17" spans="1:88" ht="10" customHeight="1">
      <c r="A17" s="138"/>
      <c r="B17" s="139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  <c r="AE17" s="138"/>
      <c r="AF17" s="138"/>
      <c r="AG17" s="138"/>
      <c r="AH17" s="138"/>
      <c r="AI17" s="138"/>
      <c r="AJ17" s="138"/>
      <c r="AK17" s="138"/>
      <c r="AL17" s="138"/>
      <c r="AM17" s="138"/>
      <c r="AN17" s="138"/>
      <c r="AO17" s="138"/>
      <c r="AP17" s="138"/>
      <c r="AQ17" s="138"/>
      <c r="AR17" s="138"/>
      <c r="AS17" s="138"/>
      <c r="AT17" s="138"/>
      <c r="AU17" s="138"/>
      <c r="AV17" s="138"/>
      <c r="AW17" s="138"/>
      <c r="AX17" s="138"/>
      <c r="AY17" s="143"/>
      <c r="AZ17" s="138"/>
      <c r="BA17" s="139"/>
      <c r="BB17" s="138"/>
      <c r="BC17" s="138"/>
      <c r="BD17" s="138"/>
      <c r="BE17" s="138"/>
      <c r="BF17" s="138"/>
      <c r="BG17" s="138"/>
      <c r="BH17" s="138"/>
      <c r="BI17" s="138"/>
      <c r="BJ17" s="138"/>
      <c r="BK17" s="138"/>
      <c r="BL17" s="138"/>
      <c r="BM17" s="138"/>
      <c r="BN17" s="138"/>
      <c r="BO17" s="138"/>
      <c r="BP17" s="138"/>
      <c r="BQ17" s="138"/>
      <c r="BR17" s="138"/>
      <c r="BS17" s="143"/>
      <c r="BT17" s="138"/>
      <c r="BU17" s="138"/>
      <c r="BV17" s="138"/>
      <c r="BW17" s="138"/>
      <c r="BX17" s="138"/>
      <c r="BY17" s="138"/>
      <c r="BZ17" s="138"/>
      <c r="CA17" s="138"/>
      <c r="CB17" s="138"/>
      <c r="CC17" s="138"/>
      <c r="CD17" s="138"/>
      <c r="CE17" s="138"/>
      <c r="CF17" s="138"/>
      <c r="CG17" s="138"/>
      <c r="CH17" s="138"/>
      <c r="CI17" s="138"/>
      <c r="CJ17" s="138"/>
    </row>
    <row r="18" spans="1:88" ht="42" customHeight="1">
      <c r="A18" s="138"/>
      <c r="B18" s="139"/>
      <c r="C18" s="220" t="s">
        <v>545</v>
      </c>
      <c r="D18" s="183"/>
      <c r="E18" s="183"/>
      <c r="F18" s="183"/>
      <c r="G18" s="183"/>
      <c r="H18" s="183"/>
      <c r="I18" s="184"/>
      <c r="J18" s="138"/>
      <c r="K18" s="220" t="s">
        <v>547</v>
      </c>
      <c r="L18" s="183"/>
      <c r="M18" s="183"/>
      <c r="N18" s="183"/>
      <c r="O18" s="183"/>
      <c r="P18" s="183"/>
      <c r="Q18" s="184"/>
      <c r="R18" s="138"/>
      <c r="S18" s="220" t="s">
        <v>546</v>
      </c>
      <c r="T18" s="183"/>
      <c r="U18" s="183"/>
      <c r="V18" s="183"/>
      <c r="W18" s="183"/>
      <c r="X18" s="183"/>
      <c r="Y18" s="184"/>
      <c r="Z18" s="138"/>
      <c r="AA18" s="138"/>
      <c r="AB18" s="220" t="s">
        <v>550</v>
      </c>
      <c r="AC18" s="183"/>
      <c r="AD18" s="183"/>
      <c r="AE18" s="183"/>
      <c r="AF18" s="183"/>
      <c r="AG18" s="183"/>
      <c r="AH18" s="184"/>
      <c r="AI18" s="138"/>
      <c r="AJ18" s="220" t="s">
        <v>554</v>
      </c>
      <c r="AK18" s="183"/>
      <c r="AL18" s="183"/>
      <c r="AM18" s="183"/>
      <c r="AN18" s="183"/>
      <c r="AO18" s="183"/>
      <c r="AP18" s="184"/>
      <c r="AQ18" s="138"/>
      <c r="AR18" s="220" t="s">
        <v>553</v>
      </c>
      <c r="AS18" s="183"/>
      <c r="AT18" s="183"/>
      <c r="AU18" s="183"/>
      <c r="AV18" s="183"/>
      <c r="AW18" s="183"/>
      <c r="AX18" s="184"/>
      <c r="AY18" s="143"/>
      <c r="AZ18" s="138"/>
      <c r="BA18" s="139"/>
      <c r="BB18" s="162" t="s">
        <v>125</v>
      </c>
      <c r="BC18" s="138"/>
      <c r="BD18" s="5" t="s">
        <v>126</v>
      </c>
      <c r="BE18" s="138"/>
      <c r="BF18" s="5" t="s">
        <v>127</v>
      </c>
      <c r="BG18" s="138"/>
      <c r="BH18" s="5" t="s">
        <v>128</v>
      </c>
      <c r="BI18" s="138"/>
      <c r="BJ18" s="5" t="s">
        <v>129</v>
      </c>
      <c r="BK18" s="138"/>
      <c r="BL18" s="5" t="s">
        <v>10</v>
      </c>
      <c r="BM18" s="138"/>
      <c r="BN18" s="5" t="s">
        <v>27</v>
      </c>
      <c r="BO18" s="138"/>
      <c r="BP18" s="5" t="s">
        <v>218</v>
      </c>
      <c r="BQ18" s="138"/>
      <c r="BR18" s="5" t="s">
        <v>395</v>
      </c>
      <c r="BS18" s="143"/>
      <c r="BT18" s="138"/>
      <c r="BU18" s="138"/>
      <c r="BV18" s="138"/>
      <c r="BW18" s="138"/>
      <c r="BX18" s="138"/>
      <c r="BY18" s="138"/>
      <c r="BZ18" s="138"/>
      <c r="CA18" s="138"/>
      <c r="CB18" s="138"/>
      <c r="CC18" s="138"/>
      <c r="CD18" s="138"/>
      <c r="CE18" s="138"/>
      <c r="CF18" s="138"/>
      <c r="CG18" s="138"/>
      <c r="CH18" s="138"/>
      <c r="CI18" s="138"/>
      <c r="CJ18" s="138"/>
    </row>
    <row r="19" spans="1:88" s="3" customFormat="1" ht="10" customHeight="1">
      <c r="A19" s="138"/>
      <c r="B19" s="139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  <c r="AE19" s="138"/>
      <c r="AF19" s="138"/>
      <c r="AG19" s="138"/>
      <c r="AH19" s="138"/>
      <c r="AI19" s="138"/>
      <c r="AJ19" s="138"/>
      <c r="AK19" s="138"/>
      <c r="AL19" s="138"/>
      <c r="AM19" s="138"/>
      <c r="AN19" s="138"/>
      <c r="AO19" s="138"/>
      <c r="AP19" s="138"/>
      <c r="AQ19" s="138"/>
      <c r="AR19" s="138"/>
      <c r="AS19" s="138"/>
      <c r="AT19" s="138"/>
      <c r="AU19" s="138"/>
      <c r="AV19" s="138"/>
      <c r="AW19" s="138"/>
      <c r="AX19" s="138"/>
      <c r="AY19" s="143"/>
      <c r="AZ19" s="138"/>
      <c r="BA19" s="139"/>
      <c r="BB19" s="138"/>
      <c r="BC19" s="138"/>
      <c r="BD19" s="138"/>
      <c r="BE19" s="138"/>
      <c r="BF19" s="138"/>
      <c r="BG19" s="138"/>
      <c r="BH19" s="138"/>
      <c r="BI19" s="138"/>
      <c r="BJ19" s="138"/>
      <c r="BK19" s="138"/>
      <c r="BL19" s="138"/>
      <c r="BM19" s="138"/>
      <c r="BN19" s="138"/>
      <c r="BO19" s="138"/>
      <c r="BP19" s="138"/>
      <c r="BQ19" s="138"/>
      <c r="BR19" s="138"/>
      <c r="BS19" s="143"/>
      <c r="BT19" s="138"/>
      <c r="BU19" s="138"/>
      <c r="BV19" s="138"/>
      <c r="BW19" s="138"/>
      <c r="BX19" s="138"/>
      <c r="BY19" s="138"/>
      <c r="BZ19" s="138"/>
      <c r="CA19" s="138"/>
      <c r="CB19" s="138"/>
      <c r="CC19" s="138"/>
      <c r="CD19" s="138"/>
      <c r="CE19" s="138"/>
      <c r="CF19" s="138"/>
      <c r="CG19" s="138"/>
      <c r="CH19" s="138"/>
      <c r="CI19" s="138"/>
      <c r="CJ19" s="138"/>
    </row>
    <row r="20" spans="1:88" ht="42" customHeight="1">
      <c r="A20" s="138"/>
      <c r="B20" s="139"/>
      <c r="C20" s="138"/>
      <c r="D20" s="138"/>
      <c r="E20" s="138"/>
      <c r="F20" s="138"/>
      <c r="G20" s="138"/>
      <c r="H20" s="138"/>
      <c r="I20" s="138"/>
      <c r="J20" s="138"/>
      <c r="K20" s="226" t="s">
        <v>42</v>
      </c>
      <c r="L20" s="183"/>
      <c r="M20" s="183"/>
      <c r="N20" s="183"/>
      <c r="O20" s="183"/>
      <c r="P20" s="183"/>
      <c r="Q20" s="184"/>
      <c r="R20" s="138"/>
      <c r="S20" s="226" t="s">
        <v>153</v>
      </c>
      <c r="T20" s="183"/>
      <c r="U20" s="183"/>
      <c r="V20" s="183"/>
      <c r="W20" s="183"/>
      <c r="X20" s="183"/>
      <c r="Y20" s="184"/>
      <c r="Z20" s="138"/>
      <c r="AA20" s="138"/>
      <c r="AB20" s="226" t="s">
        <v>169</v>
      </c>
      <c r="AC20" s="183"/>
      <c r="AD20" s="183"/>
      <c r="AE20" s="183"/>
      <c r="AF20" s="183"/>
      <c r="AG20" s="183"/>
      <c r="AH20" s="184"/>
      <c r="AI20" s="138"/>
      <c r="AJ20" s="226" t="s">
        <v>32</v>
      </c>
      <c r="AK20" s="183"/>
      <c r="AL20" s="183"/>
      <c r="AM20" s="183"/>
      <c r="AN20" s="183"/>
      <c r="AO20" s="183"/>
      <c r="AP20" s="184"/>
      <c r="AQ20" s="138"/>
      <c r="AR20" s="138"/>
      <c r="AS20" s="138"/>
      <c r="AT20" s="138"/>
      <c r="AU20" s="138"/>
      <c r="AV20" s="138"/>
      <c r="AW20" s="138"/>
      <c r="AX20" s="138"/>
      <c r="AY20" s="143"/>
      <c r="AZ20" s="138"/>
      <c r="BA20" s="139"/>
      <c r="BB20" s="162" t="s">
        <v>65</v>
      </c>
      <c r="BC20" s="138"/>
      <c r="BD20" s="6" t="s">
        <v>157</v>
      </c>
      <c r="BE20" s="138"/>
      <c r="BF20" s="6" t="s">
        <v>158</v>
      </c>
      <c r="BG20" s="138"/>
      <c r="BH20" s="138"/>
      <c r="BI20" s="138"/>
      <c r="BJ20" s="162" t="s">
        <v>504</v>
      </c>
      <c r="BK20" s="138"/>
      <c r="BL20" s="6" t="s">
        <v>157</v>
      </c>
      <c r="BM20" s="138"/>
      <c r="BN20" s="6" t="s">
        <v>158</v>
      </c>
      <c r="BO20" s="138"/>
      <c r="BP20" s="138"/>
      <c r="BQ20" s="138"/>
      <c r="BR20" s="138"/>
      <c r="BS20" s="143"/>
      <c r="BT20" s="138"/>
      <c r="BU20" s="138"/>
      <c r="BV20" s="138"/>
      <c r="BW20" s="138"/>
      <c r="BX20" s="138"/>
      <c r="BY20" s="138"/>
      <c r="BZ20" s="138"/>
      <c r="CA20" s="138"/>
      <c r="CB20" s="138"/>
      <c r="CC20" s="138"/>
      <c r="CD20" s="138"/>
      <c r="CE20" s="138"/>
      <c r="CF20" s="138"/>
      <c r="CG20" s="138"/>
      <c r="CH20" s="138"/>
      <c r="CI20" s="138"/>
      <c r="CJ20" s="138"/>
    </row>
    <row r="21" spans="1:88" ht="10" customHeight="1" thickBot="1">
      <c r="A21" s="138"/>
      <c r="B21" s="144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6"/>
      <c r="AZ21" s="138"/>
      <c r="BA21" s="144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6"/>
      <c r="BT21" s="138"/>
      <c r="BU21" s="138"/>
      <c r="BV21" s="138"/>
      <c r="BW21" s="138"/>
      <c r="BX21" s="138"/>
      <c r="BY21" s="138"/>
      <c r="BZ21" s="138"/>
      <c r="CA21" s="138"/>
      <c r="CB21" s="138"/>
      <c r="CC21" s="138"/>
      <c r="CD21" s="138"/>
      <c r="CE21" s="138"/>
      <c r="CF21" s="138"/>
      <c r="CG21" s="138"/>
      <c r="CH21" s="138"/>
      <c r="CI21" s="138"/>
      <c r="CJ21" s="138"/>
    </row>
    <row r="22" spans="1:88" ht="10" customHeight="1" thickBot="1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  <c r="AE22" s="138"/>
      <c r="AF22" s="138"/>
      <c r="AG22" s="138"/>
      <c r="AH22" s="138"/>
      <c r="AI22" s="138"/>
      <c r="AJ22" s="138"/>
      <c r="AK22" s="138"/>
      <c r="AL22" s="138"/>
      <c r="AM22" s="138"/>
      <c r="AN22" s="138"/>
      <c r="AO22" s="138"/>
      <c r="AP22" s="138"/>
      <c r="AQ22" s="138"/>
      <c r="AR22" s="138"/>
      <c r="AS22" s="138"/>
      <c r="AT22" s="138"/>
      <c r="AU22" s="138"/>
      <c r="AV22" s="138"/>
      <c r="AW22" s="138"/>
      <c r="AX22" s="138"/>
      <c r="AY22" s="138"/>
      <c r="AZ22" s="138"/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38"/>
      <c r="CD22" s="138"/>
      <c r="CE22" s="138"/>
      <c r="CF22" s="138"/>
      <c r="CG22" s="138"/>
      <c r="CH22" s="138"/>
      <c r="CI22" s="138"/>
      <c r="CJ22" s="138"/>
    </row>
    <row r="23" spans="1:88" ht="10" customHeight="1">
      <c r="A23" s="138"/>
      <c r="B23" s="140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41"/>
      <c r="AS23" s="141"/>
      <c r="AT23" s="141"/>
      <c r="AU23" s="141"/>
      <c r="AV23" s="141"/>
      <c r="AW23" s="141"/>
      <c r="AX23" s="141"/>
      <c r="AY23" s="142"/>
      <c r="AZ23" s="138"/>
      <c r="BA23" s="138"/>
      <c r="BB23" s="138"/>
      <c r="BC23" s="138"/>
      <c r="BD23" s="138"/>
      <c r="BE23" s="138"/>
      <c r="BF23" s="138"/>
      <c r="BG23" s="138"/>
      <c r="BH23" s="138"/>
      <c r="BI23" s="138"/>
      <c r="BJ23" s="138"/>
      <c r="BK23" s="138"/>
      <c r="BL23" s="138"/>
      <c r="BM23" s="138"/>
      <c r="BN23" s="138"/>
      <c r="BO23" s="138"/>
      <c r="BP23" s="138"/>
      <c r="BQ23" s="138"/>
      <c r="BR23" s="138"/>
      <c r="BS23" s="138"/>
      <c r="BT23" s="138"/>
      <c r="BU23" s="138"/>
      <c r="BV23" s="138"/>
      <c r="BW23" s="138"/>
      <c r="BX23" s="138"/>
      <c r="BY23" s="138"/>
      <c r="BZ23" s="138"/>
      <c r="CA23" s="138"/>
      <c r="CB23" s="138"/>
      <c r="CC23" s="138"/>
      <c r="CD23" s="138"/>
      <c r="CE23" s="138"/>
      <c r="CF23" s="138"/>
      <c r="CG23" s="138"/>
      <c r="CH23" s="138"/>
      <c r="CI23" s="138"/>
      <c r="CJ23" s="138"/>
    </row>
    <row r="24" spans="1:88" ht="15" customHeight="1">
      <c r="A24" s="138"/>
      <c r="B24" s="139"/>
      <c r="C24" s="188" t="s">
        <v>40</v>
      </c>
      <c r="D24" s="181"/>
      <c r="E24" s="181"/>
      <c r="F24" s="181"/>
      <c r="G24" s="181"/>
      <c r="H24" s="181"/>
      <c r="I24" s="181"/>
      <c r="J24" s="181"/>
      <c r="K24" s="181"/>
      <c r="L24" s="181"/>
      <c r="M24" s="181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  <c r="AH24" s="181"/>
      <c r="AI24" s="181"/>
      <c r="AJ24" s="181"/>
      <c r="AK24" s="181"/>
      <c r="AL24" s="181"/>
      <c r="AM24" s="181"/>
      <c r="AN24" s="181"/>
      <c r="AO24" s="181"/>
      <c r="AP24" s="181"/>
      <c r="AQ24" s="181"/>
      <c r="AR24" s="181"/>
      <c r="AS24" s="181"/>
      <c r="AT24" s="181"/>
      <c r="AU24" s="181"/>
      <c r="AV24" s="181"/>
      <c r="AW24" s="181"/>
      <c r="AX24" s="181"/>
      <c r="AY24" s="143"/>
      <c r="AZ24" s="138"/>
      <c r="BA24" s="138"/>
      <c r="BB24" s="138"/>
      <c r="BC24" s="138"/>
      <c r="BD24" s="138"/>
      <c r="BE24" s="138"/>
      <c r="BF24" s="138"/>
      <c r="BG24" s="138"/>
      <c r="BH24" s="138"/>
      <c r="BI24" s="138"/>
      <c r="BJ24" s="138"/>
      <c r="BK24" s="138"/>
      <c r="BL24" s="138"/>
      <c r="BM24" s="138"/>
      <c r="BN24" s="138"/>
      <c r="BO24" s="138"/>
      <c r="BP24" s="138"/>
      <c r="BQ24" s="138"/>
      <c r="BR24" s="138"/>
      <c r="BS24" s="138"/>
      <c r="BT24" s="138"/>
      <c r="BU24" s="138"/>
      <c r="BV24" s="138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</row>
    <row r="25" spans="1:88" s="3" customFormat="1" ht="10" customHeight="1">
      <c r="A25" s="138"/>
      <c r="B25" s="139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43"/>
      <c r="AZ25" s="138"/>
      <c r="BA25" s="138"/>
      <c r="BB25" s="138"/>
      <c r="BC25" s="138"/>
      <c r="BD25" s="138"/>
      <c r="BE25" s="138"/>
      <c r="BF25" s="138"/>
      <c r="BG25" s="138"/>
      <c r="BH25" s="138"/>
      <c r="BI25" s="138"/>
      <c r="BJ25" s="138"/>
      <c r="BK25" s="138"/>
      <c r="BL25" s="138"/>
      <c r="BM25" s="138"/>
      <c r="BN25" s="138"/>
      <c r="BO25" s="138"/>
      <c r="BP25" s="138"/>
      <c r="BQ25" s="138"/>
      <c r="BR25" s="138"/>
      <c r="BS25" s="138"/>
      <c r="BT25" s="138"/>
      <c r="BU25" s="138"/>
      <c r="BV25" s="138"/>
      <c r="BW25" s="138"/>
      <c r="BX25" s="138"/>
      <c r="BY25" s="138"/>
      <c r="BZ25" s="138"/>
      <c r="CA25" s="138"/>
      <c r="CB25" s="138"/>
      <c r="CC25" s="138"/>
      <c r="CD25" s="138"/>
      <c r="CE25" s="138"/>
      <c r="CF25" s="138"/>
      <c r="CG25" s="138"/>
      <c r="CH25" s="138"/>
      <c r="CI25" s="138"/>
      <c r="CJ25" s="138"/>
    </row>
    <row r="26" spans="1:88" ht="15" customHeight="1">
      <c r="A26" s="138"/>
      <c r="B26" s="139"/>
      <c r="C26" s="180" t="s">
        <v>41</v>
      </c>
      <c r="D26" s="181"/>
      <c r="E26" s="181"/>
      <c r="F26" s="181"/>
      <c r="G26" s="181"/>
      <c r="H26" s="181"/>
      <c r="I26" s="181"/>
      <c r="J26" s="181"/>
      <c r="K26" s="181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  <c r="AE26" s="138"/>
      <c r="AF26" s="138"/>
      <c r="AG26" s="138"/>
      <c r="AH26" s="138"/>
      <c r="AI26" s="138"/>
      <c r="AJ26" s="138"/>
      <c r="AK26" s="138"/>
      <c r="AL26" s="138"/>
      <c r="AM26" s="138"/>
      <c r="AN26" s="138"/>
      <c r="AO26" s="138"/>
      <c r="AP26" s="138"/>
      <c r="AQ26" s="138"/>
      <c r="AR26" s="138"/>
      <c r="AS26" s="138"/>
      <c r="AT26" s="138"/>
      <c r="AU26" s="138"/>
      <c r="AV26" s="138"/>
      <c r="AW26" s="138"/>
      <c r="AX26" s="138"/>
      <c r="AY26" s="143"/>
      <c r="AZ26" s="138"/>
      <c r="BA26" s="138"/>
      <c r="BB26" s="138"/>
      <c r="BC26" s="138"/>
      <c r="BD26" s="138"/>
      <c r="BE26" s="138"/>
      <c r="BF26" s="138"/>
      <c r="BG26" s="138"/>
      <c r="BH26" s="138"/>
      <c r="BI26" s="138"/>
      <c r="BJ26" s="138"/>
      <c r="BK26" s="138"/>
      <c r="BL26" s="138"/>
      <c r="BM26" s="138"/>
      <c r="BN26" s="138"/>
      <c r="BO26" s="138"/>
      <c r="BP26" s="138"/>
      <c r="BQ26" s="138"/>
      <c r="BR26" s="138"/>
      <c r="BS26" s="138"/>
      <c r="BT26" s="138"/>
      <c r="BU26" s="138"/>
      <c r="BV26" s="138"/>
      <c r="BW26" s="138"/>
      <c r="BX26" s="138"/>
      <c r="BY26" s="138"/>
      <c r="BZ26" s="138"/>
      <c r="CA26" s="138"/>
      <c r="CB26" s="138"/>
      <c r="CC26" s="138"/>
      <c r="CD26" s="138"/>
      <c r="CE26" s="138"/>
      <c r="CF26" s="138"/>
      <c r="CG26" s="138"/>
      <c r="CH26" s="138"/>
      <c r="CI26" s="138"/>
      <c r="CJ26" s="138"/>
    </row>
    <row r="27" spans="1:88" ht="10" customHeight="1">
      <c r="A27" s="138"/>
      <c r="B27" s="139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E27" s="138"/>
      <c r="AF27" s="138"/>
      <c r="AG27" s="138"/>
      <c r="AH27" s="138"/>
      <c r="AI27" s="138"/>
      <c r="AJ27" s="138"/>
      <c r="AK27" s="138"/>
      <c r="AL27" s="138"/>
      <c r="AM27" s="138"/>
      <c r="AN27" s="138"/>
      <c r="AO27" s="138"/>
      <c r="AP27" s="138"/>
      <c r="AQ27" s="138"/>
      <c r="AR27" s="138"/>
      <c r="AS27" s="138"/>
      <c r="AT27" s="138"/>
      <c r="AU27" s="138"/>
      <c r="AV27" s="138"/>
      <c r="AW27" s="138"/>
      <c r="AX27" s="138"/>
      <c r="AY27" s="143"/>
      <c r="AZ27" s="138"/>
      <c r="BA27" s="138"/>
      <c r="BB27" s="138"/>
      <c r="BC27" s="138"/>
      <c r="BD27" s="138"/>
      <c r="BE27" s="138"/>
      <c r="BF27" s="138"/>
      <c r="BG27" s="138"/>
      <c r="BH27" s="138"/>
      <c r="BI27" s="138"/>
      <c r="BJ27" s="138"/>
      <c r="BK27" s="138"/>
      <c r="BL27" s="138"/>
      <c r="BM27" s="138"/>
      <c r="BN27" s="138"/>
      <c r="BO27" s="138"/>
      <c r="BP27" s="138"/>
      <c r="BQ27" s="138"/>
      <c r="BR27" s="138"/>
      <c r="BS27" s="138"/>
      <c r="BT27" s="138"/>
      <c r="BU27" s="138"/>
      <c r="BV27" s="138"/>
      <c r="BW27" s="138"/>
      <c r="BX27" s="138"/>
      <c r="BY27" s="138"/>
      <c r="BZ27" s="138"/>
      <c r="CA27" s="138"/>
      <c r="CB27" s="138"/>
      <c r="CC27" s="138"/>
      <c r="CD27" s="138"/>
      <c r="CE27" s="138"/>
      <c r="CF27" s="138"/>
      <c r="CG27" s="138"/>
      <c r="CH27" s="138"/>
      <c r="CI27" s="138"/>
      <c r="CJ27" s="138"/>
    </row>
    <row r="28" spans="1:88" ht="42" customHeight="1">
      <c r="A28" s="138"/>
      <c r="B28" s="139"/>
      <c r="C28" s="182">
        <v>6.959764502314815E-3</v>
      </c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4"/>
      <c r="Q28" s="138"/>
      <c r="R28" s="185" t="s">
        <v>12</v>
      </c>
      <c r="S28" s="186"/>
      <c r="T28" s="186"/>
      <c r="U28" s="186"/>
      <c r="V28" s="186"/>
      <c r="W28" s="186"/>
      <c r="X28" s="187"/>
      <c r="Y28" s="138"/>
      <c r="Z28" s="185" t="s">
        <v>11</v>
      </c>
      <c r="AA28" s="186"/>
      <c r="AB28" s="186"/>
      <c r="AC28" s="186"/>
      <c r="AD28" s="186"/>
      <c r="AE28" s="186"/>
      <c r="AF28" s="187"/>
      <c r="AG28" s="138"/>
      <c r="AH28" s="185" t="s">
        <v>118</v>
      </c>
      <c r="AI28" s="186"/>
      <c r="AJ28" s="186"/>
      <c r="AK28" s="186"/>
      <c r="AL28" s="186"/>
      <c r="AM28" s="186"/>
      <c r="AN28" s="187"/>
      <c r="AO28" s="138"/>
      <c r="AP28" s="221" t="s">
        <v>13</v>
      </c>
      <c r="AQ28" s="222"/>
      <c r="AR28" s="222"/>
      <c r="AS28" s="222"/>
      <c r="AT28" s="222"/>
      <c r="AU28" s="222"/>
      <c r="AV28" s="223"/>
      <c r="AW28" s="138"/>
      <c r="AX28" s="138"/>
      <c r="AY28" s="143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38"/>
      <c r="BP28" s="138"/>
      <c r="BQ28" s="138"/>
      <c r="BR28" s="138"/>
      <c r="BS28" s="138"/>
      <c r="BT28" s="138"/>
      <c r="BU28" s="138"/>
      <c r="BV28" s="138"/>
      <c r="BW28" s="138"/>
      <c r="BX28" s="138"/>
      <c r="BY28" s="138"/>
      <c r="BZ28" s="138"/>
      <c r="CA28" s="138"/>
      <c r="CB28" s="138"/>
      <c r="CC28" s="138"/>
      <c r="CD28" s="138"/>
      <c r="CE28" s="138"/>
      <c r="CF28" s="138"/>
      <c r="CG28" s="138"/>
      <c r="CH28" s="138"/>
      <c r="CI28" s="138"/>
      <c r="CJ28" s="138"/>
    </row>
    <row r="29" spans="1:88" ht="90" customHeight="1" thickBot="1">
      <c r="A29" s="138"/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  <c r="AA29" s="145"/>
      <c r="AB29" s="145"/>
      <c r="AC29" s="145"/>
      <c r="AD29" s="145"/>
      <c r="AE29" s="145"/>
      <c r="AF29" s="145"/>
      <c r="AG29" s="145"/>
      <c r="AH29" s="145"/>
      <c r="AI29" s="145"/>
      <c r="AJ29" s="145"/>
      <c r="AK29" s="145"/>
      <c r="AL29" s="145"/>
      <c r="AM29" s="145"/>
      <c r="AN29" s="145"/>
      <c r="AO29" s="145"/>
      <c r="AP29" s="145"/>
      <c r="AQ29" s="145"/>
      <c r="AR29" s="145"/>
      <c r="AS29" s="145"/>
      <c r="AT29" s="145"/>
      <c r="AU29" s="145"/>
      <c r="AV29" s="145"/>
      <c r="AW29" s="145"/>
      <c r="AX29" s="145"/>
      <c r="AY29" s="146"/>
      <c r="AZ29" s="138"/>
      <c r="BA29" s="138"/>
      <c r="BB29" s="138"/>
      <c r="BC29" s="138"/>
      <c r="BD29" s="138"/>
      <c r="BE29" s="138"/>
      <c r="BF29" s="138"/>
      <c r="BG29" s="138"/>
      <c r="BH29" s="138"/>
      <c r="BI29" s="138"/>
      <c r="BJ29" s="138"/>
      <c r="BK29" s="138"/>
      <c r="BL29" s="138"/>
      <c r="BM29" s="138"/>
      <c r="BN29" s="138"/>
      <c r="BO29" s="138"/>
      <c r="BP29" s="138"/>
      <c r="BQ29" s="138"/>
      <c r="BR29" s="138"/>
      <c r="BS29" s="138"/>
      <c r="BT29" s="138"/>
      <c r="BU29" s="138"/>
      <c r="BV29" s="138"/>
      <c r="BW29" s="138"/>
      <c r="BX29" s="138"/>
      <c r="BY29" s="138"/>
      <c r="BZ29" s="138"/>
      <c r="CA29" s="138"/>
      <c r="CB29" s="138"/>
      <c r="CC29" s="138"/>
      <c r="CD29" s="138"/>
      <c r="CE29" s="138"/>
      <c r="CF29" s="138"/>
      <c r="CG29" s="138"/>
      <c r="CH29" s="138"/>
      <c r="CI29" s="138"/>
      <c r="CJ29" s="138"/>
    </row>
    <row r="30" spans="1:88" ht="106" customHeight="1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38"/>
      <c r="AF30" s="138"/>
      <c r="AG30" s="138"/>
      <c r="AH30" s="138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8"/>
      <c r="CB30" s="138"/>
      <c r="CC30" s="138"/>
      <c r="CD30" s="138"/>
      <c r="CE30" s="138"/>
      <c r="CF30" s="138"/>
      <c r="CG30" s="138"/>
      <c r="CH30" s="138"/>
      <c r="CI30" s="138"/>
      <c r="CJ30" s="138"/>
    </row>
    <row r="31" spans="1:88" ht="10" customHeight="1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38"/>
      <c r="AF31" s="138"/>
      <c r="AG31" s="138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8"/>
      <c r="AS31" s="138"/>
      <c r="AT31" s="138"/>
      <c r="AU31" s="138"/>
      <c r="AV31" s="138"/>
      <c r="AW31" s="138"/>
      <c r="AX31" s="138"/>
      <c r="AY31" s="138"/>
      <c r="AZ31" s="138"/>
      <c r="BA31" s="138"/>
      <c r="BB31" s="138"/>
      <c r="BC31" s="138"/>
      <c r="BD31" s="138"/>
      <c r="BE31" s="138"/>
      <c r="BF31" s="138"/>
      <c r="BG31" s="138"/>
      <c r="BH31" s="138"/>
      <c r="BI31" s="138"/>
      <c r="BJ31" s="138"/>
      <c r="BK31" s="138"/>
      <c r="BL31" s="138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8"/>
      <c r="CB31" s="138"/>
      <c r="CC31" s="138"/>
      <c r="CD31" s="138"/>
      <c r="CE31" s="138"/>
      <c r="CF31" s="138"/>
      <c r="CG31" s="138"/>
      <c r="CH31" s="138"/>
      <c r="CI31" s="138"/>
      <c r="CJ31" s="138"/>
    </row>
    <row r="32" spans="1:88" ht="10" customHeight="1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8"/>
      <c r="BG32" s="138"/>
      <c r="BH32" s="138"/>
      <c r="BI32" s="138"/>
      <c r="BJ32" s="138"/>
      <c r="BK32" s="138"/>
      <c r="BL32" s="138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8"/>
      <c r="CD32" s="138"/>
      <c r="CE32" s="138"/>
      <c r="CF32" s="138"/>
      <c r="CG32" s="138"/>
      <c r="CH32" s="138"/>
      <c r="CI32" s="138"/>
      <c r="CJ32" s="138"/>
    </row>
    <row r="33" spans="1:88" ht="15" customHeight="1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8"/>
      <c r="AU33" s="138"/>
      <c r="AV33" s="138"/>
      <c r="AW33" s="138"/>
      <c r="AX33" s="138"/>
      <c r="AY33" s="138"/>
      <c r="AZ33" s="138"/>
      <c r="BA33" s="138"/>
      <c r="BB33" s="138"/>
      <c r="BC33" s="138"/>
      <c r="BD33" s="138"/>
      <c r="BE33" s="138"/>
      <c r="BF33" s="138"/>
      <c r="BG33" s="138"/>
      <c r="BH33" s="138"/>
      <c r="BI33" s="138"/>
      <c r="BJ33" s="138"/>
      <c r="BK33" s="138"/>
      <c r="BL33" s="138"/>
      <c r="BM33" s="138"/>
      <c r="BN33" s="138"/>
      <c r="BO33" s="138"/>
      <c r="BP33" s="138"/>
      <c r="BQ33" s="138"/>
      <c r="BR33" s="138"/>
      <c r="BS33" s="138"/>
      <c r="BT33" s="138"/>
      <c r="BU33" s="138"/>
      <c r="BV33" s="138"/>
      <c r="BW33" s="138"/>
      <c r="BX33" s="138"/>
      <c r="BY33" s="138"/>
      <c r="BZ33" s="138"/>
      <c r="CA33" s="138"/>
      <c r="CB33" s="138"/>
      <c r="CC33" s="138"/>
      <c r="CD33" s="138"/>
      <c r="CE33" s="138"/>
      <c r="CF33" s="138"/>
      <c r="CG33" s="138"/>
      <c r="CH33" s="138"/>
      <c r="CI33" s="138"/>
      <c r="CJ33" s="138"/>
    </row>
    <row r="34" spans="1:88" ht="15" customHeight="1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8"/>
      <c r="AU34" s="138"/>
      <c r="AV34" s="138"/>
      <c r="AW34" s="138"/>
      <c r="AX34" s="138"/>
      <c r="AY34" s="138"/>
      <c r="AZ34" s="138"/>
      <c r="BA34" s="138"/>
      <c r="BB34" s="138"/>
      <c r="BC34" s="138"/>
      <c r="BD34" s="138"/>
      <c r="BE34" s="138"/>
      <c r="BF34" s="138"/>
      <c r="BG34" s="138"/>
      <c r="BH34" s="138"/>
      <c r="BI34" s="138"/>
      <c r="BJ34" s="138"/>
      <c r="BK34" s="138"/>
      <c r="BL34" s="138"/>
      <c r="BM34" s="138"/>
      <c r="BN34" s="138"/>
      <c r="BO34" s="138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8"/>
      <c r="CB34" s="138"/>
      <c r="CC34" s="138"/>
      <c r="CD34" s="138"/>
      <c r="CE34" s="138"/>
      <c r="CF34" s="138"/>
      <c r="CG34" s="138"/>
      <c r="CH34" s="138"/>
      <c r="CI34" s="138"/>
      <c r="CJ34" s="138"/>
    </row>
    <row r="35" spans="1:88" ht="15" customHeight="1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8"/>
      <c r="AF35" s="138"/>
      <c r="AG35" s="138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8"/>
      <c r="AT35" s="138"/>
      <c r="AU35" s="138"/>
      <c r="AV35" s="138"/>
      <c r="AW35" s="138"/>
      <c r="AX35" s="138"/>
      <c r="AY35" s="138"/>
      <c r="AZ35" s="138"/>
      <c r="BA35" s="138"/>
      <c r="BB35" s="138"/>
      <c r="BC35" s="138"/>
      <c r="BD35" s="138"/>
      <c r="BE35" s="138"/>
      <c r="BF35" s="138"/>
      <c r="BG35" s="138"/>
      <c r="BH35" s="138"/>
      <c r="BI35" s="138"/>
      <c r="BJ35" s="138"/>
      <c r="BK35" s="138"/>
      <c r="BL35" s="138"/>
      <c r="BM35" s="138"/>
      <c r="BN35" s="138"/>
      <c r="BO35" s="138"/>
      <c r="BP35" s="138"/>
      <c r="BQ35" s="138"/>
      <c r="BR35" s="138"/>
      <c r="BS35" s="138"/>
      <c r="BT35" s="138"/>
      <c r="BU35" s="138"/>
      <c r="BV35" s="138"/>
      <c r="BW35" s="138"/>
      <c r="BX35" s="138"/>
      <c r="BY35" s="138"/>
      <c r="BZ35" s="138"/>
      <c r="CA35" s="138"/>
      <c r="CB35" s="138"/>
      <c r="CC35" s="138"/>
      <c r="CD35" s="138"/>
      <c r="CE35" s="138"/>
      <c r="CF35" s="138"/>
      <c r="CG35" s="138"/>
      <c r="CH35" s="138"/>
      <c r="CI35" s="138"/>
      <c r="CJ35" s="138"/>
    </row>
    <row r="36" spans="1:88" ht="15" customHeight="1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</row>
    <row r="37" spans="1:88" ht="15" customHeight="1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8"/>
      <c r="AG37" s="138"/>
      <c r="AH37" s="138"/>
      <c r="AI37" s="138"/>
      <c r="AJ37" s="138"/>
      <c r="AK37" s="138"/>
      <c r="AL37" s="138"/>
      <c r="AM37" s="138"/>
      <c r="AN37" s="138"/>
      <c r="AO37" s="138"/>
      <c r="AP37" s="138"/>
      <c r="AQ37" s="138"/>
      <c r="AR37" s="138"/>
      <c r="AS37" s="138"/>
      <c r="AT37" s="138"/>
      <c r="AU37" s="138"/>
      <c r="AV37" s="138"/>
      <c r="AW37" s="138"/>
      <c r="AX37" s="138"/>
      <c r="AY37" s="138"/>
      <c r="AZ37" s="138"/>
      <c r="BA37" s="138"/>
      <c r="BB37" s="138"/>
      <c r="BC37" s="138"/>
      <c r="BD37" s="138"/>
      <c r="BE37" s="138"/>
      <c r="BF37" s="138"/>
      <c r="BG37" s="138"/>
      <c r="BH37" s="138"/>
      <c r="BI37" s="138"/>
      <c r="BJ37" s="138"/>
      <c r="BK37" s="138"/>
      <c r="BL37" s="138"/>
      <c r="BM37" s="138"/>
      <c r="BN37" s="138"/>
      <c r="BO37" s="138"/>
      <c r="BP37" s="138"/>
      <c r="BQ37" s="138"/>
      <c r="BR37" s="138"/>
      <c r="BS37" s="138"/>
      <c r="BT37" s="138"/>
      <c r="BU37" s="138"/>
      <c r="BV37" s="138"/>
      <c r="BW37" s="138"/>
      <c r="BX37" s="138"/>
      <c r="BY37" s="138"/>
      <c r="BZ37" s="138"/>
      <c r="CA37" s="138"/>
      <c r="CB37" s="138"/>
      <c r="CC37" s="138"/>
      <c r="CD37" s="138"/>
      <c r="CE37" s="138"/>
      <c r="CF37" s="138"/>
      <c r="CG37" s="138"/>
      <c r="CH37" s="138"/>
      <c r="CI37" s="138"/>
      <c r="CJ37" s="138"/>
    </row>
    <row r="38" spans="1:88" ht="15" customHeight="1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8"/>
      <c r="AG38" s="138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8"/>
      <c r="AS38" s="138"/>
      <c r="AT38" s="138"/>
      <c r="AU38" s="138"/>
      <c r="AV38" s="138"/>
      <c r="AW38" s="138"/>
      <c r="AX38" s="138"/>
      <c r="AY38" s="138"/>
      <c r="AZ38" s="138"/>
      <c r="BA38" s="138"/>
      <c r="BB38" s="138"/>
      <c r="BC38" s="138"/>
      <c r="BD38" s="138"/>
      <c r="BE38" s="138"/>
      <c r="BF38" s="138"/>
      <c r="BG38" s="138"/>
      <c r="BH38" s="138"/>
      <c r="BI38" s="138"/>
      <c r="BJ38" s="138"/>
      <c r="BK38" s="138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8"/>
      <c r="CB38" s="138"/>
      <c r="CC38" s="138"/>
      <c r="CD38" s="138"/>
      <c r="CE38" s="138"/>
      <c r="CF38" s="138"/>
      <c r="CG38" s="138"/>
      <c r="CH38" s="138"/>
      <c r="CI38" s="138"/>
      <c r="CJ38" s="138"/>
    </row>
    <row r="39" spans="1:88" ht="15" customHeight="1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8"/>
      <c r="AB39" s="138"/>
      <c r="AC39" s="138"/>
      <c r="AD39" s="138"/>
      <c r="AE39" s="138"/>
      <c r="AF39" s="138"/>
      <c r="AG39" s="138"/>
      <c r="AH39" s="138"/>
      <c r="AI39" s="138"/>
      <c r="AJ39" s="138"/>
      <c r="AK39" s="138"/>
      <c r="AL39" s="138"/>
      <c r="AM39" s="138"/>
      <c r="AN39" s="138"/>
      <c r="AO39" s="138"/>
      <c r="AP39" s="138"/>
      <c r="AQ39" s="138"/>
      <c r="AR39" s="138"/>
      <c r="AS39" s="138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8"/>
      <c r="BI39" s="138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</row>
    <row r="40" spans="1:88" ht="15" customHeight="1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8"/>
      <c r="AB40" s="138"/>
      <c r="AC40" s="138"/>
      <c r="AD40" s="138"/>
      <c r="AE40" s="138"/>
      <c r="AF40" s="138"/>
      <c r="AG40" s="138"/>
      <c r="AH40" s="138"/>
      <c r="AI40" s="138"/>
      <c r="AJ40" s="138"/>
      <c r="AK40" s="138"/>
      <c r="AL40" s="138"/>
      <c r="AM40" s="138"/>
      <c r="AN40" s="138"/>
      <c r="AO40" s="138"/>
      <c r="AP40" s="138"/>
      <c r="AQ40" s="138"/>
      <c r="AR40" s="138"/>
      <c r="AS40" s="138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8"/>
      <c r="BI40" s="138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</row>
    <row r="41" spans="1:88" ht="15" customHeight="1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8"/>
      <c r="AB41" s="138"/>
      <c r="AC41" s="138"/>
      <c r="AD41" s="138"/>
      <c r="AE41" s="138"/>
      <c r="AF41" s="138"/>
      <c r="AG41" s="138"/>
      <c r="AH41" s="138"/>
      <c r="AI41" s="138"/>
      <c r="AJ41" s="138"/>
      <c r="AK41" s="138"/>
      <c r="AL41" s="138"/>
      <c r="AM41" s="138"/>
      <c r="AN41" s="138"/>
      <c r="AO41" s="138"/>
      <c r="AP41" s="138"/>
      <c r="AQ41" s="138"/>
      <c r="AR41" s="138"/>
      <c r="AS41" s="138"/>
      <c r="AT41" s="138"/>
      <c r="AU41" s="138"/>
      <c r="AV41" s="138"/>
      <c r="AW41" s="138"/>
      <c r="AX41" s="138"/>
      <c r="AY41" s="138"/>
      <c r="AZ41" s="138"/>
      <c r="BA41" s="138"/>
      <c r="BB41" s="138"/>
      <c r="BC41" s="138"/>
      <c r="BD41" s="138"/>
      <c r="BE41" s="138"/>
      <c r="BF41" s="138"/>
      <c r="BG41" s="138"/>
      <c r="BH41" s="138"/>
      <c r="BI41" s="138"/>
      <c r="BJ41" s="138"/>
      <c r="BK41" s="138"/>
      <c r="BL41" s="138"/>
      <c r="BM41" s="138"/>
      <c r="BN41" s="138"/>
      <c r="BO41" s="138"/>
      <c r="BP41" s="138"/>
      <c r="BQ41" s="138"/>
      <c r="BR41" s="138"/>
      <c r="BS41" s="138"/>
      <c r="BT41" s="138"/>
      <c r="BU41" s="138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</row>
    <row r="42" spans="1:88" ht="15" customHeight="1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8"/>
      <c r="AB42" s="138"/>
      <c r="AC42" s="138"/>
      <c r="AD42" s="138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</row>
    <row r="43" spans="1:88" s="3" customFormat="1" ht="15" customHeight="1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8"/>
      <c r="AB43" s="138"/>
      <c r="AC43" s="138"/>
      <c r="AD43" s="138"/>
      <c r="AE43" s="138"/>
      <c r="AF43" s="138"/>
      <c r="AG43" s="138"/>
      <c r="AH43" s="138"/>
      <c r="AI43" s="138"/>
      <c r="AJ43" s="138"/>
      <c r="AK43" s="138"/>
      <c r="AL43" s="138"/>
      <c r="AM43" s="138"/>
      <c r="AN43" s="138"/>
      <c r="AO43" s="138"/>
      <c r="AP43" s="138"/>
      <c r="AQ43" s="138"/>
      <c r="AR43" s="138"/>
      <c r="AS43" s="138"/>
      <c r="AT43" s="138"/>
      <c r="AU43" s="138"/>
      <c r="AV43" s="138"/>
      <c r="AW43" s="138"/>
      <c r="AX43" s="138"/>
      <c r="AY43" s="138"/>
      <c r="AZ43" s="138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8"/>
      <c r="BL43" s="138"/>
      <c r="BM43" s="138"/>
      <c r="BN43" s="138"/>
      <c r="BO43" s="138"/>
      <c r="BP43" s="138"/>
      <c r="BQ43" s="138"/>
      <c r="BR43" s="138"/>
      <c r="BS43" s="138"/>
      <c r="BT43" s="138"/>
      <c r="BU43" s="138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</row>
    <row r="44" spans="1:88" ht="15" customHeight="1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8"/>
      <c r="AB44" s="138"/>
      <c r="AC44" s="138"/>
      <c r="AD44" s="138"/>
      <c r="AE44" s="138"/>
      <c r="AF44" s="138"/>
      <c r="AG44" s="138"/>
      <c r="AH44" s="138"/>
      <c r="AI44" s="138"/>
      <c r="AJ44" s="138"/>
      <c r="AK44" s="138"/>
      <c r="AL44" s="138"/>
      <c r="AM44" s="138"/>
      <c r="AN44" s="138"/>
      <c r="AO44" s="138"/>
      <c r="AP44" s="138"/>
      <c r="AQ44" s="138"/>
      <c r="AR44" s="138"/>
      <c r="AS44" s="138"/>
      <c r="AT44" s="138"/>
      <c r="AU44" s="138"/>
      <c r="AV44" s="138"/>
      <c r="AW44" s="138"/>
      <c r="AX44" s="138"/>
      <c r="AY44" s="138"/>
      <c r="AZ44" s="138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8"/>
      <c r="BL44" s="138"/>
      <c r="BM44" s="138"/>
      <c r="BN44" s="138"/>
      <c r="BO44" s="138"/>
      <c r="BP44" s="138"/>
      <c r="BQ44" s="138"/>
      <c r="BR44" s="138"/>
      <c r="BS44" s="138"/>
      <c r="BT44" s="138"/>
      <c r="BU44" s="138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</row>
    <row r="45" spans="1:88" ht="15" customHeight="1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  <c r="BE45" s="138"/>
      <c r="BF45" s="138"/>
      <c r="BG45" s="138"/>
      <c r="BH45" s="138"/>
      <c r="BI45" s="138"/>
      <c r="BJ45" s="138"/>
      <c r="BK45" s="138"/>
      <c r="BL45" s="138"/>
      <c r="BM45" s="138"/>
      <c r="BN45" s="138"/>
      <c r="BO45" s="138"/>
      <c r="BP45" s="138"/>
      <c r="BQ45" s="138"/>
      <c r="BR45" s="138"/>
      <c r="BS45" s="138"/>
      <c r="BT45" s="138"/>
      <c r="BU45" s="138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</row>
    <row r="46" spans="1:88" ht="15" customHeight="1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8"/>
      <c r="AB46" s="138"/>
      <c r="AC46" s="138"/>
      <c r="AD46" s="138"/>
      <c r="AE46" s="138"/>
      <c r="AF46" s="138"/>
      <c r="AG46" s="138"/>
      <c r="AH46" s="138"/>
      <c r="AI46" s="138"/>
      <c r="AJ46" s="138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  <c r="BE46" s="138"/>
      <c r="BF46" s="138"/>
      <c r="BG46" s="138"/>
      <c r="BH46" s="138"/>
      <c r="BI46" s="138"/>
      <c r="BJ46" s="138"/>
      <c r="BK46" s="138"/>
      <c r="BL46" s="138"/>
      <c r="BM46" s="138"/>
      <c r="BN46" s="138"/>
      <c r="BO46" s="138"/>
      <c r="BP46" s="138"/>
      <c r="BQ46" s="138"/>
      <c r="BR46" s="138"/>
      <c r="BS46" s="138"/>
      <c r="BT46" s="138"/>
      <c r="BU46" s="138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</row>
    <row r="47" spans="1:88" ht="15" customHeight="1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8"/>
      <c r="AB47" s="138"/>
      <c r="AC47" s="138"/>
      <c r="AD47" s="138"/>
      <c r="AE47" s="138"/>
      <c r="AF47" s="138"/>
      <c r="AG47" s="138"/>
      <c r="AH47" s="138"/>
      <c r="AI47" s="138"/>
      <c r="AJ47" s="138"/>
      <c r="AK47" s="138"/>
      <c r="AL47" s="138"/>
      <c r="AM47" s="138"/>
      <c r="AN47" s="138"/>
      <c r="AO47" s="138"/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  <c r="BE47" s="138"/>
      <c r="BF47" s="138"/>
      <c r="BG47" s="138"/>
      <c r="BH47" s="138"/>
      <c r="BI47" s="138"/>
      <c r="BJ47" s="138"/>
      <c r="BK47" s="138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</row>
    <row r="48" spans="1:88" ht="15" customHeight="1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8"/>
      <c r="AB48" s="138"/>
      <c r="AC48" s="138"/>
      <c r="AD48" s="138"/>
      <c r="AE48" s="138"/>
      <c r="AF48" s="138"/>
      <c r="AG48" s="138"/>
      <c r="AH48" s="138"/>
      <c r="AI48" s="138"/>
      <c r="AJ48" s="138"/>
      <c r="AK48" s="138"/>
      <c r="AL48" s="138"/>
      <c r="AM48" s="138"/>
      <c r="AN48" s="138"/>
      <c r="AO48" s="138"/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  <c r="BE48" s="138"/>
      <c r="BF48" s="138"/>
      <c r="BG48" s="138"/>
      <c r="BH48" s="138"/>
      <c r="BI48" s="138"/>
      <c r="BJ48" s="138"/>
      <c r="BK48" s="138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</row>
    <row r="49" spans="1:88" ht="15" customHeight="1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8"/>
      <c r="AB49" s="138"/>
      <c r="AC49" s="138"/>
      <c r="AD49" s="138"/>
      <c r="AE49" s="138"/>
      <c r="AF49" s="138"/>
      <c r="AG49" s="138"/>
      <c r="AH49" s="138"/>
      <c r="AI49" s="138"/>
      <c r="AJ49" s="138"/>
      <c r="AK49" s="138"/>
      <c r="AL49" s="138"/>
      <c r="AM49" s="138"/>
      <c r="AN49" s="138"/>
      <c r="AO49" s="138"/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  <c r="BE49" s="138"/>
      <c r="BF49" s="138"/>
      <c r="BG49" s="138"/>
      <c r="BH49" s="138"/>
      <c r="BI49" s="138"/>
      <c r="BJ49" s="138"/>
      <c r="BK49" s="138"/>
      <c r="BL49" s="138"/>
      <c r="BM49" s="138"/>
      <c r="BN49" s="138"/>
      <c r="BO49" s="138"/>
      <c r="BP49" s="138"/>
      <c r="BQ49" s="138"/>
      <c r="BR49" s="138"/>
      <c r="BS49" s="138"/>
      <c r="BT49" s="138"/>
      <c r="BU49" s="138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</row>
    <row r="50" spans="1:88" ht="15" customHeight="1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138"/>
      <c r="AC50" s="138"/>
      <c r="AD50" s="138"/>
      <c r="AE50" s="138"/>
      <c r="AF50" s="138"/>
      <c r="AG50" s="138"/>
      <c r="AH50" s="138"/>
      <c r="AI50" s="138"/>
      <c r="AJ50" s="138"/>
      <c r="AK50" s="138"/>
      <c r="AL50" s="138"/>
      <c r="AM50" s="138"/>
      <c r="AN50" s="138"/>
      <c r="AO50" s="138"/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  <c r="BE50" s="138"/>
      <c r="BF50" s="138"/>
      <c r="BG50" s="138"/>
      <c r="BH50" s="138"/>
      <c r="BI50" s="138"/>
      <c r="BJ50" s="138"/>
      <c r="BK50" s="138"/>
      <c r="BL50" s="138"/>
      <c r="BM50" s="138"/>
      <c r="BN50" s="138"/>
      <c r="BO50" s="138"/>
      <c r="BP50" s="138"/>
      <c r="BQ50" s="138"/>
      <c r="BR50" s="138"/>
      <c r="BS50" s="138"/>
      <c r="BT50" s="138"/>
      <c r="BU50" s="138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</row>
    <row r="51" spans="1:88" ht="15" customHeight="1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8"/>
      <c r="AB51" s="138"/>
      <c r="AC51" s="138"/>
      <c r="AD51" s="138"/>
      <c r="AE51" s="138"/>
      <c r="AF51" s="138"/>
      <c r="AG51" s="138"/>
      <c r="AH51" s="138"/>
      <c r="AI51" s="138"/>
      <c r="AJ51" s="138"/>
      <c r="AK51" s="138"/>
      <c r="AL51" s="138"/>
      <c r="AM51" s="138"/>
      <c r="AN51" s="138"/>
      <c r="AO51" s="138"/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  <c r="BE51" s="138"/>
      <c r="BF51" s="138"/>
      <c r="BG51" s="138"/>
      <c r="BH51" s="138"/>
      <c r="BI51" s="138"/>
      <c r="BJ51" s="138"/>
      <c r="BK51" s="138"/>
      <c r="BL51" s="138"/>
      <c r="BM51" s="138"/>
      <c r="BN51" s="138"/>
      <c r="BO51" s="138"/>
      <c r="BP51" s="138"/>
      <c r="BQ51" s="138"/>
      <c r="BR51" s="138"/>
      <c r="BS51" s="138"/>
      <c r="BT51" s="138"/>
      <c r="BU51" s="138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</row>
    <row r="52" spans="1:88" ht="15" customHeight="1">
      <c r="A52" s="138"/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8"/>
      <c r="AB52" s="138"/>
      <c r="AC52" s="138"/>
      <c r="AD52" s="138"/>
      <c r="AE52" s="138"/>
      <c r="AF52" s="138"/>
      <c r="AG52" s="138"/>
      <c r="AH52" s="138"/>
      <c r="AI52" s="138"/>
      <c r="AJ52" s="138"/>
      <c r="AK52" s="138"/>
      <c r="AL52" s="138"/>
      <c r="AM52" s="138"/>
      <c r="AN52" s="138"/>
      <c r="AO52" s="138"/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  <c r="BE52" s="138"/>
      <c r="BF52" s="138"/>
      <c r="BG52" s="138"/>
      <c r="BH52" s="138"/>
      <c r="BI52" s="138"/>
      <c r="BJ52" s="138"/>
      <c r="BK52" s="138"/>
      <c r="BL52" s="138"/>
      <c r="BM52" s="138"/>
      <c r="BN52" s="138"/>
      <c r="BO52" s="138"/>
      <c r="BP52" s="138"/>
      <c r="BQ52" s="138"/>
      <c r="BR52" s="138"/>
      <c r="BS52" s="138"/>
      <c r="BT52" s="138"/>
      <c r="BU52" s="138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</row>
    <row r="53" spans="1:88" s="3" customFormat="1" ht="15" customHeight="1">
      <c r="A53" s="138"/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8"/>
      <c r="AB53" s="138"/>
      <c r="AC53" s="138"/>
      <c r="AD53" s="138"/>
      <c r="AE53" s="138"/>
      <c r="AF53" s="138"/>
      <c r="AG53" s="138"/>
      <c r="AH53" s="138"/>
      <c r="AI53" s="138"/>
      <c r="AJ53" s="138"/>
      <c r="AK53" s="138"/>
      <c r="AL53" s="138"/>
      <c r="AM53" s="138"/>
      <c r="AN53" s="138"/>
      <c r="AO53" s="138"/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  <c r="BE53" s="138"/>
      <c r="BF53" s="138"/>
      <c r="BG53" s="138"/>
      <c r="BH53" s="138"/>
      <c r="BI53" s="138"/>
      <c r="BJ53" s="138"/>
      <c r="BK53" s="138"/>
      <c r="BL53" s="138"/>
      <c r="BM53" s="138"/>
      <c r="BN53" s="138"/>
      <c r="BO53" s="138"/>
      <c r="BP53" s="138"/>
      <c r="BQ53" s="138"/>
      <c r="BR53" s="138"/>
      <c r="BS53" s="138"/>
      <c r="BT53" s="138"/>
      <c r="BU53" s="138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</row>
    <row r="54" spans="1:88" s="3" customFormat="1" ht="13" customHeight="1">
      <c r="A54" s="138"/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8"/>
      <c r="AB54" s="138"/>
      <c r="AC54" s="138"/>
      <c r="AD54" s="138"/>
      <c r="AE54" s="138"/>
      <c r="AF54" s="138"/>
      <c r="AG54" s="138"/>
      <c r="AH54" s="138"/>
      <c r="AI54" s="138"/>
      <c r="AJ54" s="138"/>
      <c r="AK54" s="138"/>
      <c r="AL54" s="138"/>
      <c r="AM54" s="138"/>
      <c r="AN54" s="138"/>
      <c r="AO54" s="138"/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  <c r="BE54" s="138"/>
      <c r="BF54" s="138"/>
      <c r="BG54" s="138"/>
      <c r="BH54" s="138"/>
      <c r="BI54" s="138"/>
      <c r="BJ54" s="138"/>
      <c r="BK54" s="138"/>
      <c r="BL54" s="138"/>
      <c r="BM54" s="138"/>
      <c r="BN54" s="138"/>
      <c r="BO54" s="138"/>
      <c r="BP54" s="138"/>
      <c r="BQ54" s="138"/>
      <c r="BR54" s="138"/>
      <c r="BS54" s="138"/>
      <c r="BT54" s="138"/>
      <c r="BU54" s="138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</row>
    <row r="55" spans="1:88" s="3" customFormat="1" ht="13" customHeight="1">
      <c r="A55" s="138"/>
      <c r="B55" s="138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  <c r="AC55" s="138"/>
      <c r="AD55" s="138"/>
      <c r="AE55" s="138"/>
      <c r="AF55" s="138"/>
      <c r="AG55" s="138"/>
      <c r="AH55" s="138"/>
      <c r="AI55" s="138"/>
      <c r="AJ55" s="138"/>
      <c r="AK55" s="138"/>
      <c r="AL55" s="138"/>
      <c r="AM55" s="138"/>
      <c r="AN55" s="138"/>
      <c r="AO55" s="138"/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  <c r="BE55" s="138"/>
      <c r="BF55" s="138"/>
      <c r="BG55" s="138"/>
      <c r="BH55" s="138"/>
      <c r="BI55" s="138"/>
      <c r="BJ55" s="138"/>
      <c r="BK55" s="138"/>
      <c r="BL55" s="138"/>
      <c r="BM55" s="138"/>
      <c r="BN55" s="138"/>
      <c r="BO55" s="138"/>
      <c r="BP55" s="138"/>
      <c r="BQ55" s="138"/>
      <c r="BR55" s="138"/>
      <c r="BS55" s="138"/>
      <c r="BT55" s="138"/>
      <c r="BU55" s="138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</row>
    <row r="56" spans="1:88" s="3" customFormat="1" ht="13" customHeight="1">
      <c r="A56" s="138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</row>
    <row r="57" spans="1:88" s="3" customFormat="1" ht="13" customHeight="1">
      <c r="A57" s="138"/>
      <c r="B57" s="138"/>
      <c r="C57" s="138"/>
      <c r="D57" s="138"/>
      <c r="E57" s="138"/>
      <c r="F57" s="138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  <c r="BF57" s="138"/>
      <c r="BG57" s="138"/>
      <c r="BH57" s="138"/>
      <c r="BI57" s="138"/>
      <c r="BJ57" s="138"/>
      <c r="BK57" s="138"/>
      <c r="BL57" s="138"/>
      <c r="BM57" s="138"/>
      <c r="BN57" s="138"/>
      <c r="BO57" s="138"/>
      <c r="BP57" s="138"/>
      <c r="BQ57" s="138"/>
      <c r="BR57" s="138"/>
      <c r="BS57" s="138"/>
      <c r="BT57" s="138"/>
      <c r="BU57" s="138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</row>
    <row r="58" spans="1:88" s="3" customFormat="1" ht="13" customHeight="1">
      <c r="A58" s="138"/>
      <c r="B58" s="138"/>
      <c r="C58" s="138"/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</row>
    <row r="59" spans="1:88" s="3" customFormat="1" ht="13" customHeight="1">
      <c r="A59" s="138"/>
      <c r="B59" s="138"/>
      <c r="C59" s="138"/>
      <c r="D59" s="138"/>
      <c r="E59" s="138"/>
      <c r="F59" s="138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8"/>
      <c r="AB59" s="138"/>
      <c r="AC59" s="138"/>
      <c r="AD59" s="138"/>
      <c r="AE59" s="138"/>
      <c r="AF59" s="138"/>
      <c r="AG59" s="138"/>
      <c r="AH59" s="138"/>
      <c r="AI59" s="138"/>
      <c r="AJ59" s="138"/>
      <c r="AK59" s="138"/>
      <c r="AL59" s="138"/>
      <c r="AM59" s="138"/>
      <c r="AN59" s="138"/>
      <c r="AO59" s="138"/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  <c r="BE59" s="138"/>
      <c r="BF59" s="138"/>
      <c r="BG59" s="138"/>
      <c r="BH59" s="138"/>
      <c r="BI59" s="138"/>
      <c r="BJ59" s="138"/>
      <c r="BK59" s="138"/>
      <c r="BL59" s="138"/>
      <c r="BM59" s="138"/>
      <c r="BN59" s="138"/>
      <c r="BO59" s="138"/>
      <c r="BP59" s="138"/>
      <c r="BQ59" s="138"/>
      <c r="BR59" s="138"/>
      <c r="BS59" s="138"/>
      <c r="BT59" s="138"/>
      <c r="BU59" s="138"/>
      <c r="BV59" s="138"/>
      <c r="BW59" s="138"/>
      <c r="BX59" s="138"/>
      <c r="BY59" s="138"/>
      <c r="BZ59" s="138"/>
      <c r="CA59" s="138"/>
      <c r="CB59" s="138"/>
      <c r="CC59" s="138"/>
      <c r="CD59" s="138"/>
      <c r="CE59" s="138"/>
      <c r="CF59" s="138"/>
      <c r="CG59" s="138"/>
      <c r="CH59" s="138"/>
      <c r="CI59" s="138"/>
      <c r="CJ59" s="138"/>
    </row>
    <row r="60" spans="1:88" s="3" customFormat="1" ht="13" customHeight="1">
      <c r="A60" s="138"/>
      <c r="B60" s="138"/>
      <c r="C60" s="138"/>
      <c r="D60" s="138"/>
      <c r="E60" s="138"/>
      <c r="F60" s="138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/>
      <c r="AF60" s="138"/>
      <c r="AG60" s="138"/>
      <c r="AH60" s="138"/>
      <c r="AI60" s="138"/>
      <c r="AJ60" s="138"/>
      <c r="AK60" s="138"/>
      <c r="AL60" s="138"/>
      <c r="AM60" s="138"/>
      <c r="AN60" s="138"/>
      <c r="AO60" s="138"/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  <c r="BE60" s="138"/>
      <c r="BF60" s="138"/>
      <c r="BG60" s="138"/>
      <c r="BH60" s="138"/>
      <c r="BI60" s="138"/>
      <c r="BJ60" s="138"/>
      <c r="BK60" s="138"/>
      <c r="BL60" s="138"/>
      <c r="BM60" s="138"/>
      <c r="BN60" s="138"/>
      <c r="BO60" s="138"/>
      <c r="BP60" s="138"/>
      <c r="BQ60" s="138"/>
      <c r="BR60" s="138"/>
      <c r="BS60" s="138"/>
      <c r="BT60" s="138"/>
      <c r="BU60" s="138"/>
      <c r="BV60" s="138"/>
      <c r="BW60" s="138"/>
      <c r="BX60" s="138"/>
      <c r="BY60" s="138"/>
      <c r="BZ60" s="138"/>
      <c r="CA60" s="138"/>
      <c r="CB60" s="138"/>
      <c r="CC60" s="138"/>
      <c r="CD60" s="138"/>
      <c r="CE60" s="138"/>
      <c r="CF60" s="138"/>
      <c r="CG60" s="138"/>
      <c r="CH60" s="138"/>
      <c r="CI60" s="138"/>
      <c r="CJ60" s="138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  <mergeCell ref="AJ18:AP18"/>
    <mergeCell ref="C14:I14"/>
    <mergeCell ref="K14:Q14"/>
    <mergeCell ref="S14:Y14"/>
    <mergeCell ref="G16:M16"/>
    <mergeCell ref="O16:U16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C26:K26"/>
    <mergeCell ref="C28:P28"/>
    <mergeCell ref="R28:X28"/>
    <mergeCell ref="Z28:AF28"/>
    <mergeCell ref="AH28:AN2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/>
    <sheetView tabSelected="1" workbookViewId="2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65"/>
      <c r="J2"/>
      <c r="K2"/>
      <c r="L2" s="164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C2" xr:uid="{A63EEF22-56A5-7141-B67B-AFA6C1C6A663}">
      <formula1>LISTE_JOUEURS_JOURNAL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E39" sqref="E39"/>
    </sheetView>
    <sheetView workbookViewId="1"/>
    <sheetView workbookViewId="2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60"/>
      <c r="D3" s="260"/>
      <c r="E3" s="260"/>
      <c r="F3" s="260"/>
      <c r="G3" s="260"/>
      <c r="H3" s="260"/>
      <c r="I3" s="260"/>
      <c r="J3" s="260"/>
      <c r="K3" s="260"/>
      <c r="L3" s="260"/>
      <c r="M3" s="260"/>
      <c r="N3" s="260"/>
      <c r="O3" s="260"/>
      <c r="P3" s="260"/>
      <c r="Q3" s="260"/>
      <c r="R3" s="260"/>
      <c r="S3" s="260"/>
      <c r="T3" s="261"/>
    </row>
    <row r="4" spans="2:37" s="3" customFormat="1" ht="20" customHeight="1">
      <c r="B4" s="262"/>
      <c r="C4" s="263"/>
      <c r="D4" s="263"/>
      <c r="E4" s="263"/>
      <c r="F4" s="263"/>
      <c r="G4" s="263"/>
      <c r="H4" s="263"/>
      <c r="I4" s="263"/>
      <c r="J4" s="263"/>
      <c r="K4" s="263"/>
      <c r="L4" s="263"/>
      <c r="M4" s="263"/>
      <c r="N4" s="263"/>
      <c r="O4" s="263"/>
      <c r="P4" s="263"/>
      <c r="Q4" s="263"/>
      <c r="R4" s="263"/>
      <c r="S4" s="263"/>
      <c r="T4" s="264"/>
    </row>
    <row r="5" spans="2:37" s="3" customFormat="1"/>
    <row r="6" spans="2:37" ht="14" customHeight="1">
      <c r="B6" s="255" t="s">
        <v>14</v>
      </c>
      <c r="C6" s="229" t="str">
        <f>ACT_PL_NORMAL</f>
        <v>Plaquage normal</v>
      </c>
      <c r="D6" s="227"/>
      <c r="E6" s="229" t="str">
        <f>ACT_PL_OFF</f>
        <v>Plaquage offensif</v>
      </c>
      <c r="F6" s="227"/>
      <c r="G6" s="229" t="str">
        <f>ACT_PL_RATE</f>
        <v>Plaquage raté</v>
      </c>
      <c r="H6" s="227"/>
      <c r="I6" s="229" t="str">
        <f>ACT_PL_A2</f>
        <v>Plaquage à 2</v>
      </c>
      <c r="J6" s="241"/>
      <c r="K6" s="241" t="str">
        <f>ACT_PL_HAUT</f>
        <v>Plaquage haut</v>
      </c>
      <c r="L6" s="227"/>
      <c r="M6" s="241" t="s">
        <v>10</v>
      </c>
      <c r="N6" s="227"/>
      <c r="O6" s="241" t="str">
        <f>ACT_FRANCHISSEMENT</f>
        <v>Franchissement</v>
      </c>
      <c r="P6" s="227"/>
      <c r="Q6" s="241" t="str">
        <f>ACT_AVANCEE</f>
        <v>Avancée au contact</v>
      </c>
      <c r="R6" s="227"/>
      <c r="S6" s="241" t="str">
        <f>ACT_ATT_NULLE</f>
        <v>Recul ou sans progression</v>
      </c>
      <c r="T6" s="227"/>
      <c r="U6" s="230" t="s">
        <v>231</v>
      </c>
      <c r="V6" s="231"/>
      <c r="W6" s="231"/>
      <c r="X6" s="231"/>
      <c r="Y6" s="231"/>
      <c r="Z6" s="232"/>
      <c r="AF6"/>
      <c r="AG6"/>
    </row>
    <row r="7" spans="2:37" ht="13" customHeight="1">
      <c r="B7" s="256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176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33">
        <f t="shared" si="0"/>
        <v>0</v>
      </c>
      <c r="V32" s="233">
        <f t="shared" si="0"/>
        <v>0</v>
      </c>
      <c r="W32" s="233">
        <f t="shared" si="0"/>
        <v>0</v>
      </c>
      <c r="X32" s="233">
        <f t="shared" si="0"/>
        <v>0</v>
      </c>
      <c r="Y32" s="233">
        <f t="shared" si="0"/>
        <v>0</v>
      </c>
      <c r="Z32" s="233">
        <f t="shared" si="0"/>
        <v>0</v>
      </c>
    </row>
    <row r="33" spans="2:33" s="41" customFormat="1" ht="25" customHeight="1">
      <c r="B33" s="55" t="s">
        <v>175</v>
      </c>
      <c r="C33" s="237">
        <f>C32+D32</f>
        <v>0</v>
      </c>
      <c r="D33" s="238"/>
      <c r="E33" s="239">
        <f t="shared" ref="E33" si="3">E32+F32</f>
        <v>0</v>
      </c>
      <c r="F33" s="239"/>
      <c r="G33" s="237">
        <f t="shared" ref="G33" si="4">G32+H32</f>
        <v>0</v>
      </c>
      <c r="H33" s="238"/>
      <c r="I33" s="237">
        <f>I32+J32</f>
        <v>0</v>
      </c>
      <c r="J33" s="238"/>
      <c r="K33" s="237">
        <f t="shared" ref="K33" si="5">K32+L32</f>
        <v>0</v>
      </c>
      <c r="L33" s="238"/>
      <c r="M33" s="239">
        <f t="shared" ref="M33" si="6">M32+N32</f>
        <v>0</v>
      </c>
      <c r="N33" s="238"/>
      <c r="O33" s="239">
        <f t="shared" ref="O33" si="7">O32+P32</f>
        <v>0</v>
      </c>
      <c r="P33" s="238"/>
      <c r="Q33" s="239">
        <f t="shared" ref="Q33" si="8">Q32+R32</f>
        <v>0</v>
      </c>
      <c r="R33" s="238"/>
      <c r="S33" s="239">
        <f t="shared" ref="S33" si="9">S32+T32</f>
        <v>0</v>
      </c>
      <c r="T33" s="238"/>
      <c r="U33" s="234"/>
      <c r="V33" s="234"/>
      <c r="W33" s="234"/>
      <c r="X33" s="234"/>
      <c r="Y33" s="234"/>
      <c r="Z33" s="234"/>
    </row>
    <row r="34" spans="2:33" s="3" customFormat="1"/>
    <row r="35" spans="2:33" s="3" customFormat="1"/>
    <row r="36" spans="2:33" ht="14">
      <c r="B36" s="56" t="s">
        <v>145</v>
      </c>
      <c r="C36" s="56" t="s">
        <v>210</v>
      </c>
      <c r="D36" s="107" t="s">
        <v>144</v>
      </c>
      <c r="E36" s="57" t="s">
        <v>473</v>
      </c>
      <c r="F36" s="3"/>
      <c r="G36" s="56" t="s">
        <v>643</v>
      </c>
      <c r="H36" s="150" t="s">
        <v>46</v>
      </c>
      <c r="I36" s="48" t="s">
        <v>44</v>
      </c>
      <c r="J36" s="3"/>
      <c r="K36" s="3"/>
      <c r="L36" s="229" t="s">
        <v>28</v>
      </c>
      <c r="M36" s="229" t="s">
        <v>147</v>
      </c>
      <c r="N36" s="241"/>
      <c r="O36" s="227"/>
      <c r="P36" s="227" t="s">
        <v>171</v>
      </c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147</v>
      </c>
      <c r="H37" s="168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9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40"/>
      <c r="M37" s="70" t="s">
        <v>153</v>
      </c>
      <c r="N37" s="66" t="s">
        <v>170</v>
      </c>
      <c r="O37" s="71" t="s">
        <v>32</v>
      </c>
      <c r="P37" s="228"/>
      <c r="Q37" s="3"/>
      <c r="R37" s="3"/>
      <c r="S37" s="3"/>
      <c r="T37" s="3"/>
      <c r="AE37"/>
      <c r="AF37"/>
      <c r="AG37"/>
    </row>
    <row r="38" spans="2:33">
      <c r="B38" s="11" t="s">
        <v>172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210</v>
      </c>
      <c r="D40" s="107" t="s">
        <v>144</v>
      </c>
      <c r="E40" s="57" t="s">
        <v>473</v>
      </c>
      <c r="F40" s="3"/>
      <c r="G40" s="229" t="s">
        <v>149</v>
      </c>
      <c r="H40" s="2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147</v>
      </c>
      <c r="O41" s="48" t="s">
        <v>171</v>
      </c>
      <c r="P41" s="3"/>
      <c r="Q41" s="3"/>
      <c r="R41" s="3"/>
      <c r="S41" s="3"/>
      <c r="T41" s="3"/>
    </row>
    <row r="42" spans="2:33">
      <c r="B42" s="11" t="s">
        <v>172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35" t="s">
        <v>1</v>
      </c>
      <c r="M42" s="236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4" t="s">
        <v>2</v>
      </c>
      <c r="M43" s="245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232</v>
      </c>
      <c r="C44" s="56" t="s">
        <v>210</v>
      </c>
      <c r="D44" s="57" t="s">
        <v>144</v>
      </c>
      <c r="E44" s="3"/>
      <c r="F44" s="3"/>
      <c r="G44" s="150" t="s">
        <v>591</v>
      </c>
      <c r="H44" s="154" t="s">
        <v>47</v>
      </c>
      <c r="I44" s="149" t="s">
        <v>592</v>
      </c>
      <c r="J44" s="156" t="s">
        <v>236</v>
      </c>
      <c r="K44" s="3"/>
      <c r="L44" s="235" t="s">
        <v>3</v>
      </c>
      <c r="M44" s="236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51">
        <v>0</v>
      </c>
      <c r="I45" s="77">
        <v>0</v>
      </c>
      <c r="J45" s="77">
        <v>0</v>
      </c>
      <c r="K45" s="3"/>
      <c r="L45" s="244" t="s">
        <v>4</v>
      </c>
      <c r="M45" s="245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172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2">
        <v>0</v>
      </c>
      <c r="I46" s="78">
        <v>0</v>
      </c>
      <c r="J46" s="78">
        <v>2.7671493055555531E-5</v>
      </c>
      <c r="K46" s="3"/>
      <c r="L46" s="235" t="s">
        <v>5</v>
      </c>
      <c r="M46" s="236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5" t="s">
        <v>236</v>
      </c>
      <c r="H47" s="153">
        <v>0</v>
      </c>
      <c r="I47" s="79">
        <v>0</v>
      </c>
      <c r="J47" s="79">
        <v>2.7671493055555531E-5</v>
      </c>
      <c r="K47" s="3"/>
      <c r="L47" s="244" t="s">
        <v>167</v>
      </c>
      <c r="M47" s="245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233</v>
      </c>
      <c r="C48" s="56" t="s">
        <v>210</v>
      </c>
      <c r="D48" s="57" t="s">
        <v>144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172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59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6" s="260"/>
      <c r="D56" s="260"/>
      <c r="E56" s="260"/>
      <c r="F56" s="260"/>
      <c r="G56" s="260"/>
      <c r="H56" s="260"/>
      <c r="I56" s="260"/>
      <c r="J56" s="260"/>
      <c r="K56" s="261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2:20" s="3" customFormat="1" ht="13" customHeight="1">
      <c r="B57" s="262"/>
      <c r="C57" s="263"/>
      <c r="D57" s="263"/>
      <c r="E57" s="263"/>
      <c r="F57" s="263"/>
      <c r="G57" s="263"/>
      <c r="H57" s="263"/>
      <c r="I57" s="263"/>
      <c r="J57" s="263"/>
      <c r="K57" s="264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2:20" s="3" customFormat="1" ht="14" thickBot="1"/>
    <row r="59" spans="2:20" s="3" customFormat="1">
      <c r="B59" s="246" t="s">
        <v>234</v>
      </c>
      <c r="C59" s="247"/>
      <c r="D59" s="247"/>
      <c r="E59" s="247"/>
      <c r="F59" s="247"/>
      <c r="G59" s="247"/>
      <c r="H59" s="247"/>
      <c r="I59" s="247"/>
      <c r="J59" s="247"/>
      <c r="K59" s="248"/>
    </row>
    <row r="60" spans="2:20" s="3" customFormat="1">
      <c r="B60" s="249"/>
      <c r="C60" s="250"/>
      <c r="D60" s="250"/>
      <c r="E60" s="250"/>
      <c r="F60" s="250"/>
      <c r="G60" s="250"/>
      <c r="H60" s="250"/>
      <c r="I60" s="250"/>
      <c r="J60" s="250"/>
      <c r="K60" s="251"/>
    </row>
    <row r="61" spans="2:20" s="3" customFormat="1" ht="14" thickBot="1">
      <c r="B61" s="252"/>
      <c r="C61" s="253"/>
      <c r="D61" s="253"/>
      <c r="E61" s="253"/>
      <c r="F61" s="253"/>
      <c r="G61" s="253"/>
      <c r="H61" s="253"/>
      <c r="I61" s="253"/>
      <c r="J61" s="253"/>
      <c r="K61" s="254"/>
    </row>
    <row r="62" spans="2:20" s="3" customFormat="1"/>
    <row r="63" spans="2:20" s="3" customFormat="1" ht="14">
      <c r="B63" s="255" t="s">
        <v>14</v>
      </c>
      <c r="C63" s="229" t="str">
        <f>ACT_TO_NS_G</f>
        <v>Touche à nous conservée</v>
      </c>
      <c r="D63" s="227"/>
      <c r="E63" s="229" t="str">
        <f>ACT_TO_ADV_VOLEE</f>
        <v>Touche à eux volée</v>
      </c>
      <c r="F63" s="227"/>
      <c r="H63" s="257" t="str">
        <f>ACT_TO_NS_P</f>
        <v>Touche à nous perdue</v>
      </c>
      <c r="I63" s="258"/>
      <c r="J63" s="257" t="str">
        <f>ACT_TO_NS_PAS_DROIT</f>
        <v>Touche à nous pas droite</v>
      </c>
      <c r="K63" s="258"/>
    </row>
    <row r="64" spans="2:20" s="3" customFormat="1" ht="14">
      <c r="B64" s="256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176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175</v>
      </c>
      <c r="C90" s="237">
        <f>C89+D89</f>
        <v>0</v>
      </c>
      <c r="D90" s="238"/>
      <c r="E90" s="237">
        <f>E89+F89</f>
        <v>0</v>
      </c>
      <c r="F90" s="238"/>
      <c r="H90" s="242">
        <f>H89+I89</f>
        <v>0</v>
      </c>
      <c r="I90" s="243"/>
      <c r="J90" s="242">
        <f>J89+K89</f>
        <v>0</v>
      </c>
      <c r="K90" s="243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6" t="s">
        <v>389</v>
      </c>
      <c r="C94" s="127" t="s">
        <v>47</v>
      </c>
      <c r="D94" s="128" t="s">
        <v>113</v>
      </c>
      <c r="F94" s="267" t="s">
        <v>390</v>
      </c>
      <c r="G94" s="268"/>
      <c r="H94" s="127" t="s">
        <v>46</v>
      </c>
      <c r="I94" s="127" t="s">
        <v>44</v>
      </c>
      <c r="J94" s="134" t="s">
        <v>236</v>
      </c>
    </row>
    <row r="95" spans="2:11" s="3" customFormat="1" ht="16">
      <c r="B95" s="129" t="s">
        <v>237</v>
      </c>
      <c r="C95" s="81">
        <v>0</v>
      </c>
      <c r="D95" s="130">
        <v>0</v>
      </c>
      <c r="F95" s="265" t="s">
        <v>237</v>
      </c>
      <c r="G95" s="266"/>
      <c r="H95" s="81">
        <v>0</v>
      </c>
      <c r="I95" s="81">
        <v>0</v>
      </c>
      <c r="J95" s="135">
        <v>0</v>
      </c>
    </row>
    <row r="96" spans="2:11" s="3" customFormat="1" ht="16">
      <c r="B96" s="129" t="s">
        <v>238</v>
      </c>
      <c r="C96" s="81">
        <v>0</v>
      </c>
      <c r="D96" s="130">
        <v>0</v>
      </c>
      <c r="F96" s="265" t="s">
        <v>238</v>
      </c>
      <c r="G96" s="266"/>
      <c r="H96" s="81">
        <v>0</v>
      </c>
      <c r="I96" s="81">
        <v>0</v>
      </c>
      <c r="J96" s="135">
        <v>0</v>
      </c>
    </row>
    <row r="97" spans="2:10" s="3" customFormat="1" ht="16">
      <c r="B97" s="129" t="s">
        <v>239</v>
      </c>
      <c r="C97" s="81">
        <v>0</v>
      </c>
      <c r="D97" s="130">
        <v>0</v>
      </c>
      <c r="F97" s="265" t="s">
        <v>239</v>
      </c>
      <c r="G97" s="266"/>
      <c r="H97" s="81">
        <v>0</v>
      </c>
      <c r="I97" s="81">
        <v>0</v>
      </c>
      <c r="J97" s="135">
        <v>0</v>
      </c>
    </row>
    <row r="98" spans="2:10" s="3" customFormat="1" ht="16">
      <c r="B98" s="129" t="s">
        <v>240</v>
      </c>
      <c r="C98" s="81">
        <v>0</v>
      </c>
      <c r="D98" s="130">
        <v>0</v>
      </c>
      <c r="F98" s="265" t="s">
        <v>240</v>
      </c>
      <c r="G98" s="266"/>
      <c r="H98" s="81">
        <v>0</v>
      </c>
      <c r="I98" s="81">
        <v>0</v>
      </c>
      <c r="J98" s="135">
        <v>0</v>
      </c>
    </row>
    <row r="99" spans="2:10" s="3" customFormat="1" ht="17" thickBot="1">
      <c r="B99" s="131" t="s">
        <v>241</v>
      </c>
      <c r="C99" s="132">
        <v>0</v>
      </c>
      <c r="D99" s="133">
        <v>0</v>
      </c>
      <c r="F99" s="265" t="s">
        <v>391</v>
      </c>
      <c r="G99" s="266"/>
      <c r="H99" s="81">
        <v>0</v>
      </c>
      <c r="I99" s="81">
        <v>0</v>
      </c>
      <c r="J99" s="135">
        <v>0</v>
      </c>
    </row>
    <row r="100" spans="2:10" s="3" customFormat="1" ht="16">
      <c r="F100" s="265" t="s">
        <v>392</v>
      </c>
      <c r="G100" s="266"/>
      <c r="H100" s="81">
        <v>0</v>
      </c>
      <c r="I100" s="81">
        <v>0</v>
      </c>
      <c r="J100" s="135">
        <v>0</v>
      </c>
    </row>
    <row r="101" spans="2:10" s="3" customFormat="1" ht="16">
      <c r="F101" s="265" t="s">
        <v>393</v>
      </c>
      <c r="G101" s="266"/>
      <c r="H101" s="81">
        <v>0</v>
      </c>
      <c r="I101" s="81">
        <v>0</v>
      </c>
      <c r="J101" s="135">
        <v>0</v>
      </c>
    </row>
    <row r="102" spans="2:10" s="3" customFormat="1" ht="17" thickBot="1">
      <c r="F102" s="269" t="s">
        <v>394</v>
      </c>
      <c r="G102" s="270"/>
      <c r="H102" s="132">
        <v>0</v>
      </c>
      <c r="I102" s="132">
        <v>0</v>
      </c>
      <c r="J102" s="136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  <sheetView workbookViewId="2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444</v>
      </c>
      <c r="W1" t="s">
        <v>412</v>
      </c>
      <c r="X1" t="s">
        <v>415</v>
      </c>
      <c r="Y1" t="s">
        <v>419</v>
      </c>
      <c r="Z1" t="s">
        <v>420</v>
      </c>
      <c r="AA1" t="s">
        <v>426</v>
      </c>
      <c r="AB1" t="s">
        <v>429</v>
      </c>
      <c r="AC1" t="s">
        <v>438</v>
      </c>
      <c r="AD1" t="s">
        <v>440</v>
      </c>
      <c r="AE1" t="s">
        <v>460</v>
      </c>
      <c r="AF1" t="s">
        <v>469</v>
      </c>
    </row>
    <row r="2" spans="1:32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W2" t="s">
        <v>413</v>
      </c>
      <c r="X2" t="s">
        <v>416</v>
      </c>
      <c r="Y2" t="s">
        <v>416</v>
      </c>
      <c r="Z2" t="s">
        <v>421</v>
      </c>
      <c r="AA2" t="s">
        <v>427</v>
      </c>
      <c r="AB2" t="s">
        <v>430</v>
      </c>
      <c r="AC2">
        <v>2</v>
      </c>
      <c r="AD2" t="s">
        <v>441</v>
      </c>
      <c r="AE2" t="s">
        <v>461</v>
      </c>
      <c r="AF2" t="s">
        <v>470</v>
      </c>
    </row>
    <row r="3" spans="1:32">
      <c r="A3" s="82"/>
      <c r="W3" t="s">
        <v>414</v>
      </c>
      <c r="X3" t="s">
        <v>417</v>
      </c>
      <c r="Y3" t="s">
        <v>417</v>
      </c>
      <c r="Z3" t="s">
        <v>422</v>
      </c>
      <c r="AA3" t="s">
        <v>428</v>
      </c>
      <c r="AB3" t="s">
        <v>431</v>
      </c>
      <c r="AC3">
        <v>3</v>
      </c>
      <c r="AD3" t="s">
        <v>442</v>
      </c>
      <c r="AE3" s="99" t="s">
        <v>170</v>
      </c>
      <c r="AF3" t="s">
        <v>471</v>
      </c>
    </row>
    <row r="4" spans="1:32">
      <c r="A4" s="82"/>
      <c r="X4" t="s">
        <v>418</v>
      </c>
      <c r="Z4" t="s">
        <v>423</v>
      </c>
      <c r="AB4" t="s">
        <v>432</v>
      </c>
      <c r="AC4">
        <v>4</v>
      </c>
      <c r="AD4" t="s">
        <v>443</v>
      </c>
      <c r="AE4" t="s">
        <v>462</v>
      </c>
    </row>
    <row r="5" spans="1:32">
      <c r="A5" s="110" t="s">
        <v>221</v>
      </c>
      <c r="B5" s="111" t="s">
        <v>210</v>
      </c>
      <c r="C5" s="111" t="s">
        <v>144</v>
      </c>
      <c r="D5" s="111" t="s">
        <v>473</v>
      </c>
      <c r="Z5" t="s">
        <v>424</v>
      </c>
      <c r="AB5" t="s">
        <v>433</v>
      </c>
      <c r="AC5">
        <v>5</v>
      </c>
    </row>
    <row r="6" spans="1:32">
      <c r="A6" s="112" t="s">
        <v>142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425</v>
      </c>
      <c r="AB6" t="s">
        <v>434</v>
      </c>
      <c r="AC6">
        <v>6</v>
      </c>
    </row>
    <row r="7" spans="1:32">
      <c r="A7" s="108" t="s">
        <v>172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435</v>
      </c>
      <c r="AC7" t="s">
        <v>439</v>
      </c>
    </row>
    <row r="8" spans="1:32">
      <c r="AB8" t="s">
        <v>436</v>
      </c>
    </row>
    <row r="9" spans="1:32">
      <c r="AB9" t="s">
        <v>437</v>
      </c>
    </row>
    <row r="17" spans="1:10" ht="18">
      <c r="A17" s="98" t="s">
        <v>454</v>
      </c>
    </row>
    <row r="18" spans="1:10">
      <c r="A18" t="s">
        <v>445</v>
      </c>
      <c r="B18" t="s">
        <v>7</v>
      </c>
      <c r="C18" t="s">
        <v>472</v>
      </c>
      <c r="D18" t="s">
        <v>447</v>
      </c>
      <c r="E18" t="s">
        <v>455</v>
      </c>
      <c r="F18" t="s">
        <v>456</v>
      </c>
      <c r="G18" t="s">
        <v>457</v>
      </c>
      <c r="H18" t="s">
        <v>458</v>
      </c>
      <c r="I18" t="s">
        <v>459</v>
      </c>
      <c r="J18" t="s">
        <v>453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474</v>
      </c>
      <c r="B21" s="115" t="s">
        <v>210</v>
      </c>
      <c r="C21" s="115" t="s">
        <v>144</v>
      </c>
      <c r="G21" s="96"/>
      <c r="H21" s="96"/>
      <c r="I21" s="96"/>
    </row>
    <row r="22" spans="1:10">
      <c r="A22" s="116" t="s">
        <v>142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172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1" t="s">
        <v>517</v>
      </c>
      <c r="B25" s="271"/>
    </row>
    <row r="26" spans="1:10">
      <c r="A26" s="271"/>
      <c r="B26" s="271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  <sheetView workbookViewId="2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4" t="s">
        <v>480</v>
      </c>
      <c r="N2" t="s">
        <v>153</v>
      </c>
      <c r="Q2" s="18" t="s">
        <v>78</v>
      </c>
      <c r="R2" s="18" t="s">
        <v>8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4" t="s">
        <v>492</v>
      </c>
      <c r="N3" t="s">
        <v>169</v>
      </c>
      <c r="Q3" s="21" t="s">
        <v>79</v>
      </c>
      <c r="R3" s="21" t="s">
        <v>57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4" t="s">
        <v>482</v>
      </c>
      <c r="Q4" s="18" t="s">
        <v>80</v>
      </c>
      <c r="R4" s="18" t="s">
        <v>9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4" t="s">
        <v>509</v>
      </c>
      <c r="Q5" s="21" t="s">
        <v>81</v>
      </c>
      <c r="R5" s="21" t="s">
        <v>82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4" t="s">
        <v>483</v>
      </c>
      <c r="Q6" s="18" t="s">
        <v>83</v>
      </c>
      <c r="R6" s="18" t="s">
        <v>84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4" t="s">
        <v>510</v>
      </c>
      <c r="Q7" s="21" t="s">
        <v>85</v>
      </c>
      <c r="R7" s="21" t="s">
        <v>60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4" t="s">
        <v>493</v>
      </c>
      <c r="Q8" s="18" t="s">
        <v>86</v>
      </c>
      <c r="R8" s="18" t="s">
        <v>58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4" t="s">
        <v>484</v>
      </c>
      <c r="Q9" s="21" t="s">
        <v>87</v>
      </c>
      <c r="R9" s="21" t="s">
        <v>61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9"/>
      <c r="I10" s="45" t="s">
        <v>213</v>
      </c>
      <c r="K10" s="124" t="s">
        <v>485</v>
      </c>
      <c r="Q10" s="18" t="s">
        <v>88</v>
      </c>
      <c r="R10" s="18" t="s">
        <v>59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4" t="s">
        <v>486</v>
      </c>
      <c r="Q11" s="21" t="s">
        <v>89</v>
      </c>
      <c r="R11" s="21" t="s">
        <v>62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4" t="s">
        <v>487</v>
      </c>
      <c r="Q12" s="21" t="s">
        <v>219</v>
      </c>
      <c r="R12" s="21" t="s">
        <v>220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20"/>
      <c r="K13" s="124" t="s">
        <v>488</v>
      </c>
      <c r="Q13" s="20" t="s">
        <v>174</v>
      </c>
      <c r="R13" s="65" t="s">
        <v>160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4" t="s">
        <v>489</v>
      </c>
      <c r="Q14" s="20" t="s">
        <v>173</v>
      </c>
      <c r="R14" s="65" t="s">
        <v>161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4" t="s">
        <v>490</v>
      </c>
      <c r="Q15" s="20" t="s">
        <v>90</v>
      </c>
      <c r="R15" s="65" t="s">
        <v>52</v>
      </c>
      <c r="AA15" s="15" t="s">
        <v>488</v>
      </c>
    </row>
    <row r="16" spans="1:27" ht="30" customHeight="1">
      <c r="C16" s="19"/>
      <c r="D16" s="19"/>
      <c r="I16" s="15" t="s">
        <v>120</v>
      </c>
      <c r="K16" s="124" t="s">
        <v>491</v>
      </c>
      <c r="Q16" s="20" t="s">
        <v>91</v>
      </c>
      <c r="R16" s="65" t="s">
        <v>63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8"/>
      <c r="I17" s="15" t="s">
        <v>121</v>
      </c>
      <c r="K17" s="124" t="s">
        <v>481</v>
      </c>
      <c r="Q17" s="20" t="s">
        <v>92</v>
      </c>
      <c r="R17" s="65" t="s">
        <v>64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7"/>
      <c r="I18" s="15" t="s">
        <v>122</v>
      </c>
      <c r="K18" s="124" t="s">
        <v>511</v>
      </c>
      <c r="Q18" s="20" t="s">
        <v>93</v>
      </c>
      <c r="R18" s="65" t="s">
        <v>65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4" t="s">
        <v>512</v>
      </c>
      <c r="Q19" s="20" t="s">
        <v>94</v>
      </c>
      <c r="R19" s="65" t="s">
        <v>56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4" t="s">
        <v>479</v>
      </c>
      <c r="Q20" s="20" t="s">
        <v>95</v>
      </c>
      <c r="R20" s="65" t="s">
        <v>53</v>
      </c>
      <c r="AA20" t="s">
        <v>491</v>
      </c>
    </row>
    <row r="21" spans="3:27" ht="30" customHeight="1">
      <c r="C21" s="19" t="s">
        <v>205</v>
      </c>
      <c r="D21" s="19"/>
      <c r="K21" s="124" t="s">
        <v>495</v>
      </c>
      <c r="Q21" s="20" t="s">
        <v>96</v>
      </c>
      <c r="R21" s="65" t="s">
        <v>54</v>
      </c>
      <c r="AA21" t="s">
        <v>513</v>
      </c>
    </row>
    <row r="22" spans="3:27" ht="30" customHeight="1">
      <c r="C22" s="19"/>
      <c r="D22" s="19"/>
      <c r="K22" s="124" t="s">
        <v>494</v>
      </c>
      <c r="Q22" s="20" t="s">
        <v>97</v>
      </c>
      <c r="R22" s="65" t="s">
        <v>49</v>
      </c>
      <c r="AA22" t="s">
        <v>512</v>
      </c>
    </row>
    <row r="23" spans="3:27" ht="30" customHeight="1">
      <c r="C23" s="19"/>
      <c r="D23" s="19"/>
      <c r="K23" s="124" t="s">
        <v>513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24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24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408</v>
      </c>
      <c r="Q27" s="20" t="s">
        <v>134</v>
      </c>
      <c r="R27" s="65" t="s">
        <v>135</v>
      </c>
    </row>
    <row r="28" spans="3:27" ht="30" customHeight="1">
      <c r="K28" t="s">
        <v>409</v>
      </c>
      <c r="Q28" s="20" t="s">
        <v>136</v>
      </c>
      <c r="R28" s="65" t="s">
        <v>137</v>
      </c>
    </row>
    <row r="29" spans="3:27" ht="30" customHeight="1">
      <c r="K29" t="s">
        <v>410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217</v>
      </c>
      <c r="R37" s="25" t="s">
        <v>218</v>
      </c>
    </row>
    <row r="38" spans="17:18" ht="30" customHeight="1">
      <c r="Q38" s="21" t="s">
        <v>223</v>
      </c>
      <c r="R38" s="21" t="s">
        <v>224</v>
      </c>
    </row>
    <row r="39" spans="17:18" ht="30" customHeight="1">
      <c r="Q39" s="21" t="s">
        <v>225</v>
      </c>
      <c r="R39" s="21" t="s">
        <v>226</v>
      </c>
    </row>
    <row r="40" spans="17:18" ht="30" customHeight="1">
      <c r="Q40" s="21" t="s">
        <v>227</v>
      </c>
      <c r="R40" s="21" t="s">
        <v>228</v>
      </c>
    </row>
    <row r="41" spans="17:18" ht="30" customHeight="1">
      <c r="Q41" s="25" t="s">
        <v>229</v>
      </c>
      <c r="R41" s="25" t="s">
        <v>230</v>
      </c>
    </row>
    <row r="42" spans="17:18" ht="30" customHeight="1">
      <c r="Q42" s="25" t="s">
        <v>247</v>
      </c>
      <c r="R42" s="25" t="s">
        <v>248</v>
      </c>
    </row>
    <row r="43" spans="17:18" ht="30" customHeight="1">
      <c r="Q43" s="25" t="s">
        <v>249</v>
      </c>
      <c r="R43" s="25" t="s">
        <v>250</v>
      </c>
    </row>
    <row r="44" spans="17:18" ht="30" customHeight="1">
      <c r="Q44" s="25" t="s">
        <v>251</v>
      </c>
      <c r="R44" s="25" t="s">
        <v>252</v>
      </c>
    </row>
    <row r="45" spans="17:18" ht="30" customHeight="1">
      <c r="Q45" s="25" t="s">
        <v>253</v>
      </c>
      <c r="R45" s="25" t="s">
        <v>259</v>
      </c>
    </row>
    <row r="46" spans="17:18" ht="30" customHeight="1">
      <c r="Q46" s="25" t="s">
        <v>254</v>
      </c>
      <c r="R46" s="25" t="s">
        <v>260</v>
      </c>
    </row>
    <row r="47" spans="17:18" ht="30" customHeight="1">
      <c r="Q47" s="25" t="s">
        <v>255</v>
      </c>
      <c r="R47" s="25" t="s">
        <v>261</v>
      </c>
    </row>
    <row r="48" spans="17:18" ht="30" customHeight="1">
      <c r="Q48" s="25" t="s">
        <v>256</v>
      </c>
      <c r="R48" s="25" t="s">
        <v>262</v>
      </c>
    </row>
    <row r="49" spans="17:18" ht="30" customHeight="1">
      <c r="Q49" s="25" t="s">
        <v>257</v>
      </c>
      <c r="R49" s="25" t="s">
        <v>263</v>
      </c>
    </row>
    <row r="50" spans="17:18" ht="30" customHeight="1">
      <c r="Q50" s="25" t="s">
        <v>258</v>
      </c>
      <c r="R50" s="25" t="s">
        <v>264</v>
      </c>
    </row>
    <row r="51" spans="17:18" ht="30" customHeight="1">
      <c r="Q51" s="21" t="s">
        <v>396</v>
      </c>
      <c r="R51" s="21" t="s">
        <v>399</v>
      </c>
    </row>
    <row r="52" spans="17:18" ht="30" customHeight="1">
      <c r="Q52" s="25" t="s">
        <v>397</v>
      </c>
      <c r="R52" s="25" t="s">
        <v>398</v>
      </c>
    </row>
    <row r="53" spans="17:18" ht="30" customHeight="1">
      <c r="Q53" s="25" t="s">
        <v>403</v>
      </c>
      <c r="R53" s="25" t="s">
        <v>406</v>
      </c>
    </row>
    <row r="54" spans="17:18" ht="30" customHeight="1">
      <c r="Q54" s="25" t="s">
        <v>404</v>
      </c>
      <c r="R54" s="25" t="s">
        <v>405</v>
      </c>
    </row>
    <row r="55" spans="17:18" ht="30" customHeight="1">
      <c r="Q55" s="166" t="s">
        <v>500</v>
      </c>
      <c r="R55" s="166" t="s">
        <v>502</v>
      </c>
    </row>
    <row r="56" spans="17:18" ht="30" customHeight="1">
      <c r="Q56" s="167" t="s">
        <v>501</v>
      </c>
      <c r="R56" s="167" t="s">
        <v>503</v>
      </c>
    </row>
    <row r="57" spans="17:18" ht="30" customHeight="1">
      <c r="Q57" s="21" t="s">
        <v>555</v>
      </c>
      <c r="R57" s="21" t="s">
        <v>556</v>
      </c>
    </row>
    <row r="58" spans="17:18" ht="30" customHeight="1">
      <c r="Q58" s="21" t="s">
        <v>557</v>
      </c>
      <c r="R58" s="21" t="s">
        <v>558</v>
      </c>
    </row>
    <row r="59" spans="17:18" ht="30" customHeight="1">
      <c r="Q59" s="21" t="s">
        <v>559</v>
      </c>
      <c r="R59" s="21" t="s">
        <v>560</v>
      </c>
    </row>
    <row r="60" spans="17:18" ht="30" customHeight="1">
      <c r="Q60" s="21" t="s">
        <v>561</v>
      </c>
      <c r="R60" s="21" t="s">
        <v>562</v>
      </c>
    </row>
    <row r="61" spans="17:18" ht="30" customHeight="1">
      <c r="Q61" s="21" t="s">
        <v>563</v>
      </c>
      <c r="R61" s="21" t="s">
        <v>564</v>
      </c>
    </row>
    <row r="62" spans="17:18" ht="30" customHeight="1">
      <c r="Q62" s="21" t="s">
        <v>565</v>
      </c>
      <c r="R62" s="21" t="s">
        <v>566</v>
      </c>
    </row>
    <row r="63" spans="17:18" ht="30" customHeight="1">
      <c r="Q63" s="21" t="s">
        <v>567</v>
      </c>
      <c r="R63" s="21" t="s">
        <v>568</v>
      </c>
    </row>
    <row r="64" spans="17:18" ht="30" customHeight="1">
      <c r="Q64" s="25" t="s">
        <v>569</v>
      </c>
      <c r="R64" s="25" t="s">
        <v>570</v>
      </c>
    </row>
    <row r="65" spans="17:18" ht="30" customHeight="1">
      <c r="Q65" s="25" t="s">
        <v>631</v>
      </c>
      <c r="R65" s="25" t="s">
        <v>632</v>
      </c>
    </row>
    <row r="66" spans="17:18" ht="30" customHeight="1">
      <c r="Q66" s="25" t="s">
        <v>633</v>
      </c>
      <c r="R66" s="25" t="s">
        <v>634</v>
      </c>
    </row>
    <row r="67" spans="17:18" ht="30" customHeight="1">
      <c r="Q67" s="25" t="s">
        <v>635</v>
      </c>
      <c r="R67" s="25" t="s">
        <v>636</v>
      </c>
    </row>
    <row r="68" spans="17:18" ht="30" customHeight="1">
      <c r="Q68" s="25" t="s">
        <v>637</v>
      </c>
      <c r="R68" s="25" t="s">
        <v>638</v>
      </c>
    </row>
    <row r="69" spans="17:18" ht="30" customHeight="1">
      <c r="Q69" s="25" t="s">
        <v>639</v>
      </c>
      <c r="R69" s="25" t="s">
        <v>640</v>
      </c>
    </row>
    <row r="70" spans="17:18" ht="30" customHeight="1">
      <c r="Q70" s="25" t="s">
        <v>641</v>
      </c>
      <c r="R70" s="25" t="s">
        <v>642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  <sheetView workbookViewId="2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2" t="s">
        <v>76</v>
      </c>
      <c r="D5" s="272"/>
      <c r="E5" s="272"/>
      <c r="F5" s="272"/>
      <c r="G5" s="272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463</v>
      </c>
    </row>
    <row r="4" spans="2:14" ht="20" customHeight="1">
      <c r="B4" s="102" t="s">
        <v>445</v>
      </c>
      <c r="C4" s="279"/>
      <c r="D4" s="279"/>
      <c r="E4" s="275" t="s">
        <v>11</v>
      </c>
      <c r="F4" s="275"/>
      <c r="G4" s="275"/>
    </row>
    <row r="5" spans="2:14" ht="20" customHeight="1">
      <c r="B5" s="102" t="s">
        <v>7</v>
      </c>
      <c r="C5" s="279"/>
      <c r="D5" s="279"/>
    </row>
    <row r="6" spans="2:14" ht="20" customHeight="1">
      <c r="B6" s="102" t="s">
        <v>446</v>
      </c>
      <c r="C6" s="279"/>
      <c r="D6" s="279"/>
    </row>
    <row r="7" spans="2:14" ht="20" customHeight="1">
      <c r="B7" s="102" t="s">
        <v>447</v>
      </c>
      <c r="C7" s="279"/>
      <c r="D7" s="279"/>
    </row>
    <row r="8" spans="2:14" ht="8" customHeight="1"/>
    <row r="9" spans="2:14" ht="20" customHeight="1">
      <c r="B9" s="157" t="s">
        <v>448</v>
      </c>
      <c r="C9" s="276"/>
      <c r="D9" s="276"/>
      <c r="E9" s="276"/>
      <c r="F9" s="276"/>
    </row>
    <row r="10" spans="2:14" ht="8" customHeight="1"/>
    <row r="11" spans="2:14" ht="20" customHeight="1">
      <c r="B11" s="157" t="s">
        <v>452</v>
      </c>
      <c r="C11" s="277">
        <v>2</v>
      </c>
      <c r="D11" s="277"/>
      <c r="E11" s="277">
        <v>3</v>
      </c>
      <c r="F11" s="277"/>
      <c r="G11" s="277">
        <v>4</v>
      </c>
      <c r="H11" s="277"/>
      <c r="I11" s="277">
        <v>5</v>
      </c>
      <c r="J11" s="277"/>
      <c r="K11" s="277">
        <v>6</v>
      </c>
      <c r="L11" s="277"/>
      <c r="M11" s="277" t="s">
        <v>439</v>
      </c>
      <c r="N11" s="277"/>
    </row>
    <row r="12" spans="2:14" ht="8" customHeight="1"/>
    <row r="13" spans="2:14" ht="20" customHeight="1">
      <c r="B13" s="157" t="s">
        <v>464</v>
      </c>
      <c r="C13" s="277" t="s">
        <v>421</v>
      </c>
      <c r="D13" s="277"/>
      <c r="E13" s="277" t="s">
        <v>422</v>
      </c>
      <c r="F13" s="277"/>
      <c r="G13" s="277" t="s">
        <v>423</v>
      </c>
      <c r="H13" s="277"/>
      <c r="I13" s="277" t="s">
        <v>424</v>
      </c>
      <c r="J13" s="277"/>
      <c r="K13" s="277" t="s">
        <v>425</v>
      </c>
      <c r="L13" s="277"/>
    </row>
    <row r="14" spans="2:14" ht="8" customHeight="1"/>
    <row r="15" spans="2:14" ht="20" customHeight="1">
      <c r="B15" s="157" t="s">
        <v>450</v>
      </c>
      <c r="C15" s="277" t="s">
        <v>470</v>
      </c>
      <c r="D15" s="277"/>
      <c r="E15" s="277" t="s">
        <v>471</v>
      </c>
      <c r="F15" s="277"/>
    </row>
    <row r="16" spans="2:14" ht="8" customHeight="1"/>
    <row r="17" spans="2:14" ht="20" customHeight="1">
      <c r="B17" s="161" t="s">
        <v>615</v>
      </c>
      <c r="C17" s="278" t="s">
        <v>621</v>
      </c>
      <c r="D17" s="278"/>
      <c r="E17" s="278"/>
      <c r="F17" s="278"/>
      <c r="G17" s="278"/>
      <c r="I17" s="278" t="s">
        <v>622</v>
      </c>
      <c r="J17" s="278"/>
      <c r="K17" s="278"/>
      <c r="L17" s="278"/>
      <c r="M17" s="278"/>
    </row>
    <row r="18" spans="2:14" ht="20" customHeight="1">
      <c r="C18" s="158" t="s">
        <v>616</v>
      </c>
      <c r="D18" s="158" t="s">
        <v>617</v>
      </c>
      <c r="E18" s="158" t="s">
        <v>618</v>
      </c>
      <c r="F18" s="158" t="s">
        <v>619</v>
      </c>
      <c r="G18" s="158" t="s">
        <v>620</v>
      </c>
      <c r="H18" s="158" t="s">
        <v>435</v>
      </c>
      <c r="I18" s="158" t="s">
        <v>620</v>
      </c>
      <c r="J18" s="158" t="s">
        <v>619</v>
      </c>
      <c r="K18" s="158" t="s">
        <v>618</v>
      </c>
      <c r="L18" s="158" t="s">
        <v>617</v>
      </c>
      <c r="M18" s="158" t="s">
        <v>616</v>
      </c>
    </row>
    <row r="19" spans="2:14" ht="20" customHeight="1">
      <c r="B19" s="157" t="s">
        <v>624</v>
      </c>
      <c r="C19" s="159"/>
      <c r="D19" s="160"/>
      <c r="E19" s="160"/>
      <c r="F19" s="160"/>
      <c r="G19" s="160"/>
      <c r="H19" s="160"/>
      <c r="I19" s="160"/>
      <c r="J19" s="160"/>
      <c r="K19" s="160"/>
      <c r="L19" s="160"/>
      <c r="M19" s="159"/>
    </row>
    <row r="20" spans="2:14" ht="8" customHeight="1"/>
    <row r="21" spans="2:14" ht="20" customHeight="1">
      <c r="B21" s="157" t="s">
        <v>453</v>
      </c>
      <c r="C21" s="273"/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</row>
    <row r="22" spans="2:14" ht="8" customHeight="1"/>
    <row r="23" spans="2:14" ht="26" customHeight="1">
      <c r="C23" s="274" t="s">
        <v>466</v>
      </c>
      <c r="D23" s="274"/>
      <c r="F23" s="275" t="s">
        <v>476</v>
      </c>
      <c r="G23" s="275"/>
      <c r="H23" s="275"/>
      <c r="I23" s="275"/>
    </row>
    <row r="24" spans="2:14" ht="26" customHeight="1"/>
    <row r="25" spans="2:14" ht="8" customHeight="1"/>
    <row r="26" spans="2:14" ht="26" customHeight="1"/>
  </sheetData>
  <mergeCells count="24">
    <mergeCell ref="K13:L13"/>
    <mergeCell ref="C15:D15"/>
    <mergeCell ref="E15:F15"/>
    <mergeCell ref="C4:D4"/>
    <mergeCell ref="C5:D5"/>
    <mergeCell ref="C6:D6"/>
    <mergeCell ref="C7:D7"/>
    <mergeCell ref="E4:G4"/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467</v>
      </c>
    </row>
    <row r="4" spans="2:13" ht="20" customHeight="1">
      <c r="B4" s="102" t="s">
        <v>445</v>
      </c>
      <c r="C4" s="280" t="s">
        <v>629</v>
      </c>
      <c r="D4" s="279"/>
      <c r="E4" s="275" t="s">
        <v>11</v>
      </c>
      <c r="F4" s="275"/>
      <c r="G4" s="275"/>
    </row>
    <row r="5" spans="2:13" ht="20" customHeight="1">
      <c r="B5" s="102" t="s">
        <v>7</v>
      </c>
      <c r="C5" s="279" t="s">
        <v>46</v>
      </c>
      <c r="D5" s="279"/>
    </row>
    <row r="6" spans="2:13" ht="20" customHeight="1">
      <c r="B6" s="102" t="s">
        <v>472</v>
      </c>
      <c r="C6" s="279" t="s">
        <v>47</v>
      </c>
      <c r="D6" s="279"/>
    </row>
    <row r="7" spans="2:13" ht="20" customHeight="1">
      <c r="B7" s="102" t="s">
        <v>447</v>
      </c>
      <c r="C7" s="279" t="s">
        <v>625</v>
      </c>
      <c r="D7" s="279"/>
    </row>
    <row r="8" spans="2:13" ht="8" customHeight="1"/>
    <row r="9" spans="2:13" ht="20" customHeight="1">
      <c r="B9" s="161" t="s">
        <v>623</v>
      </c>
      <c r="C9" s="278" t="s">
        <v>621</v>
      </c>
      <c r="D9" s="278"/>
      <c r="E9" s="278"/>
      <c r="F9" s="278"/>
      <c r="G9" s="278"/>
      <c r="I9" s="278" t="s">
        <v>622</v>
      </c>
      <c r="J9" s="278"/>
      <c r="K9" s="278"/>
      <c r="L9" s="278"/>
      <c r="M9" s="278"/>
    </row>
    <row r="10" spans="2:13" ht="20" customHeight="1">
      <c r="C10" s="158" t="s">
        <v>616</v>
      </c>
      <c r="D10" s="158" t="s">
        <v>617</v>
      </c>
      <c r="E10" s="158" t="s">
        <v>618</v>
      </c>
      <c r="F10" s="158" t="s">
        <v>619</v>
      </c>
      <c r="G10" s="158" t="s">
        <v>620</v>
      </c>
      <c r="H10" s="158" t="s">
        <v>435</v>
      </c>
      <c r="I10" s="158" t="s">
        <v>620</v>
      </c>
      <c r="J10" s="158" t="s">
        <v>619</v>
      </c>
      <c r="K10" s="158" t="s">
        <v>618</v>
      </c>
      <c r="L10" s="158" t="s">
        <v>617</v>
      </c>
      <c r="M10" s="158" t="s">
        <v>616</v>
      </c>
    </row>
    <row r="11" spans="2:13" ht="20" customHeight="1">
      <c r="B11" s="157" t="s">
        <v>441</v>
      </c>
      <c r="C11" s="159"/>
      <c r="D11" s="160"/>
      <c r="E11" s="160"/>
      <c r="F11" s="160"/>
      <c r="G11" s="160"/>
      <c r="H11" s="160"/>
      <c r="I11" s="160"/>
      <c r="J11" s="160"/>
      <c r="K11" s="160"/>
      <c r="L11" s="160"/>
      <c r="M11" s="159"/>
    </row>
    <row r="12" spans="2:13" ht="20" customHeight="1">
      <c r="B12" s="157" t="s">
        <v>442</v>
      </c>
      <c r="C12" s="159"/>
      <c r="D12" s="160"/>
      <c r="E12" s="160"/>
      <c r="F12" s="160"/>
      <c r="G12" s="160"/>
      <c r="H12" s="160"/>
      <c r="I12" s="160"/>
      <c r="J12" s="160"/>
      <c r="K12" s="160"/>
      <c r="L12" s="160"/>
      <c r="M12" s="159"/>
    </row>
    <row r="13" spans="2:13" ht="20" customHeight="1">
      <c r="B13" s="157" t="s">
        <v>443</v>
      </c>
      <c r="C13" s="159"/>
      <c r="D13" s="160"/>
      <c r="E13" s="160"/>
      <c r="F13" s="160"/>
      <c r="G13" s="160"/>
      <c r="H13" s="160"/>
      <c r="I13" s="160"/>
      <c r="J13" s="160"/>
      <c r="K13" s="160"/>
      <c r="L13" s="160"/>
      <c r="M13" s="159"/>
    </row>
    <row r="14" spans="2:13" ht="8" customHeight="1"/>
    <row r="15" spans="2:13" ht="20" customHeight="1">
      <c r="B15" s="157" t="s">
        <v>468</v>
      </c>
      <c r="C15" s="277" t="s">
        <v>461</v>
      </c>
      <c r="D15" s="277"/>
      <c r="E15" s="277" t="s">
        <v>170</v>
      </c>
      <c r="F15" s="277"/>
      <c r="G15" s="277" t="s">
        <v>462</v>
      </c>
      <c r="H15" s="277"/>
    </row>
    <row r="16" spans="2:13" ht="8" customHeight="1"/>
    <row r="17" spans="2:14" ht="20" customHeight="1">
      <c r="B17" s="157" t="s">
        <v>453</v>
      </c>
      <c r="C17" s="273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3"/>
    </row>
    <row r="18" spans="2:14" ht="8" customHeight="1"/>
    <row r="19" spans="2:14" ht="26" customHeight="1">
      <c r="C19" s="274" t="s">
        <v>466</v>
      </c>
      <c r="D19" s="274"/>
      <c r="F19" s="275" t="s">
        <v>476</v>
      </c>
      <c r="G19" s="275"/>
      <c r="H19" s="275"/>
      <c r="I19" s="275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  <sheetView workbookViewId="2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597</v>
      </c>
    </row>
    <row r="4" spans="2:21" ht="14" customHeight="1">
      <c r="B4" s="102" t="s">
        <v>445</v>
      </c>
      <c r="C4" s="280" t="s">
        <v>630</v>
      </c>
      <c r="D4" s="279"/>
      <c r="E4" s="275" t="s">
        <v>11</v>
      </c>
      <c r="F4" s="275"/>
      <c r="K4" s="283" t="s">
        <v>516</v>
      </c>
      <c r="L4" s="283"/>
      <c r="M4" s="283"/>
      <c r="N4" s="283"/>
      <c r="O4" s="283"/>
      <c r="P4" s="283"/>
      <c r="Q4" s="283"/>
      <c r="R4" s="283"/>
      <c r="S4" s="283"/>
      <c r="T4" s="283"/>
      <c r="U4" s="283"/>
    </row>
    <row r="5" spans="2:21" ht="15" customHeight="1">
      <c r="B5" s="102" t="s">
        <v>7</v>
      </c>
      <c r="C5" s="279" t="s">
        <v>46</v>
      </c>
      <c r="D5" s="279"/>
      <c r="K5" s="283"/>
      <c r="L5" s="283"/>
      <c r="M5" s="283"/>
      <c r="N5" s="283"/>
      <c r="O5" s="283"/>
      <c r="P5" s="283"/>
      <c r="Q5" s="283"/>
      <c r="R5" s="283"/>
      <c r="S5" s="283"/>
      <c r="T5" s="283"/>
      <c r="U5" s="283"/>
    </row>
    <row r="6" spans="2:21">
      <c r="B6" s="102" t="s">
        <v>475</v>
      </c>
      <c r="C6" s="279" t="s">
        <v>47</v>
      </c>
      <c r="D6" s="279"/>
    </row>
    <row r="7" spans="2:21" ht="32" customHeight="1">
      <c r="K7" s="281" t="s">
        <v>577</v>
      </c>
      <c r="L7" s="282"/>
      <c r="M7" s="282"/>
      <c r="O7" s="281" t="s">
        <v>578</v>
      </c>
      <c r="P7" s="282"/>
      <c r="Q7" s="282"/>
      <c r="S7" s="281" t="s">
        <v>579</v>
      </c>
      <c r="T7" s="282"/>
      <c r="U7" s="282"/>
    </row>
    <row r="8" spans="2:21" ht="10" customHeight="1"/>
    <row r="9" spans="2:21" ht="32" customHeight="1">
      <c r="B9" s="277" t="s">
        <v>598</v>
      </c>
      <c r="C9" s="277"/>
      <c r="E9" s="277" t="s">
        <v>603</v>
      </c>
      <c r="F9" s="277"/>
      <c r="H9" s="277" t="s">
        <v>610</v>
      </c>
      <c r="I9" s="277"/>
      <c r="M9" s="281" t="s">
        <v>595</v>
      </c>
      <c r="N9" s="282"/>
      <c r="O9" s="282"/>
      <c r="Q9" s="281" t="s">
        <v>580</v>
      </c>
      <c r="R9" s="282"/>
      <c r="S9" s="282"/>
    </row>
    <row r="10" spans="2:21" ht="10" customHeight="1"/>
    <row r="11" spans="2:21" ht="32" customHeight="1">
      <c r="B11" s="277" t="s">
        <v>599</v>
      </c>
      <c r="C11" s="277"/>
      <c r="E11" s="277" t="s">
        <v>604</v>
      </c>
      <c r="F11" s="277"/>
      <c r="H11" s="277" t="s">
        <v>611</v>
      </c>
      <c r="I11" s="277"/>
      <c r="K11" s="281" t="s">
        <v>596</v>
      </c>
      <c r="L11" s="282"/>
      <c r="M11" s="282"/>
      <c r="O11" s="281" t="s">
        <v>581</v>
      </c>
      <c r="P11" s="282"/>
      <c r="Q11" s="282"/>
      <c r="S11" s="281" t="s">
        <v>582</v>
      </c>
      <c r="T11" s="282"/>
      <c r="U11" s="282"/>
    </row>
    <row r="12" spans="2:21" ht="10" customHeight="1"/>
    <row r="13" spans="2:21" ht="32" customHeight="1">
      <c r="B13" s="277" t="s">
        <v>600</v>
      </c>
      <c r="C13" s="277"/>
      <c r="E13" s="277" t="s">
        <v>605</v>
      </c>
      <c r="F13" s="277"/>
      <c r="H13" s="277" t="s">
        <v>612</v>
      </c>
      <c r="I13" s="277"/>
      <c r="M13" s="281" t="s">
        <v>583</v>
      </c>
      <c r="N13" s="282"/>
      <c r="O13" s="282"/>
    </row>
    <row r="14" spans="2:21" ht="10" customHeight="1"/>
    <row r="15" spans="2:21" ht="32" customHeight="1">
      <c r="B15" s="277" t="s">
        <v>601</v>
      </c>
      <c r="C15" s="277"/>
      <c r="E15" s="277" t="s">
        <v>606</v>
      </c>
      <c r="F15" s="277"/>
      <c r="H15" s="277" t="s">
        <v>515</v>
      </c>
      <c r="I15" s="277"/>
      <c r="P15" s="281" t="s">
        <v>584</v>
      </c>
      <c r="Q15" s="282"/>
      <c r="R15" s="282"/>
    </row>
    <row r="16" spans="2:21" ht="10" customHeight="1"/>
    <row r="17" spans="2:21" ht="32" customHeight="1">
      <c r="B17" s="277" t="s">
        <v>602</v>
      </c>
      <c r="C17" s="277"/>
      <c r="E17" s="277" t="s">
        <v>607</v>
      </c>
      <c r="F17" s="277"/>
      <c r="H17" s="277" t="s">
        <v>613</v>
      </c>
      <c r="I17" s="277"/>
      <c r="M17" s="281" t="s">
        <v>585</v>
      </c>
      <c r="N17" s="282"/>
      <c r="O17" s="282"/>
      <c r="Q17" s="281" t="s">
        <v>586</v>
      </c>
      <c r="R17" s="282"/>
      <c r="S17" s="282"/>
    </row>
    <row r="18" spans="2:21" ht="10" customHeight="1"/>
    <row r="19" spans="2:21" ht="32" customHeight="1">
      <c r="E19" s="277" t="s">
        <v>608</v>
      </c>
      <c r="F19" s="277"/>
      <c r="H19" s="163"/>
      <c r="I19" s="163"/>
      <c r="K19" s="281" t="s">
        <v>587</v>
      </c>
      <c r="L19" s="282"/>
      <c r="M19" s="282"/>
      <c r="O19" s="281" t="s">
        <v>588</v>
      </c>
      <c r="P19" s="282"/>
      <c r="Q19" s="282"/>
      <c r="S19" s="281" t="s">
        <v>589</v>
      </c>
      <c r="T19" s="282"/>
      <c r="U19" s="282"/>
    </row>
    <row r="20" spans="2:21" ht="10" customHeight="1"/>
    <row r="21" spans="2:21" ht="25" customHeight="1">
      <c r="B21" s="163"/>
      <c r="C21" s="163"/>
      <c r="E21" s="277" t="s">
        <v>609</v>
      </c>
      <c r="F21" s="277"/>
      <c r="H21" s="163"/>
      <c r="I21" s="163"/>
      <c r="K21" s="281" t="s">
        <v>42</v>
      </c>
      <c r="L21" s="282"/>
      <c r="M21" s="282"/>
      <c r="S21" s="281" t="s">
        <v>32</v>
      </c>
      <c r="T21" s="282"/>
      <c r="U21" s="282"/>
    </row>
    <row r="22" spans="2:21" ht="10" customHeight="1"/>
    <row r="23" spans="2:21" ht="25" customHeight="1">
      <c r="B23" s="163"/>
      <c r="C23" s="163"/>
      <c r="E23" s="163"/>
      <c r="F23" s="163"/>
      <c r="H23" s="163"/>
      <c r="I23" s="163"/>
      <c r="K23" s="281" t="s">
        <v>153</v>
      </c>
      <c r="L23" s="281"/>
      <c r="M23" s="281"/>
      <c r="S23" s="281" t="s">
        <v>169</v>
      </c>
      <c r="T23" s="281"/>
      <c r="U23" s="281"/>
    </row>
    <row r="24" spans="2:21" ht="10" customHeight="1"/>
    <row r="25" spans="2:21" ht="10" customHeight="1">
      <c r="B25" s="163"/>
      <c r="C25" s="163"/>
      <c r="E25" s="163"/>
      <c r="F25" s="163"/>
      <c r="H25" s="163"/>
      <c r="I25" s="163"/>
    </row>
    <row r="26" spans="2:21" ht="10" customHeight="1"/>
    <row r="27" spans="2:21" ht="25" customHeight="1">
      <c r="B27" s="277" t="s">
        <v>167</v>
      </c>
      <c r="C27" s="277"/>
      <c r="E27" s="163"/>
      <c r="F27" s="163"/>
      <c r="H27" s="277" t="s">
        <v>614</v>
      </c>
      <c r="I27" s="277"/>
    </row>
    <row r="28" spans="2:21" ht="10" customHeight="1"/>
    <row r="29" spans="2:21" ht="25" customHeight="1">
      <c r="B29" s="277" t="s">
        <v>32</v>
      </c>
      <c r="C29" s="277"/>
      <c r="E29" s="163"/>
      <c r="F29" s="163"/>
      <c r="H29" s="277" t="s">
        <v>594</v>
      </c>
      <c r="I29" s="277"/>
    </row>
    <row r="30" spans="2:21" ht="10" customHeight="1"/>
    <row r="31" spans="2:21" ht="9" customHeight="1"/>
    <row r="32" spans="2:21" ht="26" customHeight="1">
      <c r="B32" s="274" t="s">
        <v>466</v>
      </c>
      <c r="C32" s="274"/>
      <c r="D32" s="121"/>
      <c r="E32" s="275" t="s">
        <v>476</v>
      </c>
      <c r="F32" s="275"/>
      <c r="G32" s="275"/>
      <c r="H32" s="275"/>
      <c r="I32" s="121"/>
    </row>
  </sheetData>
  <mergeCells count="47"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27:I27"/>
    <mergeCell ref="H29:I29"/>
    <mergeCell ref="B32:C32"/>
    <mergeCell ref="E32:H32"/>
    <mergeCell ref="B27:C27"/>
    <mergeCell ref="B29:C29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  <sheetView workbookViewId="2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1" spans="2:12">
      <c r="J1" s="101" t="s">
        <v>519</v>
      </c>
      <c r="L1" s="101" t="s">
        <v>534</v>
      </c>
    </row>
    <row r="2" spans="2:12" ht="21">
      <c r="B2" s="100" t="s">
        <v>496</v>
      </c>
      <c r="J2" s="101" t="s">
        <v>520</v>
      </c>
      <c r="L2" s="101" t="s">
        <v>535</v>
      </c>
    </row>
    <row r="3" spans="2:12">
      <c r="J3" s="101" t="s">
        <v>521</v>
      </c>
      <c r="L3" s="101" t="s">
        <v>536</v>
      </c>
    </row>
    <row r="4" spans="2:12">
      <c r="B4" s="102" t="s">
        <v>445</v>
      </c>
      <c r="D4" s="137" t="s">
        <v>518</v>
      </c>
      <c r="E4" s="104" t="s">
        <v>11</v>
      </c>
      <c r="J4" s="101" t="s">
        <v>522</v>
      </c>
      <c r="L4" s="101" t="s">
        <v>537</v>
      </c>
    </row>
    <row r="5" spans="2:12">
      <c r="B5" s="118" t="s">
        <v>499</v>
      </c>
      <c r="D5" s="122">
        <v>22</v>
      </c>
      <c r="J5" s="101" t="s">
        <v>523</v>
      </c>
      <c r="L5" s="101" t="s">
        <v>538</v>
      </c>
    </row>
    <row r="6" spans="2:12">
      <c r="J6" s="101" t="s">
        <v>524</v>
      </c>
      <c r="L6" s="101" t="s">
        <v>539</v>
      </c>
    </row>
    <row r="7" spans="2:12">
      <c r="B7" s="118" t="s">
        <v>497</v>
      </c>
      <c r="D7" s="118" t="s">
        <v>498</v>
      </c>
      <c r="J7" s="101" t="s">
        <v>525</v>
      </c>
      <c r="L7" s="101" t="s">
        <v>540</v>
      </c>
    </row>
    <row r="8" spans="2:12">
      <c r="B8" s="123" t="s">
        <v>519</v>
      </c>
      <c r="D8" s="123" t="s">
        <v>534</v>
      </c>
      <c r="J8" s="101" t="s">
        <v>526</v>
      </c>
    </row>
    <row r="9" spans="2:12">
      <c r="B9" s="123"/>
      <c r="D9" s="123"/>
      <c r="J9" s="101" t="s">
        <v>527</v>
      </c>
    </row>
    <row r="10" spans="2:12">
      <c r="B10" s="123"/>
      <c r="D10" s="123"/>
      <c r="J10" s="101" t="s">
        <v>528</v>
      </c>
    </row>
    <row r="11" spans="2:12">
      <c r="B11" s="123"/>
      <c r="D11" s="123"/>
      <c r="J11" s="101" t="s">
        <v>529</v>
      </c>
    </row>
    <row r="12" spans="2:12">
      <c r="B12" s="123"/>
      <c r="D12" s="123"/>
      <c r="J12" s="101" t="s">
        <v>530</v>
      </c>
    </row>
    <row r="13" spans="2:12">
      <c r="J13" s="101" t="s">
        <v>531</v>
      </c>
    </row>
    <row r="14" spans="2:12" ht="26" customHeight="1">
      <c r="B14" s="103" t="s">
        <v>466</v>
      </c>
      <c r="C14" s="121"/>
      <c r="D14" s="104" t="s">
        <v>465</v>
      </c>
      <c r="J14" s="101" t="s">
        <v>532</v>
      </c>
    </row>
    <row r="15" spans="2:12">
      <c r="J15" s="101" t="s">
        <v>533</v>
      </c>
    </row>
  </sheetData>
  <dataValidations count="2">
    <dataValidation type="list" allowBlank="1" showInputMessage="1" showErrorMessage="1" sqref="B10 B11 B8 B9 B12" xr:uid="{F7A6CCAA-80A4-8343-8967-F77A880E48F6}">
      <formula1>$J$1:$J$15</formula1>
    </dataValidation>
    <dataValidation type="list" allowBlank="1" showInputMessage="1" showErrorMessage="1" sqref="D10 D11 D8 D9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  <sheetView workbookViewId="2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571</v>
      </c>
    </row>
    <row r="4" spans="2:8">
      <c r="B4" s="102" t="s">
        <v>572</v>
      </c>
      <c r="C4" s="280" t="s">
        <v>576</v>
      </c>
      <c r="D4" s="279"/>
      <c r="G4" s="275" t="s">
        <v>11</v>
      </c>
      <c r="H4" s="275"/>
    </row>
    <row r="5" spans="2:8">
      <c r="B5" s="102" t="s">
        <v>7</v>
      </c>
      <c r="C5" s="279" t="s">
        <v>46</v>
      </c>
      <c r="D5" s="279"/>
    </row>
    <row r="7" spans="2:8" ht="22" customHeight="1">
      <c r="B7" s="283" t="s">
        <v>573</v>
      </c>
      <c r="C7" s="283"/>
      <c r="D7" s="283"/>
      <c r="E7" s="283"/>
      <c r="F7" s="283"/>
      <c r="G7" s="283"/>
      <c r="H7" s="283"/>
    </row>
    <row r="9" spans="2:8" ht="22" customHeight="1">
      <c r="B9" s="285" t="s">
        <v>574</v>
      </c>
      <c r="C9" s="285"/>
      <c r="D9" s="285"/>
      <c r="E9" s="285"/>
      <c r="F9" s="285"/>
      <c r="G9" s="285"/>
      <c r="H9" s="285"/>
    </row>
    <row r="10" spans="2:8" ht="8" customHeight="1"/>
    <row r="11" spans="2:8" ht="22" customHeight="1">
      <c r="B11" s="285" t="s">
        <v>575</v>
      </c>
      <c r="C11" s="285"/>
      <c r="D11" s="285"/>
      <c r="E11" s="285"/>
      <c r="F11" s="285"/>
      <c r="G11" s="285"/>
      <c r="H11" s="285"/>
    </row>
    <row r="12" spans="2:8" ht="8" customHeight="1"/>
    <row r="13" spans="2:8" ht="22" customHeight="1">
      <c r="B13" s="284"/>
      <c r="C13" s="284"/>
      <c r="D13" s="284"/>
      <c r="E13" s="284"/>
      <c r="F13" s="284"/>
      <c r="G13" s="284"/>
      <c r="H13" s="284"/>
    </row>
    <row r="14" spans="2:8" ht="8" customHeight="1"/>
    <row r="15" spans="2:8" ht="22" customHeight="1">
      <c r="B15" s="284"/>
      <c r="C15" s="284"/>
      <c r="D15" s="284"/>
      <c r="E15" s="284"/>
      <c r="F15" s="284"/>
      <c r="G15" s="284"/>
      <c r="H15" s="284"/>
    </row>
    <row r="16" spans="2:8" ht="8" customHeight="1"/>
    <row r="17" spans="2:8" ht="22" customHeight="1">
      <c r="B17" s="284"/>
      <c r="C17" s="284"/>
      <c r="D17" s="284"/>
      <c r="E17" s="284"/>
      <c r="F17" s="284"/>
      <c r="G17" s="284"/>
      <c r="H17" s="284"/>
    </row>
    <row r="18" spans="2:8" ht="8" customHeight="1"/>
    <row r="19" spans="2:8" ht="22" customHeight="1">
      <c r="B19" s="284"/>
      <c r="C19" s="284"/>
      <c r="D19" s="284"/>
      <c r="E19" s="284"/>
      <c r="F19" s="284"/>
      <c r="G19" s="284"/>
      <c r="H19" s="284"/>
    </row>
    <row r="20" spans="2:8" ht="8" customHeight="1"/>
    <row r="21" spans="2:8" ht="22" customHeight="1">
      <c r="B21" s="284"/>
      <c r="C21" s="284"/>
      <c r="D21" s="284"/>
      <c r="E21" s="284"/>
      <c r="F21" s="284"/>
      <c r="G21" s="284"/>
      <c r="H21" s="284"/>
    </row>
    <row r="22" spans="2:8" ht="8" customHeight="1"/>
    <row r="23" spans="2:8" ht="22" customHeight="1">
      <c r="B23" s="284"/>
      <c r="C23" s="284"/>
      <c r="D23" s="284"/>
      <c r="E23" s="284"/>
      <c r="F23" s="284"/>
      <c r="G23" s="284"/>
      <c r="H23" s="284"/>
    </row>
    <row r="24" spans="2:8" ht="8" customHeight="1"/>
    <row r="25" spans="2:8" ht="22" customHeight="1">
      <c r="B25" s="284"/>
      <c r="C25" s="284"/>
      <c r="D25" s="284"/>
      <c r="E25" s="284"/>
      <c r="F25" s="284"/>
      <c r="G25" s="284"/>
      <c r="H25" s="284"/>
    </row>
    <row r="26" spans="2:8" ht="8" customHeight="1"/>
    <row r="27" spans="2:8" ht="22" customHeight="1">
      <c r="B27" s="284"/>
      <c r="C27" s="284"/>
      <c r="D27" s="284"/>
      <c r="E27" s="284"/>
      <c r="F27" s="284"/>
      <c r="G27" s="284"/>
      <c r="H27" s="284"/>
    </row>
    <row r="28" spans="2:8" ht="8" customHeight="1"/>
    <row r="29" spans="2:8" ht="26" customHeight="1">
      <c r="B29" s="274" t="s">
        <v>466</v>
      </c>
      <c r="C29" s="274"/>
      <c r="D29" s="121"/>
      <c r="E29" s="275" t="s">
        <v>476</v>
      </c>
      <c r="F29" s="275"/>
      <c r="G29" s="275"/>
      <c r="H29" s="275"/>
    </row>
  </sheetData>
  <mergeCells count="16">
    <mergeCell ref="B11:H11"/>
    <mergeCell ref="C4:D4"/>
    <mergeCell ref="C5:D5"/>
    <mergeCell ref="G4:H4"/>
    <mergeCell ref="B7:H7"/>
    <mergeCell ref="B9:H9"/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2026-10-17T09:37:57Z</dcterms:modified>
</cp:coreProperties>
</file>