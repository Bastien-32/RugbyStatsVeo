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"/>
    </mc:Choice>
  </mc:AlternateContent>
  <xr:revisionPtr revIDLastSave="0" documentId="13_ncr:1_{79A22ACB-9E94-7146-B47C-657F5C1C5FC0}" xr6:coauthVersionLast="47" xr6:coauthVersionMax="47" xr10:uidLastSave="{00000000-0000-0000-0000-000000000000}"/>
  <bookViews>
    <workbookView xWindow="0" yWindow="660" windowWidth="19260" windowHeight="21680" activeTab="1" xr2:uid="{53D31A4B-F035-6643-BD9C-1BDFB195150B}"/>
  </bookViews>
  <sheets>
    <sheet name="Compo" sheetId="7" r:id="rId1"/>
    <sheet name="Saisie vidéo" sheetId="2" r:id="rId2"/>
    <sheet name="Journal actions" sheetId="10" r:id="rId3"/>
    <sheet name="Stats match" sheetId="12" r:id="rId4"/>
    <sheet name="Listes" sheetId="3" r:id="rId5"/>
    <sheet name="Paramètres" sheetId="6" r:id="rId6"/>
    <sheet name="Popup" sheetId="8" state="hidden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3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vidéo'!$J$22</definedName>
    <definedName name="BTN_ARRET_DU_JEU">'Saisie vidéo'!$N$30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vidéo'!$H$50</definedName>
    <definedName name="BTN_CHRONO_PLAY_PAUSE">'Saisie vidéo'!$J$50</definedName>
    <definedName name="BTN_CHRONO_PLUS_5_SEC">'Saisie vidéo'!$L$50</definedName>
    <definedName name="BTN_CHRONO_RESET">'Saisie vidéo'!$N$50</definedName>
    <definedName name="BTN_CONTRE_RUCK">'Saisie vidéo'!$H$22</definedName>
    <definedName name="BTN_EN_AVANT">'Saisie vidéo'!$F$20</definedName>
    <definedName name="BTN_FRANCHISSEMENT">'Saisie vidéo'!$L$22</definedName>
    <definedName name="BTN_GRATTAGE">'Saisie vidéo'!$F$22</definedName>
    <definedName name="BTN_JEU_AU_PIED">'Saisie vidéo'!$H$20</definedName>
    <definedName name="BTN_JO_1">'Saisie vidéo'!$D$36</definedName>
    <definedName name="BTN_JO_10">'Saisie vidéo'!$J$38</definedName>
    <definedName name="BTN_JO_11">'Saisie vidéo'!$L$38</definedName>
    <definedName name="BTN_JO_12">'Saisie vidéo'!$N$38</definedName>
    <definedName name="BTN_JO_13">'Saisie vidéo'!$D$40</definedName>
    <definedName name="BTN_JO_14">'Saisie vidéo'!$F$40</definedName>
    <definedName name="BTN_JO_15">'Saisie vidéo'!$H$40</definedName>
    <definedName name="BTN_JO_16">'Saisie vidéo'!$J$40</definedName>
    <definedName name="BTN_JO_17">'Saisie vidéo'!$L$40</definedName>
    <definedName name="BTN_JO_18">'Saisie vidéo'!$N$40</definedName>
    <definedName name="BTN_JO_19">'Saisie vidéo'!$D$42</definedName>
    <definedName name="BTN_JO_2">'Saisie vidéo'!$F$36</definedName>
    <definedName name="BTN_JO_20">'Saisie vidéo'!$F$42</definedName>
    <definedName name="BTN_JO_21">'Saisie vidéo'!$H$42</definedName>
    <definedName name="BTN_JO_22">'Saisie vidéo'!$J$42</definedName>
    <definedName name="BTN_JO_3">'Saisie vidéo'!$H$36</definedName>
    <definedName name="BTN_JO_4">'Saisie vidéo'!$J$36</definedName>
    <definedName name="BTN_JO_5">'Saisie vidéo'!$L$36</definedName>
    <definedName name="BTN_JO_6">'Saisie vidéo'!$N$36</definedName>
    <definedName name="BTN_JO_7">'Saisie vidéo'!$D$38</definedName>
    <definedName name="BTN_JO_8">'Saisie vidéo'!$F$38</definedName>
    <definedName name="BTN_JO_9">'Saisie vidéo'!$H$38</definedName>
    <definedName name="BTN_JO_COLLECTIF">'Saisie vidéo'!$L$42</definedName>
    <definedName name="BTN_JO_NON_IDENTIFIE">'Saisie vidéo'!$N$42</definedName>
    <definedName name="BTN_ME_G">'Saisie vidéo'!$F$18</definedName>
    <definedName name="BTN_ME_P">'Saisie vidéo'!$H$18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vidéo'!$F$24</definedName>
    <definedName name="BTN_PEN_CONTRE_NOUS">'Saisie vidéo'!$H$24</definedName>
    <definedName name="BTN_PEN_HORS_JEU">'Saisie vidéo'!$J$26</definedName>
    <definedName name="BTN_PEN_MAUL">'Saisie vidéo'!$F$26</definedName>
    <definedName name="BTN_PEN_PL_A_2">'Saisie vidéo'!$L$26</definedName>
    <definedName name="BTN_PEN_PL_HAUT">'Saisie vidéo'!$N$26</definedName>
    <definedName name="BTN_PEN_RUCK">'Saisie vidéo'!$H$26</definedName>
    <definedName name="BTN_PL_A2">'Saisie vidéo'!$L$14</definedName>
    <definedName name="BTN_PL_HAUT">'Saisie vidéo'!$N$14</definedName>
    <definedName name="BTN_PL_NORMAL">'Saisie vidéo'!$H$14</definedName>
    <definedName name="BTN_PL_OFF">'Saisie vidéo'!$F$14</definedName>
    <definedName name="BTN_PL_RATE">'Saisie vidéo'!$J$14</definedName>
    <definedName name="BTN_PTS_DROP">'Saisie vidéo'!$N$28</definedName>
    <definedName name="BTN_PTS_ESSAI">'Saisie vidéo'!$F$28</definedName>
    <definedName name="BTN_PTS_ESSAI_PEN">'Saisie vidéo'!$H$28</definedName>
    <definedName name="BTN_PTS_PENALITE">'Saisie vidéo'!$L$28</definedName>
    <definedName name="BTN_PTS_TRANSFO">'Saisie vidéo'!$J$28</definedName>
    <definedName name="BTN_RECEPTION_ADV">'Saisie vidéo'!$L$20</definedName>
    <definedName name="BTN_RECEPTION_NOUS">'Saisie vidéo'!$J$20</definedName>
    <definedName name="BTN_REPRISE_A_LA_MAIN">'Saisie vidéo'!$L$30</definedName>
    <definedName name="BTN_REPRISE_MELEE">'Saisie vidéo'!$H$30</definedName>
    <definedName name="BTN_REPRISE_RENVOI">'Saisie vidéo'!$J$30</definedName>
    <definedName name="BTN_REPRISE_TOUCHE">'Saisie vidéo'!$F$30</definedName>
    <definedName name="BTN_TO_G">'Saisie vidéo'!$F$16</definedName>
    <definedName name="BTN_TO_P">'Saisie vidéo'!$H$16</definedName>
    <definedName name="BTN_TO_PAS_DROIT">'Saisie vidéo'!$J$16</definedName>
    <definedName name="BTNS_JOUEURS">'Saisie vidéo'!$D$36,'Saisie vidéo'!$F$36,'Saisie vidéo'!$H$36,'Saisie vidéo'!$J$36,'Saisie vidéo'!$L$36,'Saisie vidéo'!$N$36,'Saisie vidéo'!$N$38,'Saisie vidéo'!$L$38,'Saisie vidéo'!$J$38,'Saisie vidéo'!$H$38,'Saisie vidéo'!$F$38</definedName>
    <definedName name="CELL_CHRONO_VIDEO">'Saisie vidéo'!$D$50</definedName>
    <definedName name="EQUIPE_NIV">LstEquipesClub[EQUIPE_NIV]</definedName>
    <definedName name="EQUIPES_POULE">LstEquipesPoule[EQUIPES_POULE]</definedName>
    <definedName name="LBL_CHGT_POSS_1">'Saisie vidéo'!$D$20</definedName>
    <definedName name="LBL_CHGT_POSS_2">'Saisie vidéo'!$D$22</definedName>
    <definedName name="LBL_MELEES">'Saisie vidéo'!$D$18</definedName>
    <definedName name="LBL_MOTIF_PENALITE">'Saisie vidéo'!$D$26</definedName>
    <definedName name="LBL_PENALITE">'Saisie vidéo'!$D$24</definedName>
    <definedName name="LBL_PLAQUAGES">'Saisie vidéo'!$D$14</definedName>
    <definedName name="LBL_POINTS">'Saisie vidéo'!$D$28</definedName>
    <definedName name="LBL_POSITION_VIDEO">'Saisie vidéo'!$D$48</definedName>
    <definedName name="LBL_REPRISE_JEU">'Saisie vidéo'!$D$30</definedName>
    <definedName name="LBL_TOUCHES">'Saisie vidéo'!$D$16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vidéo'!$C$35:$O$43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vidéo'!$D$46</definedName>
    <definedName name="TITRE_PALETTE_ACTIONS">'Saisie vidéo'!$D$12</definedName>
    <definedName name="TITRE_PALETTE_JOUEURS">'Saisie vidéo'!$D$34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C1" i="2"/>
  <c r="J24" i="1"/>
  <c r="I24" i="1"/>
  <c r="H24" i="1"/>
  <c r="G24" i="1"/>
  <c r="F24" i="1"/>
  <c r="D24" i="1"/>
  <c r="C24" i="1"/>
  <c r="B24" i="1"/>
  <c r="H80" i="12" l="1"/>
  <c r="G22" i="12"/>
  <c r="O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R8" i="12" l="1"/>
  <c r="R32" i="12" s="1"/>
  <c r="G8" i="12"/>
  <c r="G32" i="12" s="1"/>
  <c r="F8" i="12"/>
  <c r="F32" i="12" s="1"/>
  <c r="H8" i="12"/>
  <c r="H32" i="12" s="1"/>
  <c r="L8" i="12"/>
  <c r="L32" i="12" s="1"/>
  <c r="P8" i="12"/>
  <c r="P32" i="12" s="1"/>
  <c r="S8" i="12"/>
  <c r="S32" i="12" s="1"/>
  <c r="Q8" i="12"/>
  <c r="Q32" i="12" s="1"/>
  <c r="E8" i="12"/>
  <c r="E32" i="12" s="1"/>
  <c r="T8" i="12"/>
  <c r="T32" i="12" s="1"/>
  <c r="D8" i="12"/>
  <c r="D32" i="12" s="1"/>
  <c r="M8" i="12"/>
  <c r="M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I33" i="12" l="1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<sst xmlns="http://schemas.openxmlformats.org/spreadsheetml/2006/main" count="506" uniqueCount="390">
  <si>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</si>
  <si>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</si>
  <si>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</si>
  <si>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</si>
  <si>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</si>
  <si>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</si>
  <si>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</si>
  <si>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</si>
  <si>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</si>
  <si>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</si>
  <si>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</si>
  <si>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</si>
  <si>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</si>
  <si>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</si>
  <si>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</si>
  <si>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</si>
  <si>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</si>
  <si>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</si>
  <si>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</si>
  <si>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</si>
  <si>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</si>
  <si>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</si>
  <si>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</si>
  <si>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</si>
  <si>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</si>
  <si>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</si>
  <si>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</si>
  <si>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</si>
  <si>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</si>
  <si>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</si>
  <si>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</si>
  <si>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</si>
  <si>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</si>
  <si>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</si>
  <si>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</si>
  <si>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</si>
  <si>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</si>
  <si>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</si>
  <si>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</si>
  <si>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</si>
  <si>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</si>
  <si>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</si>
  <si>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</si>
  <si>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</si>
  <si>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</si>
  <si>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</si>
  <si>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</si>
  <si>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</si>
  <si>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</si>
  <si>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</si>
  <si>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</si>
  <si>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</si>
  <si>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</si>
  <si>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</si>
  <si>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</si>
  <si>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</si>
  <si>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</si>
  <si>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</si>
  <si>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</si>
  <si>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</si>
  <si>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</si>
  <si>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</si>
  <si>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</si>
  <si>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</si>
  <si>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</si>
  <si>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</si>
  <si>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</si>
  <si>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</si>
  <si>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</si>
  <si>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</si>
  <si>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</si>
  <si>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</si>
  <si>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</si>
  <si>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</si>
  <si>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</si>
  <si>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</si>
  <si>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</si>
  <si>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</si>
  <si>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</si>
  <si>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</si>
  <si>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</si>
  <si>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</si>
  <si>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</si>
  <si>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</si>
  <si>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</si>
  <si>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</si>
  <si>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</si>
  <si>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</si>
  <si>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</si>
  <si>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</si>
  <si>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</si>
  <si>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</si>
  <si>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</si>
  <si>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DASTUGUE</t>
  </si>
  <si>
    <t>MICHELIN</t>
  </si>
  <si>
    <t>BAYLE</t>
  </si>
  <si>
    <t>ROUSSEL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</si>
  <si>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</si>
  <si>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</si>
  <si>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</si>
  <si>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</si>
  <si>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</si>
  <si>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</si>
  <si>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</si>
  <si>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</si>
  <si>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</si>
  <si>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</si>
  <si>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</si>
  <si>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</si>
  <si>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</si>
  <si>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</si>
  <si>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</si>
  <si>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</si>
  <si>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</si>
  <si>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</si>
  <si>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</si>
  <si>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</si>
  <si>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</si>
  <si>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</si>
  <si>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</si>
  <si>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</si>
  <si>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</si>
  <si>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</si>
  <si>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</si>
  <si>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</si>
  <si>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</si>
  <si>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</si>
  <si>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</si>
  <si>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</si>
  <si>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</si>
  <si>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</si>
  <si>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</si>
  <si>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</si>
  <si>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</si>
  <si>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</si>
  <si>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</si>
  <si>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</si>
  <si>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</si>
  <si>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</si>
  <si>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</si>
  <si>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</si>
  <si>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</si>
  <si>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</si>
  <si>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</si>
  <si>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</si>
  <si>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</si>
  <si>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</si>
  <si>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</si>
  <si>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</si>
  <si>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</si>
  <si>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</si>
  <si>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</si>
  <si>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</si>
  <si>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</si>
  <si>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</si>
  <si>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</si>
  <si>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</si>
  <si>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</si>
  <si>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</si>
  <si>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</si>
  <si>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</si>
  <si>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</si>
  <si>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</si>
  <si>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</si>
  <si>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</si>
  <si>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</si>
  <si>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</si>
  <si>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</si>
  <si>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</si>
  <si>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</si>
  <si>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</si>
  <si>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</si>
  <si>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</si>
  <si>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</si>
  <si>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</si>
  <si>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</si>
  <si>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</si>
  <si>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</si>
  <si>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</si>
  <si>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</si>
  <si>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</si>
  <si>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</si>
  <si>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</si>
  <si>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</si>
  <si>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</si>
  <si>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</si>
  <si>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</si>
  <si>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</si>
  <si>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</si>
  <si>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</si>
  <si>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</si>
  <si>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</si>
  <si>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</si>
  <si>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</si>
  <si>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</si>
  <si>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</si>
  <si>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</si>
  <si>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</si>
  <si>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</si>
  <si>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</si>
  <si>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</si>
  <si>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</si>
  <si>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</si>
  <si>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</si>
  <si>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</si>
  <si>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</si>
  <si>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</si>
  <si>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</si>
  <si>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</si>
  <si>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</si>
  <si>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</si>
  <si>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</si>
  <si>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</si>
  <si>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</si>
  <si>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</si>
  <si>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</si>
  <si>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</si>
  <si>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</si>
  <si>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</si>
  <si>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</si>
  <si>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</si>
  <si>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</si>
  <si>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</si>
  <si>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</si>
  <si>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</si>
  <si>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</si>
  <si>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</si>
  <si>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</si>
  <si>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</si>
  <si>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</si>
  <si>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</si>
  <si>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</si>
  <si>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</si>
  <si>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</si>
  <si>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</si>
  <si>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</si>
  <si>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</si>
  <si>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</si>
  <si>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</si>
  <si>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</si>
  <si>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</si>
  <si>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</si>
  <si>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</si>
  <si>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</si>
  <si>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</si>
  <si>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</si>
  <si>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</si>
  <si>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</si>
  <si>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</si>
  <si>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</si>
  <si>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</si>
  <si>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</si>
  <si>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</si>
  <si>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</si>
  <si>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</si>
  <si>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</si>
  <si>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</si>
  <si>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</si>
  <si>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</si>
  <si>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</si>
  <si>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</si>
  <si>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</si>
  <si>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</si>
  <si>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</si>
  <si>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</si>
  <si>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</si>
  <si>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</si>
  <si>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</si>
  <si>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</si>
  <si>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</si>
  <si>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</si>
  <si>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</si>
  <si>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</si>
  <si>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</si>
  <si>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</si>
  <si>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</si>
  <si>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</si>
  <si>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</si>
  <si>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</si>
  <si>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</si>
  <si>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</si>
  <si>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</si>
  <si>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</si>
  <si>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</si>
  <si>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</si>
  <si>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</si>
  <si>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</si>
  <si>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</si>
  <si>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</si>
  <si>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</si>
  <si>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</si>
  <si>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</si>
  <si>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</si>
  <si>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</si>
  <si>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</si>
  <si>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</si>
  <si>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</si>
  <si>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</si>
  <si>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</si>
  <si>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</si>
  <si>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</si>
  <si>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</si>
  <si>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</si>
  <si>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</si>
  <si>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</si>
  <si>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</si>
  <si>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</si>
  <si>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</si>
  <si>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</si>
  <si>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</si>
  <si>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</si>
  <si>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</si>
  <si>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</si>
  <si>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</si>
  <si>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</si>
  <si>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</si>
  <si>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</si>
  <si>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</si>
  <si>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</si>
  <si>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</si>
  <si>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 xml:space="preserve">BOUTAN </t>
  </si>
  <si>
    <t>Julien</t>
  </si>
  <si>
    <t>POUYADOU</t>
  </si>
  <si>
    <t>26-27_A1_US Eauze_Première_EXT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</si>
  <si>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</si>
  <si>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</si>
  <si>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</si>
  <si>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</si>
  <si>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</si>
  <si>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</si>
  <si>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</si>
  <si>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</si>
  <si>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</si>
  <si>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</si>
  <si>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</si>
  <si>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</si>
  <si>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</si>
  <si>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</si>
  <si>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</si>
  <si>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</si>
  <si>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</si>
  <si>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</si>
  <si>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Julian</t>
  </si>
  <si>
    <t>Maxime</t>
  </si>
  <si>
    <t>Mathis</t>
  </si>
  <si>
    <t>MULLIER</t>
  </si>
  <si>
    <t>Martin</t>
  </si>
  <si>
    <t>RICHIARDONNE</t>
  </si>
  <si>
    <t>Gregory</t>
  </si>
  <si>
    <t>LOUREIRO LABAZUY</t>
  </si>
  <si>
    <t>Antonio</t>
  </si>
  <si>
    <t>MOUDENS</t>
  </si>
  <si>
    <t>Alexis</t>
  </si>
  <si>
    <t>BOUTELOUP</t>
  </si>
  <si>
    <t>Romain</t>
  </si>
  <si>
    <t>Temps de jeu effectif</t>
  </si>
  <si>
    <t>Total</t>
  </si>
  <si>
    <t>25-26</t>
  </si>
  <si>
    <t>Rabastens-Coufouleux</t>
  </si>
  <si>
    <t>8eme</t>
  </si>
  <si>
    <t>0-20 s</t>
  </si>
  <si>
    <t>20-40 s</t>
  </si>
  <si>
    <t>40-60 s</t>
  </si>
  <si>
    <t>60-90 s</t>
  </si>
  <si>
    <t>&gt;90 s</t>
  </si>
  <si>
    <t>Durée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</si>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</sst>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2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 style="thick">
        <color rgb="FF4DA72E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/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ck">
        <color rgb="FF4DA72E"/>
      </bottom>
      <diagonal/>
    </border>
    <border>
      <left style="thin">
        <color rgb="FFFFFFFF"/>
      </left>
      <right/>
      <top style="thin">
        <color rgb="FF000000"/>
      </top>
      <bottom style="thick">
        <color rgb="FF4DA72E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2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15" xfId="0" applyFill="1" applyBorder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11" xfId="0" applyFill="1" applyBorder="1"/>
    <xf numFmtId="0" fontId="0" fillId="17" borderId="18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25" fillId="0" borderId="0" xfId="0" applyFont="1" applyAlignment="1">
      <alignment horizontal="center" vertical="center" wrapText="1"/>
    </xf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14" fontId="0" fillId="0" borderId="0" xfId="0" applyNumberFormat="1"/>
    <xf numFmtId="22" fontId="0" fillId="0" borderId="0" xfId="0" applyNumberFormat="1"/>
    <xf numFmtId="0" fontId="0" fillId="17" borderId="78" xfId="0" applyFill="1" applyBorder="1" applyAlignment="1">
      <alignment horizontal="center" vertical="center"/>
    </xf>
    <xf numFmtId="0" fontId="3" fillId="17" borderId="78" xfId="0" applyFont="1" applyFill="1" applyBorder="1" applyAlignment="1">
      <alignment horizontal="center" vertical="center" wrapText="1"/>
    </xf>
    <xf numFmtId="0" fontId="0" fillId="17" borderId="78" xfId="0" applyFill="1" applyBorder="1" applyAlignment="1">
      <alignment horizontal="center" vertical="center" wrapText="1"/>
    </xf>
    <xf numFmtId="0" fontId="0" fillId="17" borderId="85" xfId="0" applyFill="1" applyBorder="1" applyAlignment="1">
      <alignment horizontal="center" vertical="center"/>
    </xf>
    <xf numFmtId="0" fontId="0" fillId="17" borderId="87" xfId="0" applyFill="1" applyBorder="1"/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32" fillId="27" borderId="15" xfId="0" applyFont="1" applyFill="1" applyBorder="1" applyAlignment="1">
      <alignment horizontal="center" vertical="center" wrapText="1"/>
    </xf>
    <xf numFmtId="0" fontId="32" fillId="27" borderId="16" xfId="0" applyFont="1" applyFill="1" applyBorder="1" applyAlignment="1">
      <alignment horizontal="center" vertical="center" wrapText="1"/>
    </xf>
    <xf numFmtId="0" fontId="32" fillId="27" borderId="17" xfId="0" applyFont="1" applyFill="1" applyBorder="1" applyAlignment="1">
      <alignment horizontal="center" vertical="center" wrapText="1"/>
    </xf>
    <xf numFmtId="0" fontId="32" fillId="27" borderId="20" xfId="0" applyFont="1" applyFill="1" applyBorder="1" applyAlignment="1">
      <alignment horizontal="center" vertical="center" wrapText="1"/>
    </xf>
    <xf numFmtId="0" fontId="32" fillId="27" borderId="21" xfId="0" applyFont="1" applyFill="1" applyBorder="1" applyAlignment="1">
      <alignment horizontal="center" vertical="center" wrapText="1"/>
    </xf>
    <xf numFmtId="0" fontId="32" fillId="27" borderId="22" xfId="0" applyFont="1" applyFill="1" applyBorder="1" applyAlignment="1">
      <alignment horizontal="center" vertical="center" wrapText="1"/>
    </xf>
    <xf numFmtId="0" fontId="3" fillId="24" borderId="55" xfId="0" applyNumberFormat="1" applyFont="1" applyFill="1" applyBorder="1" applyAlignment="1" applyProtection="1">
      <alignment horizontal="center" vertical="center"/>
    </xf>
    <xf numFmtId="0" fontId="3" fillId="24" borderId="79" xfId="0" applyNumberFormat="1" applyFont="1" applyFill="1" applyBorder="1" applyAlignment="1" applyProtection="1">
      <alignment horizontal="center" vertical="center"/>
    </xf>
    <xf numFmtId="0" fontId="3" fillId="24" borderId="55" xfId="0" applyNumberFormat="1" applyFont="1" applyFill="1" applyBorder="1" applyAlignment="1" applyProtection="1">
      <alignment horizontal="center" vertical="center" wrapText="1"/>
    </xf>
    <xf numFmtId="0" fontId="3" fillId="24" borderId="79" xfId="0" applyNumberFormat="1" applyFont="1" applyFill="1" applyBorder="1" applyAlignment="1" applyProtection="1">
      <alignment horizontal="center" vertical="center" wrapText="1"/>
    </xf>
    <xf numFmtId="0" fontId="8" fillId="10" borderId="2" xfId="0" applyNumberFormat="1" applyFont="1" applyFill="1" applyBorder="1" applyAlignment="1" applyProtection="1">
      <alignment horizontal="center" vertical="center" wrapText="1"/>
    </xf>
    <xf numFmtId="0" fontId="19" fillId="10" borderId="2" xfId="0" applyNumberFormat="1" applyFont="1" applyFill="1" applyBorder="1" applyAlignment="1" applyProtection="1">
      <alignment horizontal="center" vertical="center" wrapText="1"/>
    </xf>
    <xf numFmtId="0" fontId="39" fillId="16" borderId="56" xfId="0" applyNumberFormat="1" applyFont="1" applyFill="1" applyBorder="1" applyAlignment="1" applyProtection="1">
      <alignment horizontal="left" vertical="center"/>
    </xf>
    <xf numFmtId="165" fontId="40" fillId="10" borderId="55" xfId="0" applyNumberFormat="1" applyFont="1" applyFill="1" applyBorder="1" applyAlignment="1" applyProtection="1">
      <alignment horizontal="center" vertical="center"/>
    </xf>
    <xf numFmtId="165" fontId="40" fillId="10" borderId="79" xfId="0" applyNumberFormat="1" applyFont="1" applyFill="1" applyBorder="1" applyAlignment="1" applyProtection="1">
      <alignment horizontal="center" vertical="center"/>
    </xf>
    <xf numFmtId="0" fontId="9" fillId="18" borderId="2" xfId="0" applyNumberFormat="1" applyFont="1" applyFill="1" applyBorder="1" applyAlignment="1" applyProtection="1">
      <alignment horizontal="center" vertical="center"/>
    </xf>
    <xf numFmtId="0" fontId="41" fillId="18" borderId="2" xfId="0" applyNumberFormat="1" applyFont="1" applyFill="1" applyBorder="1" applyAlignment="1" applyProtection="1">
      <alignment horizontal="center" vertical="center"/>
    </xf>
    <xf numFmtId="0" fontId="19" fillId="13" borderId="2" xfId="0" applyNumberFormat="1" applyFont="1" applyFill="1" applyBorder="1" applyAlignment="1" applyProtection="1">
      <alignment horizontal="center" vertical="center"/>
    </xf>
    <xf numFmtId="0" fontId="0" fillId="0" borderId="25" xfId="0" applyFill="1" applyBorder="1"/>
    <xf numFmtId="0" fontId="0" fillId="0" borderId="86" xfId="0" applyFill="1" applyBorder="1"/>
    <xf numFmtId="0" fontId="0" fillId="0" borderId="53" xfId="0" applyFill="1" applyBorder="1"/>
    <xf numFmtId="0" fontId="0" fillId="0" borderId="54" xfId="0" applyFill="1" applyBorder="1"/>
    <xf numFmtId="0" fontId="3" fillId="24" borderId="56" xfId="0" applyNumberFormat="1" applyFont="1" applyFill="1" applyBorder="1" applyAlignment="1" applyProtection="1">
      <alignment horizontal="center" vertical="center" wrapText="1"/>
    </xf>
    <xf numFmtId="0" fontId="0" fillId="0" borderId="57" xfId="0" applyFill="1" applyBorder="1"/>
    <xf numFmtId="0" fontId="0" fillId="0" borderId="58" xfId="0" applyFill="1" applyBorder="1"/>
    <xf numFmtId="0" fontId="0" fillId="0" borderId="72" xfId="0" applyFill="1" applyBorder="1"/>
    <xf numFmtId="0" fontId="0" fillId="0" borderId="55" xfId="0" applyFill="1" applyBorder="1"/>
    <xf numFmtId="0" fontId="0" fillId="0" borderId="56" xfId="0" applyFill="1" applyBorder="1"/>
    <xf numFmtId="0" fontId="0" fillId="0" borderId="73" xfId="0" applyFill="1" applyBorder="1"/>
    <xf numFmtId="0" fontId="0" fillId="0" borderId="60" xfId="0" applyFill="1" applyBorder="1"/>
    <xf numFmtId="0" fontId="0" fillId="0" borderId="74" xfId="0" applyFill="1" applyBorder="1"/>
    <xf numFmtId="0" fontId="0" fillId="0" borderId="68" xfId="0" applyFill="1" applyBorder="1"/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0" fillId="0" borderId="59" xfId="0" applyFill="1" applyBorder="1"/>
    <xf numFmtId="0" fontId="0" fillId="0" borderId="89" xfId="0" applyFill="1" applyBorder="1"/>
    <xf numFmtId="0" fontId="0" fillId="0" borderId="90" xfId="0" applyFill="1" applyBorder="1"/>
    <xf numFmtId="0" fontId="0" fillId="0" borderId="61" xfId="0" applyFill="1" applyBorder="1"/>
    <xf numFmtId="0" fontId="0" fillId="0" borderId="70" xfId="0" applyFill="1" applyBorder="1"/>
    <xf numFmtId="0" fontId="3" fillId="24" borderId="56" xfId="0" applyNumberFormat="1" applyFont="1" applyFill="1" applyBorder="1" applyAlignment="1" applyProtection="1">
      <alignment horizontal="center" vertical="center"/>
    </xf>
    <xf numFmtId="0" fontId="3" fillId="24" borderId="60" xfId="0" applyNumberFormat="1" applyFont="1" applyFill="1" applyBorder="1" applyAlignment="1" applyProtection="1">
      <alignment horizontal="center" vertical="center"/>
    </xf>
    <xf numFmtId="0" fontId="3" fillId="24" borderId="71" xfId="0" applyNumberFormat="1" applyFont="1" applyFill="1" applyBorder="1" applyAlignment="1" applyProtection="1">
      <alignment horizontal="center" vertical="center"/>
    </xf>
    <xf numFmtId="0" fontId="3" fillId="24" borderId="0" xfId="0" applyNumberFormat="1" applyFont="1" applyFill="1" applyBorder="1" applyAlignment="1" applyProtection="1">
      <alignment horizontal="center" vertical="center"/>
    </xf>
    <xf numFmtId="165" fontId="40" fillId="10" borderId="56" xfId="0" applyNumberFormat="1" applyFont="1" applyFill="1" applyBorder="1" applyAlignment="1" applyProtection="1">
      <alignment horizontal="center" vertical="center"/>
    </xf>
    <xf numFmtId="0" fontId="0" fillId="0" borderId="71" xfId="0" applyFill="1" applyBorder="1"/>
    <xf numFmtId="0" fontId="0" fillId="0" borderId="78" xfId="0" applyFill="1" applyBorder="1"/>
    <xf numFmtId="0" fontId="0" fillId="0" borderId="80" xfId="0" applyFill="1" applyBorder="1"/>
    <xf numFmtId="0" fontId="0" fillId="0" borderId="82" xfId="0" applyFill="1" applyBorder="1"/>
    <xf numFmtId="0" fontId="0" fillId="0" borderId="81" xfId="0" applyFill="1" applyBorder="1"/>
    <xf numFmtId="0" fontId="0" fillId="0" borderId="83" xfId="0" applyFill="1" applyBorder="1"/>
    <xf numFmtId="0" fontId="3" fillId="9" borderId="0" xfId="0" applyNumberFormat="1" applyFont="1" applyFill="1" applyBorder="1" applyAlignment="1" applyProtection="1">
      <alignment horizontal="center" vertical="center" wrapText="1"/>
    </xf>
    <xf numFmtId="0" fontId="19" fillId="12" borderId="0" xfId="0" applyNumberFormat="1" applyFont="1" applyFill="1" applyBorder="1" applyAlignment="1" applyProtection="1">
      <alignment horizontal="center" vertical="center" wrapText="1"/>
    </xf>
    <xf numFmtId="0" fontId="0" fillId="0" borderId="88" xfId="0" applyFill="1" applyBorder="1"/>
    <xf numFmtId="0" fontId="19" fillId="23" borderId="3" xfId="0" applyNumberFormat="1" applyFont="1" applyFill="1" applyBorder="1" applyAlignment="1" applyProtection="1">
      <alignment horizontal="center" vertical="center" wrapText="1"/>
    </xf>
    <xf numFmtId="0" fontId="19" fillId="23" borderId="91" xfId="0" applyNumberFormat="1" applyFont="1" applyFill="1" applyBorder="1" applyAlignment="1" applyProtection="1">
      <alignment horizontal="center" vertical="center" wrapText="1"/>
    </xf>
    <xf numFmtId="0" fontId="19" fillId="23" borderId="0" xfId="0" applyNumberFormat="1" applyFont="1" applyFill="1" applyBorder="1" applyAlignment="1" applyProtection="1">
      <alignment horizontal="center" vertical="center" wrapText="1"/>
    </xf>
    <xf numFmtId="0" fontId="19" fillId="14" borderId="0" xfId="0" applyNumberFormat="1" applyFont="1" applyFill="1" applyBorder="1" applyAlignment="1" applyProtection="1">
      <alignment horizontal="center" vertical="center" wrapText="1"/>
    </xf>
    <xf numFmtId="0" fontId="19" fillId="23" borderId="0" xfId="0" applyNumberFormat="1" applyFont="1" applyFill="1" applyBorder="1" applyAlignment="1" applyProtection="1">
      <alignment horizontal="center" vertical="center" wrapText="1"/>
    </xf>
    <xf numFmtId="0" fontId="19" fillId="15" borderId="0" xfId="0" applyNumberFormat="1" applyFont="1" applyFill="1" applyBorder="1" applyAlignment="1" applyProtection="1">
      <alignment horizontal="center" vertical="center" wrapText="1"/>
    </xf>
    <xf numFmtId="0" fontId="19" fillId="11" borderId="0" xfId="0" applyNumberFormat="1" applyFont="1" applyFill="1" applyBorder="1" applyAlignment="1" applyProtection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48"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50</xdr:row>
      <xdr:rowOff>203200</xdr:rowOff>
    </xdr:from>
    <xdr:to>
      <xdr:col>5</xdr:col>
      <xdr:colOff>714375</xdr:colOff>
      <xdr:row>50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135001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50</xdr:row>
      <xdr:rowOff>266700</xdr:rowOff>
    </xdr:from>
    <xdr:to>
      <xdr:col>14</xdr:col>
      <xdr:colOff>38100</xdr:colOff>
      <xdr:row>50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13563600"/>
          <a:ext cx="36322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50</xdr:row>
      <xdr:rowOff>355600</xdr:rowOff>
    </xdr:from>
    <xdr:to>
      <xdr:col>7</xdr:col>
      <xdr:colOff>142864</xdr:colOff>
      <xdr:row>50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13652500"/>
          <a:ext cx="187314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plein écran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31" totalsRowShown="0">
  <autoFilter ref="A1:E31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7">
      <calculatedColumnFormula>LstEffectif[[#This Row],[prenom]] &amp; " " &amp;LstEffectif[[#This Row],[nom]]</calculatedColumnFormula>
    </tableColumn>
    <tableColumn id="5" xr3:uid="{EB017694-E6D2-7440-91BF-61113926AB7D}" name="NOM Prénom" dataDxfId="36">
      <calculatedColumnFormula>LstEffectif[[#This Row],[nom]]&amp; " " &amp;LstEffectif[[#This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0" totalsRowShown="0" headerRowDxfId="35" dataDxfId="33" headerRowBorderDxfId="34" tableBorderDxfId="32" totalsRowBorderDxfId="31">
  <autoFilter ref="Q1:R50" xr:uid="{6D1F5F0A-5FD5-AC4E-A195-33A78A5E0E58}"/>
  <tableColumns count="2">
    <tableColumn id="1" xr3:uid="{8A0D5429-5616-B849-BD27-167A576FE99E}" name="Nom de cellule à créer" dataDxfId="30"/>
    <tableColumn id="2" xr3:uid="{19545507-672A-9F40-8818-E4C9060AA52B}" name="Libellé" dataDxfId="2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8" headerRowBorderDxfId="27" tableBorderDxfId="26" totalsRowBorderDxfId="2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4" headerRowBorderDxfId="23" tableBorderDxfId="22" totalsRowBorderDxfId="2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0" dataDxfId="19">
  <autoFilter ref="I14:I20" xr:uid="{CC940AF9-E81A-F746-8EAD-392809C3CFBE}"/>
  <tableColumns count="1">
    <tableColumn id="1" xr3:uid="{816CA1DF-3681-2948-A622-26353E2B9A97}" name="LISTE_LECTEUR_VIDEO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10" totalsRowShown="0">
  <autoFilter ref="A1:A10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7" dataDxfId="16">
  <autoFilter ref="C1:C4" xr:uid="{61FC7709-08E5-D048-A38B-441B18CF5D35}"/>
  <tableColumns count="1">
    <tableColumn id="1" xr3:uid="{C41B523D-40DA-AF48-A2C2-015B04960B0A}" name="LIEU_MATCH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14" dataDxfId="13">
  <autoFilter ref="C6:C9" xr:uid="{86EA01CF-5567-6445-9906-AD2B60CA0A8A}"/>
  <tableColumns count="1">
    <tableColumn id="1" xr3:uid="{B57F8324-6F25-7B40-9B20-1BFDF9708631}" name="PHASE" dataDxfId="1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11" dataDxfId="10">
  <autoFilter ref="C11:C14" xr:uid="{DAA9B017-78F0-D447-B788-CF8333AEAC38}"/>
  <tableColumns count="1">
    <tableColumn id="1" xr3:uid="{C5E86C3D-762A-054E-B864-5A67DBB9A8CA}" name="RESULTAT" dataDxf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8" dataDxfId="7">
  <autoFilter ref="C16:C20" xr:uid="{F661D9E2-619C-DA44-92C5-8A09E8E281AC}"/>
  <tableColumns count="1">
    <tableColumn id="1" xr3:uid="{ADD3AF05-089E-D149-9728-7C2A6F62FA22}" name="EQUIPE_NIV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5" dataDxfId="3" headerRowBorderDxfId="4" tableBorderDxfId="2" totalsRowBorderDxfId="1">
  <autoFilter ref="K1:K3" xr:uid="{391966D0-8F83-3948-82BB-835638F7D3FE}"/>
  <tableColumns count="1">
    <tableColumn id="1" xr3:uid="{F45BF991-6668-F741-B07C-7905B99AC752}" name="LISTE_JOUEURS_JOURN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/>
  </sheetViews>
  <sheetFormatPr baseColWidth="10" defaultRowHeight="13"/>
  <cols>
    <col min="1" max="1" width="8.33203125" style="98" bestFit="1" customWidth="1"/>
    <col min="2" max="2" width="17.83203125" customWidth="1"/>
    <col min="3" max="3" width="24.83203125" customWidth="1"/>
    <col min="4" max="4" width="14.1640625" style="9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5"/>
  </cols>
  <sheetData>
    <row r="1" spans="1:8" s="25" customFormat="1" ht="14" thickBot="1">
      <c r="A1" s="98"/>
      <c r="D1" s="98"/>
    </row>
    <row r="2" spans="1:8" ht="19" customHeight="1">
      <c r="B2" s="169" t="s">
        <v>302</v>
      </c>
      <c r="C2" s="169"/>
      <c r="E2" s="170" t="s">
        <v>303</v>
      </c>
      <c r="F2" s="171"/>
      <c r="G2" s="171"/>
      <c r="H2" s="172"/>
    </row>
    <row r="3" spans="1:8" ht="19" customHeight="1">
      <c r="B3" s="169"/>
      <c r="C3" s="169"/>
      <c r="E3" s="173"/>
      <c r="F3" s="174"/>
      <c r="G3" s="174"/>
      <c r="H3" s="175"/>
    </row>
    <row r="4" spans="1:8" ht="19" customHeight="1" thickBot="1">
      <c r="B4" s="169"/>
      <c r="C4" s="169"/>
      <c r="E4" s="176"/>
      <c r="F4" s="177"/>
      <c r="G4" s="177"/>
      <c r="H4" s="178"/>
    </row>
    <row r="5" spans="1:8" s="25" customFormat="1">
      <c r="A5" s="98"/>
      <c r="D5" s="98"/>
    </row>
    <row r="6" spans="1:8">
      <c r="B6" s="77" t="s">
        <v>273</v>
      </c>
      <c r="C6" s="78" t="s">
        <v>357</v>
      </c>
      <c r="E6" t="s">
        <v>136</v>
      </c>
      <c r="F6" t="s">
        <v>137</v>
      </c>
      <c r="G6" t="s">
        <v>241</v>
      </c>
      <c r="H6" t="s">
        <v>240</v>
      </c>
    </row>
    <row r="7" spans="1:8">
      <c r="B7" s="25"/>
      <c r="C7" s="25"/>
      <c r="E7">
        <v>1</v>
      </c>
      <c r="G7" t="s">
        <v>243</v>
      </c>
    </row>
    <row r="8" spans="1:8">
      <c r="B8" s="77" t="s">
        <v>311</v>
      </c>
      <c r="C8" s="78">
        <v>46167</v>
      </c>
      <c r="E8">
        <v>2</v>
      </c>
      <c r="G8" t="s">
        <v>243</v>
      </c>
    </row>
    <row r="9" spans="1:8">
      <c r="B9" s="25"/>
      <c r="C9" s="25"/>
      <c r="E9">
        <v>3</v>
      </c>
      <c r="G9" t="s">
        <v>243</v>
      </c>
    </row>
    <row r="10" spans="1:8">
      <c r="B10" s="77" t="s">
        <v>274</v>
      </c>
      <c r="C10" s="78" t="s">
        <v>358</v>
      </c>
      <c r="E10">
        <v>4</v>
      </c>
      <c r="G10" t="s">
        <v>243</v>
      </c>
    </row>
    <row r="11" spans="1:8">
      <c r="B11" s="25"/>
      <c r="C11" s="25"/>
      <c r="E11">
        <v>5</v>
      </c>
      <c r="G11" t="s">
        <v>243</v>
      </c>
    </row>
    <row r="12" spans="1:8">
      <c r="B12" s="77" t="s">
        <v>310</v>
      </c>
      <c r="C12" s="78" t="s">
        <v>289</v>
      </c>
      <c r="E12">
        <v>6</v>
      </c>
      <c r="G12" t="s">
        <v>243</v>
      </c>
    </row>
    <row r="13" spans="1:8">
      <c r="B13" s="25"/>
      <c r="C13" s="25"/>
      <c r="E13">
        <v>7</v>
      </c>
      <c r="G13" t="s">
        <v>243</v>
      </c>
    </row>
    <row r="14" spans="1:8">
      <c r="B14" s="77" t="s">
        <v>275</v>
      </c>
      <c r="C14" s="78" t="s">
        <v>292</v>
      </c>
      <c r="E14">
        <v>8</v>
      </c>
      <c r="G14" t="s">
        <v>243</v>
      </c>
    </row>
    <row r="15" spans="1:8">
      <c r="B15" s="25"/>
      <c r="C15" s="99"/>
      <c r="E15" s="70">
        <v>9</v>
      </c>
      <c r="F15" s="70"/>
      <c r="G15" s="70" t="s">
        <v>261</v>
      </c>
      <c r="H15" s="70"/>
    </row>
    <row r="16" spans="1:8">
      <c r="B16" s="77" t="s">
        <v>276</v>
      </c>
      <c r="C16" s="79" t="s">
        <v>359</v>
      </c>
      <c r="E16">
        <v>10</v>
      </c>
      <c r="G16" t="s">
        <v>261</v>
      </c>
    </row>
    <row r="17" spans="1:8">
      <c r="B17" s="25"/>
      <c r="C17" s="25"/>
      <c r="E17">
        <v>11</v>
      </c>
      <c r="G17" t="s">
        <v>261</v>
      </c>
    </row>
    <row r="18" spans="1:8">
      <c r="B18" s="77" t="s">
        <v>277</v>
      </c>
      <c r="C18" s="78" t="s">
        <v>272</v>
      </c>
      <c r="E18">
        <v>12</v>
      </c>
      <c r="G18" t="s">
        <v>261</v>
      </c>
    </row>
    <row r="19" spans="1:8">
      <c r="B19" s="25"/>
      <c r="C19" s="99"/>
      <c r="E19">
        <v>13</v>
      </c>
      <c r="G19" t="s">
        <v>261</v>
      </c>
    </row>
    <row r="20" spans="1:8">
      <c r="B20" s="77" t="s">
        <v>309</v>
      </c>
      <c r="C20" s="78" t="s">
        <v>305</v>
      </c>
      <c r="E20">
        <v>14</v>
      </c>
      <c r="G20" t="s">
        <v>261</v>
      </c>
    </row>
    <row r="21" spans="1:8">
      <c r="B21" s="25"/>
      <c r="C21" s="25"/>
      <c r="E21" s="65">
        <v>15</v>
      </c>
      <c r="F21" s="65"/>
      <c r="G21" s="65" t="s">
        <v>261</v>
      </c>
      <c r="H21" s="65"/>
    </row>
    <row r="22" spans="1:8">
      <c r="B22" s="25"/>
      <c r="C22" s="25"/>
      <c r="E22">
        <v>16</v>
      </c>
      <c r="G22" t="s">
        <v>243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8"/>
      <c r="D29" s="98"/>
    </row>
    <row r="30" spans="1:8" s="25" customFormat="1">
      <c r="A30" s="98"/>
      <c r="D30" s="98"/>
    </row>
    <row r="31" spans="1:8" s="25" customFormat="1">
      <c r="A31" s="98"/>
      <c r="D31" s="98"/>
    </row>
    <row r="32" spans="1:8" s="25" customFormat="1">
      <c r="A32" s="98"/>
      <c r="D32" s="98"/>
    </row>
    <row r="33" spans="1:4" s="25" customFormat="1">
      <c r="A33" s="98"/>
      <c r="D33" s="98"/>
    </row>
    <row r="34" spans="1:4" s="25" customFormat="1">
      <c r="A34" s="98"/>
      <c r="D34" s="98"/>
    </row>
    <row r="35" spans="1:4" s="25" customFormat="1">
      <c r="A35" s="98"/>
      <c r="D35" s="98"/>
    </row>
    <row r="36" spans="1:4" s="25" customFormat="1">
      <c r="A36" s="98"/>
      <c r="D36" s="98"/>
    </row>
    <row r="37" spans="1:4" s="25" customFormat="1">
      <c r="A37" s="98"/>
      <c r="D37" s="98"/>
    </row>
    <row r="38" spans="1:4" s="25" customFormat="1">
      <c r="A38" s="98"/>
      <c r="D38" s="98"/>
    </row>
    <row r="39" spans="1:4" s="25" customFormat="1">
      <c r="A39" s="98"/>
      <c r="D39" s="98"/>
    </row>
    <row r="40" spans="1:4" s="25" customFormat="1">
      <c r="A40" s="98"/>
      <c r="D40" s="98"/>
    </row>
    <row r="41" spans="1:4" s="25" customFormat="1">
      <c r="A41" s="98"/>
      <c r="D41" s="98"/>
    </row>
    <row r="42" spans="1:4" s="25" customFormat="1">
      <c r="A42" s="98"/>
      <c r="D42" s="98"/>
    </row>
    <row r="43" spans="1:4" s="25" customFormat="1">
      <c r="A43" s="98"/>
      <c r="D43" s="98"/>
    </row>
    <row r="44" spans="1:4" s="25" customFormat="1">
      <c r="A44" s="98"/>
      <c r="D44" s="98"/>
    </row>
    <row r="45" spans="1:4" s="25" customFormat="1">
      <c r="A45" s="98"/>
      <c r="D45" s="98"/>
    </row>
    <row r="46" spans="1:4" s="25" customFormat="1">
      <c r="A46" s="98"/>
      <c r="D46" s="98"/>
    </row>
    <row r="47" spans="1:4" s="25" customFormat="1">
      <c r="A47" s="98"/>
      <c r="D47" s="98"/>
    </row>
    <row r="48" spans="1:4" s="25" customFormat="1">
      <c r="A48" s="98"/>
      <c r="D48" s="98"/>
    </row>
    <row r="49" spans="1:4" s="25" customFormat="1">
      <c r="A49" s="98"/>
      <c r="D49" s="98"/>
    </row>
    <row r="50" spans="1:4" s="25" customFormat="1">
      <c r="A50" s="98"/>
      <c r="D50" s="98"/>
    </row>
    <row r="51" spans="1:4" s="25" customFormat="1">
      <c r="A51" s="98"/>
      <c r="D51" s="98"/>
    </row>
    <row r="52" spans="1:4" s="25" customFormat="1">
      <c r="A52" s="98"/>
      <c r="D52" s="98"/>
    </row>
    <row r="53" spans="1:4" s="25" customFormat="1">
      <c r="A53" s="98"/>
      <c r="D53" s="98"/>
    </row>
    <row r="54" spans="1:4" s="25" customFormat="1">
      <c r="A54" s="98"/>
      <c r="D54" s="98"/>
    </row>
    <row r="55" spans="1:4" s="25" customFormat="1">
      <c r="A55" s="98"/>
      <c r="D55" s="98"/>
    </row>
    <row r="56" spans="1:4" s="25" customFormat="1">
      <c r="A56" s="98"/>
      <c r="D56" s="98"/>
    </row>
    <row r="57" spans="1:4" s="25" customFormat="1">
      <c r="A57" s="98"/>
      <c r="D57" s="98"/>
    </row>
    <row r="58" spans="1:4" s="25" customFormat="1">
      <c r="A58" s="98"/>
      <c r="D58" s="98"/>
    </row>
    <row r="59" spans="1:4" s="25" customFormat="1" hidden="1">
      <c r="A59" s="98"/>
      <c r="B59" s="25" t="s">
        <v>278</v>
      </c>
      <c r="C59" s="25" t="s">
        <v>323</v>
      </c>
      <c r="D59" s="98"/>
    </row>
    <row r="60" spans="1:4" s="25" customFormat="1">
      <c r="A60" s="98"/>
      <c r="D60" s="98"/>
    </row>
    <row r="61" spans="1:4" s="25" customFormat="1">
      <c r="A61" s="98"/>
      <c r="D61" s="98"/>
    </row>
    <row r="62" spans="1:4" s="25" customFormat="1">
      <c r="A62" s="98"/>
      <c r="D62" s="98"/>
    </row>
    <row r="63" spans="1:4" s="25" customFormat="1">
      <c r="A63" s="98"/>
      <c r="D63" s="98"/>
    </row>
    <row r="64" spans="1:4" s="25" customFormat="1">
      <c r="A64" s="98"/>
      <c r="D64" s="98"/>
    </row>
    <row r="65" spans="1:4" s="25" customFormat="1">
      <c r="A65" s="98"/>
      <c r="D65" s="98"/>
    </row>
    <row r="66" spans="1:4" s="25" customFormat="1">
      <c r="A66" s="98"/>
      <c r="D66" s="98"/>
    </row>
    <row r="67" spans="1:4" s="25" customFormat="1">
      <c r="A67" s="98"/>
      <c r="D67" s="98"/>
    </row>
    <row r="68" spans="1:4" s="25" customFormat="1">
      <c r="A68" s="98"/>
      <c r="D68" s="98"/>
    </row>
    <row r="69" spans="1:4" s="25" customFormat="1">
      <c r="A69" s="98"/>
      <c r="D69" s="98"/>
    </row>
    <row r="70" spans="1:4" s="25" customFormat="1">
      <c r="A70" s="98"/>
      <c r="D70" s="98"/>
    </row>
    <row r="71" spans="1:4" s="25" customFormat="1">
      <c r="A71" s="98"/>
      <c r="D71" s="98"/>
    </row>
    <row r="72" spans="1:4" s="25" customFormat="1">
      <c r="A72" s="98"/>
      <c r="D72" s="98"/>
    </row>
    <row r="73" spans="1:4" s="25" customFormat="1">
      <c r="A73" s="98"/>
      <c r="D73" s="98"/>
    </row>
    <row r="74" spans="1:4" s="25" customFormat="1">
      <c r="A74" s="98"/>
      <c r="D74" s="98"/>
    </row>
    <row r="75" spans="1:4" s="25" customFormat="1">
      <c r="A75" s="98"/>
      <c r="D75" s="98"/>
    </row>
    <row r="76" spans="1:4" s="25" customFormat="1">
      <c r="A76" s="98"/>
      <c r="D76" s="98"/>
    </row>
    <row r="77" spans="1:4" s="25" customFormat="1">
      <c r="A77" s="98"/>
      <c r="D77" s="98"/>
    </row>
    <row r="78" spans="1:4" s="25" customFormat="1">
      <c r="A78" s="98"/>
      <c r="D78" s="98"/>
    </row>
    <row r="79" spans="1:4" s="25" customFormat="1">
      <c r="A79" s="98"/>
      <c r="D79" s="98"/>
    </row>
    <row r="80" spans="1:4" s="25" customFormat="1">
      <c r="A80" s="98"/>
      <c r="D80" s="98"/>
    </row>
    <row r="81" spans="1:4" s="25" customFormat="1">
      <c r="A81" s="98"/>
      <c r="D81" s="98"/>
    </row>
    <row r="82" spans="1:4" s="25" customFormat="1">
      <c r="A82" s="98"/>
      <c r="D82" s="98"/>
    </row>
    <row r="83" spans="1:4" s="25" customFormat="1">
      <c r="A83" s="98"/>
      <c r="D83" s="98"/>
    </row>
    <row r="84" spans="1:4" s="25" customFormat="1">
      <c r="A84" s="98"/>
      <c r="D84" s="98"/>
    </row>
    <row r="85" spans="1:4" s="25" customFormat="1">
      <c r="A85" s="98"/>
      <c r="D85" s="98"/>
    </row>
    <row r="86" spans="1:4" s="25" customFormat="1">
      <c r="A86" s="98"/>
      <c r="D86" s="98"/>
    </row>
    <row r="87" spans="1:4" s="25" customFormat="1">
      <c r="A87" s="98"/>
      <c r="D87" s="98"/>
    </row>
    <row r="88" spans="1:4" s="25" customFormat="1">
      <c r="A88" s="98"/>
      <c r="D88" s="98"/>
    </row>
    <row r="89" spans="1:4" s="25" customFormat="1">
      <c r="A89" s="98"/>
      <c r="D89" s="98"/>
    </row>
    <row r="90" spans="1:4" s="25" customFormat="1">
      <c r="A90" s="98"/>
      <c r="D90" s="98"/>
    </row>
    <row r="91" spans="1:4" s="25" customFormat="1">
      <c r="A91" s="98"/>
      <c r="D91" s="98"/>
    </row>
    <row r="92" spans="1:4" s="25" customFormat="1">
      <c r="A92" s="98"/>
      <c r="D92" s="98"/>
    </row>
    <row r="93" spans="1:4" s="25" customFormat="1">
      <c r="A93" s="98"/>
      <c r="D93" s="98"/>
    </row>
    <row r="94" spans="1:4" s="25" customFormat="1">
      <c r="A94" s="98"/>
      <c r="D94" s="98"/>
    </row>
    <row r="95" spans="1:4" s="25" customFormat="1">
      <c r="A95" s="98"/>
      <c r="D95" s="98"/>
    </row>
    <row r="96" spans="1:4" s="25" customFormat="1">
      <c r="A96" s="98"/>
      <c r="D96" s="98"/>
    </row>
    <row r="97" spans="1:4" s="25" customFormat="1">
      <c r="A97" s="98"/>
      <c r="D97" s="98"/>
    </row>
    <row r="98" spans="1:4" s="25" customFormat="1">
      <c r="A98" s="98"/>
      <c r="D98" s="98"/>
    </row>
    <row r="99" spans="1:4" s="25" customFormat="1">
      <c r="A99" s="98"/>
      <c r="D99" s="98"/>
    </row>
    <row r="100" spans="1:4" s="25" customFormat="1">
      <c r="A100" s="98"/>
      <c r="D100" s="98"/>
    </row>
    <row r="101" spans="1:4" s="25" customFormat="1">
      <c r="A101" s="98"/>
      <c r="D101" s="98"/>
    </row>
    <row r="102" spans="1:4" s="25" customFormat="1">
      <c r="A102" s="98"/>
      <c r="D102" s="98"/>
    </row>
    <row r="103" spans="1:4" s="25" customFormat="1">
      <c r="A103" s="98"/>
      <c r="D103" s="98"/>
    </row>
    <row r="104" spans="1:4" s="25" customFormat="1">
      <c r="A104" s="98"/>
      <c r="D104" s="98"/>
    </row>
    <row r="105" spans="1:4" s="25" customFormat="1">
      <c r="A105" s="98"/>
      <c r="D105" s="98"/>
    </row>
    <row r="106" spans="1:4" s="25" customFormat="1">
      <c r="A106" s="98"/>
      <c r="D106" s="98"/>
    </row>
    <row r="107" spans="1:4" s="25" customFormat="1">
      <c r="A107" s="98"/>
      <c r="D107" s="98"/>
    </row>
    <row r="108" spans="1:4" s="25" customFormat="1">
      <c r="A108" s="98"/>
      <c r="D108" s="98"/>
    </row>
    <row r="109" spans="1:4" s="25" customFormat="1">
      <c r="A109" s="98"/>
      <c r="D109" s="98"/>
    </row>
    <row r="110" spans="1:4" s="25" customFormat="1">
      <c r="A110" s="98"/>
      <c r="D110" s="98"/>
    </row>
    <row r="111" spans="1:4" s="25" customFormat="1">
      <c r="A111" s="98"/>
      <c r="D111" s="98"/>
    </row>
    <row r="112" spans="1:4" s="25" customFormat="1">
      <c r="A112" s="98"/>
      <c r="D112" s="98"/>
    </row>
    <row r="113" spans="1:4" s="25" customFormat="1">
      <c r="A113" s="98"/>
      <c r="D113" s="98"/>
    </row>
    <row r="114" spans="1:4" s="25" customFormat="1">
      <c r="A114" s="98"/>
      <c r="D114" s="98"/>
    </row>
    <row r="115" spans="1:4" s="25" customFormat="1">
      <c r="A115" s="98"/>
      <c r="D115" s="98"/>
    </row>
    <row r="116" spans="1:4" s="25" customFormat="1">
      <c r="A116" s="98"/>
      <c r="D116" s="98"/>
    </row>
    <row r="117" spans="1:4" s="25" customFormat="1">
      <c r="A117" s="98"/>
      <c r="D117" s="98"/>
    </row>
    <row r="118" spans="1:4" s="25" customFormat="1">
      <c r="A118" s="98"/>
      <c r="D118" s="98"/>
    </row>
    <row r="119" spans="1:4" s="25" customFormat="1">
      <c r="A119" s="98"/>
      <c r="D119" s="98"/>
    </row>
    <row r="120" spans="1:4" s="25" customFormat="1">
      <c r="A120" s="98"/>
      <c r="D120" s="98"/>
    </row>
    <row r="121" spans="1:4" s="25" customFormat="1">
      <c r="A121" s="98"/>
      <c r="D121" s="98"/>
    </row>
    <row r="122" spans="1:4" s="25" customFormat="1">
      <c r="A122" s="98"/>
      <c r="D122" s="98"/>
    </row>
    <row r="123" spans="1:4" s="25" customFormat="1">
      <c r="A123" s="98"/>
      <c r="D123" s="98"/>
    </row>
    <row r="124" spans="1:4" s="25" customFormat="1">
      <c r="A124" s="98"/>
      <c r="D124" s="98"/>
    </row>
    <row r="125" spans="1:4" s="25" customFormat="1">
      <c r="A125" s="98"/>
      <c r="D125" s="98"/>
    </row>
    <row r="126" spans="1:4" s="25" customFormat="1">
      <c r="A126" s="98"/>
      <c r="D126" s="98"/>
    </row>
    <row r="127" spans="1:4" s="25" customFormat="1">
      <c r="A127" s="98"/>
      <c r="D127" s="98"/>
    </row>
    <row r="128" spans="1:4" s="25" customFormat="1">
      <c r="A128" s="98"/>
      <c r="D128" s="98"/>
    </row>
    <row r="129" spans="1:4" s="25" customFormat="1">
      <c r="A129" s="98"/>
      <c r="D129" s="98"/>
    </row>
    <row r="130" spans="1:4" s="25" customFormat="1">
      <c r="A130" s="98"/>
      <c r="D130" s="98"/>
    </row>
    <row r="131" spans="1:4" s="25" customFormat="1">
      <c r="A131" s="98"/>
      <c r="D131" s="98"/>
    </row>
    <row r="132" spans="1:4" s="25" customFormat="1">
      <c r="A132" s="98"/>
      <c r="D132" s="98"/>
    </row>
    <row r="133" spans="1:4" s="25" customFormat="1">
      <c r="A133" s="98"/>
      <c r="D133" s="98"/>
    </row>
    <row r="134" spans="1:4" s="25" customFormat="1">
      <c r="A134" s="98"/>
      <c r="D134" s="98"/>
    </row>
    <row r="135" spans="1:4" s="25" customFormat="1">
      <c r="A135" s="98"/>
      <c r="D135" s="98"/>
    </row>
    <row r="136" spans="1:4" s="25" customFormat="1">
      <c r="A136" s="98"/>
      <c r="D136" s="98"/>
    </row>
    <row r="137" spans="1:4" s="25" customFormat="1">
      <c r="A137" s="98"/>
      <c r="D137" s="98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="112" zoomScaleNormal="112" workbookViewId="0">
      <selection activeCell="R4" sqref="R4"/>
    </sheetView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/>
    <col min="29" max="29" width="1.83203125" style="25" customWidth="1"/>
    <col min="30" max="30" width="10.83203125" style="25"/>
    <col min="31" max="31" width="1.83203125" style="25" customWidth="1"/>
    <col min="32" max="32" width="10.83203125" style="25"/>
    <col min="33" max="33" width="1.83203125" style="25" customWidth="1"/>
    <col min="34" max="34" width="10.83203125" style="25"/>
    <col min="35" max="35" width="1.83203125" style="25" customWidth="1"/>
    <col min="36" max="695" width="10.83203125" style="25"/>
  </cols>
  <sheetData>
    <row r="1" spans="1:52" ht="39" customHeight="1">
      <c r="A1" s="25" t="s">
        <v>135</v>
      </c>
      <c r="C1" s="166" t="str">
        <f>"Match "&amp;IF('Compo'!C14="Aller","A",IF('Compo'!C14="Retour","R","PF"))&amp;'Compo'!C16&amp;IF('Compo'!C12="Extérieur"," : "&amp;'Compo'!C10&amp;" / MXV"," : MXV / "&amp;'Compo'!C10)</f>
        <v>Match PF8eme : MXV / Rabastens-Coufouleux</v>
      </c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25"/>
      <c r="AZ1"/>
    </row>
    <row r="2" spans="1:52" ht="10" customHeight="1" thickBot="1">
      <c r="A2" s="25"/>
      <c r="B2" s="25"/>
      <c r="C2" s="56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56"/>
      <c r="P2" s="25"/>
    </row>
    <row r="3" spans="1:52" ht="10" customHeight="1" thickTop="1">
      <c r="A3" s="25"/>
      <c r="B3" s="25"/>
      <c r="C3" s="57"/>
      <c r="D3" s="132"/>
      <c r="E3" s="132"/>
      <c r="F3" s="131"/>
      <c r="G3" s="133"/>
      <c r="H3" s="131"/>
      <c r="I3" s="133"/>
      <c r="J3" s="133"/>
      <c r="K3" s="133"/>
      <c r="L3" s="131"/>
      <c r="M3" s="133"/>
      <c r="N3" s="131"/>
      <c r="O3" s="144"/>
      <c r="P3" s="156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  <c r="AF3" s="240"/>
      <c r="AG3" s="240"/>
      <c r="AH3" s="240"/>
      <c r="AI3" s="256"/>
    </row>
    <row r="4" spans="1:52" ht="42" customHeight="1">
      <c r="A4" s="25"/>
      <c r="B4" s="25"/>
      <c r="C4" s="134"/>
      <c r="D4" s="167" t="s">
        <v>214</v>
      </c>
      <c r="E4" s="168"/>
      <c r="F4" s="35" t="s">
        <v>89</v>
      </c>
      <c r="G4" s="135"/>
      <c r="H4" s="35" t="s">
        <v>124</v>
      </c>
      <c r="I4" s="136"/>
      <c r="J4" s="137"/>
      <c r="K4" s="138"/>
      <c r="L4" s="28" t="s">
        <v>111</v>
      </c>
      <c r="M4" s="139"/>
      <c r="N4" s="28" t="s">
        <v>112</v>
      </c>
      <c r="O4" s="157"/>
      <c r="P4" s="156"/>
      <c r="Q4" s="240"/>
      <c r="R4" s="240"/>
      <c r="S4" s="240"/>
      <c r="T4" s="240"/>
      <c r="U4" s="240"/>
      <c r="V4" s="240"/>
      <c r="W4" s="240"/>
      <c r="X4" s="240"/>
      <c r="Y4" s="240"/>
      <c r="Z4" s="240"/>
      <c r="AA4" s="240"/>
      <c r="AB4" s="240"/>
      <c r="AC4" s="240"/>
      <c r="AD4" s="240"/>
      <c r="AE4" s="240"/>
      <c r="AF4" s="240"/>
      <c r="AG4" s="240"/>
      <c r="AH4" s="240"/>
      <c r="AI4" s="256"/>
    </row>
    <row r="5" spans="1:52" ht="10" customHeight="1" thickBot="1">
      <c r="A5" s="25"/>
      <c r="B5" s="25"/>
      <c r="C5" s="134"/>
      <c r="D5" s="140"/>
      <c r="E5" s="140"/>
      <c r="F5" s="141"/>
      <c r="G5" s="142"/>
      <c r="H5" s="141"/>
      <c r="I5" s="142"/>
      <c r="J5" s="142"/>
      <c r="K5" s="142"/>
      <c r="L5" s="141"/>
      <c r="M5" s="142"/>
      <c r="N5" s="143"/>
      <c r="O5" s="56"/>
      <c r="P5" s="156"/>
      <c r="Q5" s="240"/>
      <c r="R5" s="240"/>
      <c r="S5" s="240"/>
      <c r="T5" s="240"/>
      <c r="U5" s="240"/>
      <c r="V5" s="240"/>
      <c r="W5" s="240"/>
      <c r="X5" s="240"/>
      <c r="Y5" s="240"/>
      <c r="Z5" s="240"/>
      <c r="AA5" s="240"/>
      <c r="AB5" s="240"/>
      <c r="AC5" s="240"/>
      <c r="AD5" s="240"/>
      <c r="AE5" s="240"/>
      <c r="AF5" s="240"/>
      <c r="AG5" s="240"/>
      <c r="AH5" s="240"/>
      <c r="AI5" s="256"/>
    </row>
    <row r="6" spans="1:52" ht="10" customHeight="1" thickTop="1" thickBot="1">
      <c r="A6" s="25"/>
      <c r="B6" s="25"/>
      <c r="C6" s="144"/>
      <c r="D6" s="132"/>
      <c r="E6" s="132"/>
      <c r="F6" s="133"/>
      <c r="G6" s="133"/>
      <c r="H6" s="133"/>
      <c r="I6" s="133"/>
      <c r="J6" s="133"/>
      <c r="K6" s="133"/>
      <c r="L6" s="133"/>
      <c r="M6" s="133"/>
      <c r="N6" s="133"/>
      <c r="O6" s="144"/>
      <c r="P6" s="158"/>
      <c r="Q6" s="240"/>
      <c r="R6" s="240"/>
      <c r="S6" s="240"/>
      <c r="T6" s="240"/>
      <c r="U6" s="240"/>
      <c r="V6" s="240"/>
      <c r="W6" s="240"/>
      <c r="X6" s="240"/>
      <c r="Y6" s="240"/>
      <c r="Z6" s="240"/>
      <c r="AA6" s="240"/>
      <c r="AB6" s="240"/>
      <c r="AC6" s="240"/>
      <c r="AD6" s="240"/>
      <c r="AE6" s="240"/>
      <c r="AF6" s="240"/>
      <c r="AG6" s="240"/>
      <c r="AH6" s="240"/>
      <c r="AI6" s="256"/>
    </row>
    <row r="7" spans="1:52" ht="10" customHeight="1" thickTop="1">
      <c r="A7" s="25"/>
      <c r="B7" s="25"/>
      <c r="C7" s="58"/>
      <c r="D7" s="146"/>
      <c r="E7" s="147"/>
      <c r="F7" s="145"/>
      <c r="G7" s="147"/>
      <c r="H7" s="145"/>
      <c r="I7" s="147"/>
      <c r="J7" s="145"/>
      <c r="K7" s="147"/>
      <c r="L7" s="145"/>
      <c r="M7" s="147"/>
      <c r="N7" s="147"/>
      <c r="O7" s="147"/>
      <c r="P7" s="156"/>
      <c r="Q7" s="240"/>
      <c r="R7" s="240"/>
      <c r="S7" s="240"/>
      <c r="T7" s="240"/>
      <c r="U7" s="240"/>
      <c r="V7" s="240"/>
      <c r="W7" s="240"/>
      <c r="X7" s="240"/>
      <c r="Y7" s="240"/>
      <c r="Z7" s="240"/>
      <c r="AA7" s="240"/>
      <c r="AB7" s="240"/>
      <c r="AC7" s="240"/>
      <c r="AD7" s="240"/>
      <c r="AE7" s="240"/>
      <c r="AF7" s="240"/>
      <c r="AG7" s="240"/>
      <c r="AH7" s="240"/>
      <c r="AI7" s="256"/>
    </row>
    <row r="8" spans="1:52" ht="26" customHeight="1">
      <c r="A8" s="25"/>
      <c r="B8" s="25"/>
      <c r="C8" s="148"/>
      <c r="D8" s="149" t="s">
        <v>366</v>
      </c>
      <c r="E8" s="150"/>
      <c r="F8" s="33"/>
      <c r="G8" s="151"/>
      <c r="H8" s="128"/>
      <c r="I8" s="151"/>
      <c r="J8" s="129"/>
      <c r="K8" s="151"/>
      <c r="L8" s="130"/>
      <c r="M8" s="136"/>
      <c r="N8" s="142"/>
      <c r="O8" s="155"/>
      <c r="P8" s="156"/>
      <c r="Q8" s="240"/>
      <c r="R8" s="240"/>
      <c r="S8" s="240"/>
      <c r="T8" s="240"/>
      <c r="U8" s="240"/>
      <c r="V8" s="240"/>
      <c r="W8" s="240"/>
      <c r="X8" s="240"/>
      <c r="Y8" s="240"/>
      <c r="Z8" s="240"/>
      <c r="AA8" s="240"/>
      <c r="AB8" s="240"/>
      <c r="AC8" s="240"/>
      <c r="AD8" s="240"/>
      <c r="AE8" s="240"/>
      <c r="AF8" s="240"/>
      <c r="AG8" s="240"/>
      <c r="AH8" s="240"/>
      <c r="AI8" s="256"/>
    </row>
    <row r="9" spans="1:52" ht="10" customHeight="1" thickBot="1">
      <c r="A9" s="25"/>
      <c r="B9" s="25"/>
      <c r="C9" s="134"/>
      <c r="D9" s="152"/>
      <c r="E9" s="140"/>
      <c r="F9" s="141"/>
      <c r="G9" s="142"/>
      <c r="H9" s="141"/>
      <c r="I9" s="142"/>
      <c r="J9" s="141"/>
      <c r="K9" s="142"/>
      <c r="L9" s="141"/>
      <c r="M9" s="142"/>
      <c r="N9" s="153"/>
      <c r="O9" s="56"/>
      <c r="P9" s="156"/>
      <c r="Q9" s="240"/>
      <c r="R9" s="240"/>
      <c r="S9" s="240"/>
      <c r="T9" s="240"/>
      <c r="U9" s="240"/>
      <c r="V9" s="240"/>
      <c r="W9" s="240"/>
      <c r="X9" s="240"/>
      <c r="Y9" s="240"/>
      <c r="Z9" s="240"/>
      <c r="AA9" s="240"/>
      <c r="AB9" s="240"/>
      <c r="AC9" s="240"/>
      <c r="AD9" s="240"/>
      <c r="AE9" s="240"/>
      <c r="AF9" s="240"/>
      <c r="AG9" s="240"/>
      <c r="AH9" s="240"/>
      <c r="AI9" s="256"/>
    </row>
    <row r="10" spans="1:52" ht="10" customHeight="1" thickTop="1" thickBot="1">
      <c r="A10" s="25"/>
      <c r="B10" s="25"/>
      <c r="C10" s="147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4"/>
      <c r="O10" s="147"/>
      <c r="P10" s="158"/>
      <c r="Q10" s="240"/>
      <c r="R10" s="240"/>
      <c r="S10" s="240"/>
      <c r="T10" s="240"/>
      <c r="U10" s="240"/>
      <c r="V10" s="240"/>
      <c r="W10" s="240"/>
      <c r="X10" s="240"/>
      <c r="Y10" s="240"/>
      <c r="Z10" s="240"/>
      <c r="AA10" s="240"/>
      <c r="AB10" s="240"/>
      <c r="AC10" s="240"/>
      <c r="AD10" s="240"/>
      <c r="AE10" s="240"/>
      <c r="AF10" s="240"/>
      <c r="AG10" s="240"/>
      <c r="AH10" s="240"/>
      <c r="AI10" s="256"/>
    </row>
    <row r="11" spans="1:52" ht="10" customHeight="1" thickTop="1">
      <c r="A11" s="25"/>
      <c r="B11" s="25" t="s">
        <v>113</v>
      </c>
      <c r="C11" s="229"/>
      <c r="D11" s="232"/>
      <c r="E11" s="232"/>
      <c r="F11" s="232"/>
      <c r="G11" s="232"/>
      <c r="H11" s="232"/>
      <c r="I11" s="232"/>
      <c r="J11" s="232"/>
      <c r="K11" s="232"/>
      <c r="L11" s="232"/>
      <c r="M11" s="232"/>
      <c r="N11" s="231"/>
      <c r="O11" s="232"/>
      <c r="P11" s="156"/>
      <c r="Q11" s="240"/>
      <c r="R11" s="240"/>
      <c r="S11" s="240"/>
      <c r="T11" s="240"/>
      <c r="U11" s="240"/>
      <c r="V11" s="240"/>
      <c r="W11" s="240"/>
      <c r="X11" s="240"/>
      <c r="Y11" s="240"/>
      <c r="Z11" s="240"/>
      <c r="AA11" s="240"/>
      <c r="AB11" s="240"/>
      <c r="AC11" s="240"/>
      <c r="AD11" s="240"/>
      <c r="AE11" s="240"/>
      <c r="AF11" s="240"/>
      <c r="AG11" s="240"/>
      <c r="AH11" s="240"/>
      <c r="AI11" s="256"/>
    </row>
    <row r="12" spans="1:52" ht="15" customHeight="1">
      <c r="A12" s="25"/>
      <c r="B12" s="25"/>
      <c r="C12" s="235"/>
      <c r="D12" s="252" t="s">
        <v>69</v>
      </c>
      <c r="E12" s="252"/>
      <c r="F12" s="252"/>
      <c r="G12" s="252"/>
      <c r="H12" s="252"/>
      <c r="I12" s="252"/>
      <c r="J12" s="252"/>
      <c r="K12" s="252"/>
      <c r="L12" s="252"/>
      <c r="M12" s="253"/>
      <c r="N12" s="254"/>
      <c r="O12" s="240"/>
      <c r="P12" s="156"/>
      <c r="Q12" s="240"/>
      <c r="R12" s="240"/>
      <c r="S12" s="240"/>
      <c r="T12" s="240"/>
      <c r="U12" s="240"/>
      <c r="V12" s="240"/>
      <c r="W12" s="240"/>
      <c r="X12" s="240"/>
      <c r="Y12" s="240"/>
      <c r="Z12" s="240"/>
      <c r="AA12" s="240"/>
      <c r="AB12" s="240"/>
      <c r="AC12" s="240"/>
      <c r="AD12" s="240"/>
      <c r="AE12" s="240"/>
      <c r="AF12" s="240"/>
      <c r="AG12" s="240"/>
      <c r="AH12" s="240"/>
      <c r="AI12" s="256"/>
    </row>
    <row r="13" spans="1:52">
      <c r="A13" s="25"/>
      <c r="B13" s="25"/>
      <c r="C13" s="235"/>
      <c r="D13" s="236"/>
      <c r="E13" s="240"/>
      <c r="F13" s="236"/>
      <c r="G13" s="240"/>
      <c r="H13" s="236"/>
      <c r="I13" s="240"/>
      <c r="J13" s="236"/>
      <c r="K13" s="240"/>
      <c r="L13" s="236"/>
      <c r="M13" s="240"/>
      <c r="N13" s="236"/>
      <c r="O13" s="240"/>
      <c r="P13" s="156"/>
      <c r="Q13" s="240"/>
      <c r="R13" s="240"/>
      <c r="S13" s="240"/>
      <c r="T13" s="240"/>
      <c r="U13" s="240"/>
      <c r="V13" s="240"/>
      <c r="W13" s="240"/>
      <c r="X13" s="240"/>
      <c r="Y13" s="240"/>
      <c r="Z13" s="240"/>
      <c r="AA13" s="240"/>
      <c r="AB13" s="240"/>
      <c r="AC13" s="240"/>
      <c r="AD13" s="240"/>
      <c r="AE13" s="240"/>
      <c r="AF13" s="240"/>
      <c r="AG13" s="240"/>
      <c r="AH13" s="240"/>
      <c r="AI13" s="256"/>
    </row>
    <row r="14" spans="1:52" ht="42" customHeight="1">
      <c r="A14" s="25"/>
      <c r="B14" s="25"/>
      <c r="C14" s="242"/>
      <c r="D14" s="262" t="s">
        <v>389</v>
      </c>
      <c r="E14" s="244"/>
      <c r="F14" s="263" t="s">
        <v>72</v>
      </c>
      <c r="G14" s="244"/>
      <c r="H14" s="263" t="s">
        <v>70</v>
      </c>
      <c r="I14" s="244"/>
      <c r="J14" s="263" t="s">
        <v>73</v>
      </c>
      <c r="K14" s="244"/>
      <c r="L14" s="263" t="s">
        <v>74</v>
      </c>
      <c r="M14" s="244"/>
      <c r="N14" s="263" t="s">
        <v>71</v>
      </c>
      <c r="O14" s="264"/>
      <c r="P14" s="156"/>
      <c r="Q14" s="240"/>
      <c r="R14" s="240"/>
      <c r="S14" s="240"/>
      <c r="T14" s="240"/>
      <c r="U14" s="240"/>
      <c r="V14" s="240"/>
      <c r="W14" s="240"/>
      <c r="X14" s="240"/>
      <c r="Y14" s="240"/>
      <c r="Z14" s="240"/>
      <c r="AA14" s="240"/>
      <c r="AB14" s="240"/>
      <c r="AC14" s="240"/>
      <c r="AD14" s="240"/>
      <c r="AE14" s="240"/>
      <c r="AF14" s="240"/>
      <c r="AG14" s="240"/>
      <c r="AH14" s="240"/>
      <c r="AI14" s="256"/>
    </row>
    <row r="15" spans="1:52" ht="10" customHeight="1">
      <c r="A15" s="25"/>
      <c r="B15" s="25"/>
      <c r="C15" s="235"/>
      <c r="D15" s="243"/>
      <c r="E15" s="240"/>
      <c r="F15" s="243"/>
      <c r="G15" s="240"/>
      <c r="H15" s="243"/>
      <c r="I15" s="240"/>
      <c r="J15" s="243"/>
      <c r="K15" s="240"/>
      <c r="L15" s="250"/>
      <c r="M15" s="240"/>
      <c r="N15" s="250"/>
      <c r="O15" s="240"/>
      <c r="P15" s="156"/>
      <c r="Q15" s="240"/>
      <c r="R15" s="240"/>
      <c r="S15" s="240"/>
      <c r="T15" s="240"/>
      <c r="U15" s="240"/>
      <c r="V15" s="240"/>
      <c r="W15" s="240"/>
      <c r="X15" s="240"/>
      <c r="Y15" s="240"/>
      <c r="Z15" s="240"/>
      <c r="AA15" s="240"/>
      <c r="AB15" s="240"/>
      <c r="AC15" s="240"/>
      <c r="AD15" s="240"/>
      <c r="AE15" s="240"/>
      <c r="AF15" s="240"/>
      <c r="AG15" s="240"/>
      <c r="AH15" s="240"/>
      <c r="AI15" s="256"/>
    </row>
    <row r="16" spans="1:52" ht="42" customHeight="1">
      <c r="A16" s="25"/>
      <c r="B16" s="25"/>
      <c r="C16" s="242"/>
      <c r="D16" s="262" t="s">
        <v>328</v>
      </c>
      <c r="E16" s="244"/>
      <c r="F16" s="263" t="s">
        <v>75</v>
      </c>
      <c r="G16" s="244"/>
      <c r="H16" s="263" t="s">
        <v>76</v>
      </c>
      <c r="I16" s="244"/>
      <c r="J16" s="263" t="s">
        <v>114</v>
      </c>
      <c r="K16" s="264"/>
      <c r="L16" s="240"/>
      <c r="M16" s="240"/>
      <c r="N16" s="240"/>
      <c r="O16" s="240"/>
      <c r="P16" s="156"/>
      <c r="Q16" s="240"/>
      <c r="R16" s="240"/>
      <c r="S16" s="240"/>
      <c r="T16" s="240"/>
      <c r="U16" s="240"/>
      <c r="V16" s="240"/>
      <c r="W16" s="240"/>
      <c r="X16" s="240"/>
      <c r="Y16" s="240"/>
      <c r="Z16" s="240"/>
      <c r="AA16" s="240"/>
      <c r="AB16" s="240"/>
      <c r="AC16" s="240"/>
      <c r="AD16" s="240"/>
      <c r="AE16" s="240"/>
      <c r="AF16" s="240"/>
      <c r="AG16" s="240"/>
      <c r="AH16" s="240"/>
      <c r="AI16" s="256"/>
    </row>
    <row r="17" spans="1:35" ht="10" customHeight="1">
      <c r="A17" s="25"/>
      <c r="B17" s="25"/>
      <c r="C17" s="235"/>
      <c r="D17" s="243"/>
      <c r="E17" s="240"/>
      <c r="F17" s="243"/>
      <c r="G17" s="240"/>
      <c r="H17" s="243"/>
      <c r="I17" s="240"/>
      <c r="J17" s="250"/>
      <c r="K17" s="240"/>
      <c r="L17" s="240"/>
      <c r="M17" s="240"/>
      <c r="N17" s="240"/>
      <c r="O17" s="240"/>
      <c r="P17" s="156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/>
      <c r="AE17" s="240"/>
      <c r="AF17" s="240"/>
      <c r="AG17" s="240"/>
      <c r="AH17" s="240"/>
      <c r="AI17" s="256"/>
    </row>
    <row r="18" spans="1:35" ht="42" customHeight="1">
      <c r="A18" s="25"/>
      <c r="B18" s="25"/>
      <c r="C18" s="242"/>
      <c r="D18" s="262" t="s">
        <v>329</v>
      </c>
      <c r="E18" s="244"/>
      <c r="F18" s="263" t="s">
        <v>75</v>
      </c>
      <c r="G18" s="244"/>
      <c r="H18" s="263" t="s">
        <v>76</v>
      </c>
      <c r="I18" s="264"/>
      <c r="J18" s="240"/>
      <c r="K18" s="240"/>
      <c r="L18" s="240"/>
      <c r="M18" s="240"/>
      <c r="N18" s="240"/>
      <c r="O18" s="240"/>
      <c r="P18" s="156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/>
      <c r="AE18" s="240"/>
      <c r="AF18" s="240"/>
      <c r="AG18" s="240"/>
      <c r="AH18" s="240"/>
      <c r="AI18" s="256"/>
    </row>
    <row r="19" spans="1:35" s="25" customFormat="1" ht="10" customHeight="1">
      <c r="C19" s="235"/>
      <c r="D19" s="243"/>
      <c r="E19" s="240"/>
      <c r="F19" s="243"/>
      <c r="G19" s="240"/>
      <c r="H19" s="243"/>
      <c r="I19" s="240"/>
      <c r="J19" s="236"/>
      <c r="K19" s="240"/>
      <c r="L19" s="236"/>
      <c r="M19" s="240"/>
      <c r="N19" s="240"/>
      <c r="O19" s="240"/>
      <c r="P19" s="156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/>
      <c r="AE19" s="240"/>
      <c r="AF19" s="240"/>
      <c r="AG19" s="240"/>
      <c r="AH19" s="240"/>
      <c r="AI19" s="256"/>
    </row>
    <row r="20" spans="1:35" ht="42" customHeight="1">
      <c r="A20" s="25"/>
      <c r="B20" s="25"/>
      <c r="C20" s="242"/>
      <c r="D20" s="262" t="s">
        <v>215</v>
      </c>
      <c r="E20" s="244"/>
      <c r="F20" s="263" t="s">
        <v>216</v>
      </c>
      <c r="G20" s="244"/>
      <c r="H20" s="263" t="s">
        <v>217</v>
      </c>
      <c r="I20" s="244"/>
      <c r="J20" s="263" t="s">
        <v>218</v>
      </c>
      <c r="K20" s="244"/>
      <c r="L20" s="263" t="s">
        <v>219</v>
      </c>
      <c r="M20" s="264"/>
      <c r="N20" s="240"/>
      <c r="O20" s="240"/>
      <c r="P20" s="156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/>
      <c r="AE20" s="240"/>
      <c r="AF20" s="240"/>
      <c r="AG20" s="240"/>
      <c r="AH20" s="240"/>
      <c r="AI20" s="256"/>
    </row>
    <row r="21" spans="1:35" ht="10" customHeight="1">
      <c r="A21" s="25"/>
      <c r="B21" s="25"/>
      <c r="C21" s="235"/>
      <c r="D21" s="243"/>
      <c r="E21" s="240"/>
      <c r="F21" s="243"/>
      <c r="G21" s="240"/>
      <c r="H21" s="243"/>
      <c r="I21" s="240"/>
      <c r="J21" s="243"/>
      <c r="K21" s="240"/>
      <c r="L21" s="250"/>
      <c r="M21" s="240"/>
      <c r="N21" s="236"/>
      <c r="O21" s="240"/>
      <c r="P21" s="165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/>
      <c r="AG21" s="237"/>
      <c r="AH21" s="237"/>
      <c r="AI21" s="238"/>
    </row>
    <row r="22" spans="1:35" ht="42" customHeight="1">
      <c r="A22" s="25"/>
      <c r="B22" s="25"/>
      <c r="C22" s="242"/>
      <c r="D22" s="262" t="s">
        <v>215</v>
      </c>
      <c r="E22" s="244"/>
      <c r="F22" s="263" t="s">
        <v>60</v>
      </c>
      <c r="G22" s="244"/>
      <c r="H22" s="263" t="s">
        <v>77</v>
      </c>
      <c r="I22" s="244"/>
      <c r="J22" s="263" t="s">
        <v>325</v>
      </c>
      <c r="K22" s="264"/>
      <c r="L22" s="265" t="s">
        <v>367</v>
      </c>
      <c r="M22" s="266"/>
      <c r="N22" s="267"/>
      <c r="O22" s="245"/>
      <c r="P22" s="25"/>
    </row>
    <row r="23" spans="1:35" ht="10" customHeight="1">
      <c r="A23" s="25"/>
      <c r="B23" s="25"/>
      <c r="C23" s="235"/>
      <c r="D23" s="243"/>
      <c r="E23" s="240"/>
      <c r="F23" s="243"/>
      <c r="G23" s="240"/>
      <c r="H23" s="243"/>
      <c r="I23" s="240"/>
      <c r="J23" s="250"/>
      <c r="K23" s="240"/>
      <c r="L23" s="250"/>
      <c r="M23" s="250"/>
      <c r="N23" s="250"/>
      <c r="O23" s="239"/>
      <c r="P23" s="25"/>
    </row>
    <row r="24" spans="1:35" ht="42" customHeight="1">
      <c r="A24" s="25"/>
      <c r="B24" s="25"/>
      <c r="C24" s="242"/>
      <c r="D24" s="262" t="s">
        <v>134</v>
      </c>
      <c r="E24" s="244"/>
      <c r="F24" s="268" t="s">
        <v>249</v>
      </c>
      <c r="G24" s="244"/>
      <c r="H24" s="268" t="s">
        <v>250</v>
      </c>
      <c r="I24" s="264"/>
      <c r="J24" s="240"/>
      <c r="K24" s="240"/>
      <c r="L24" s="240"/>
      <c r="M24" s="240"/>
      <c r="N24" s="240"/>
      <c r="O24" s="239"/>
      <c r="P24" s="25"/>
    </row>
    <row r="25" spans="1:35" s="25" customFormat="1" ht="10" customHeight="1">
      <c r="C25" s="235"/>
      <c r="D25" s="243"/>
      <c r="E25" s="240"/>
      <c r="F25" s="243"/>
      <c r="G25" s="240"/>
      <c r="H25" s="243"/>
      <c r="I25" s="240"/>
      <c r="J25" s="236"/>
      <c r="K25" s="240"/>
      <c r="L25" s="236"/>
      <c r="M25" s="240"/>
      <c r="N25" s="236"/>
      <c r="O25" s="239"/>
    </row>
    <row r="26" spans="1:35" ht="42" customHeight="1">
      <c r="A26" s="25"/>
      <c r="B26" s="25"/>
      <c r="C26" s="242"/>
      <c r="D26" s="262" t="s">
        <v>244</v>
      </c>
      <c r="E26" s="244"/>
      <c r="F26" s="268" t="s">
        <v>245</v>
      </c>
      <c r="G26" s="244"/>
      <c r="H26" s="268" t="s">
        <v>246</v>
      </c>
      <c r="I26" s="244"/>
      <c r="J26" s="268" t="s">
        <v>247</v>
      </c>
      <c r="K26" s="244"/>
      <c r="L26" s="268" t="s">
        <v>248</v>
      </c>
      <c r="M26" s="244"/>
      <c r="N26" s="268" t="s">
        <v>174</v>
      </c>
      <c r="O26" s="245"/>
      <c r="P26" s="25"/>
    </row>
    <row r="27" spans="1:35" ht="10" customHeight="1">
      <c r="A27" s="25"/>
      <c r="B27" s="25"/>
      <c r="C27" s="235"/>
      <c r="D27" s="243"/>
      <c r="E27" s="240"/>
      <c r="F27" s="243"/>
      <c r="G27" s="240"/>
      <c r="H27" s="243"/>
      <c r="I27" s="240"/>
      <c r="J27" s="243"/>
      <c r="K27" s="240"/>
      <c r="L27" s="243"/>
      <c r="M27" s="240"/>
      <c r="N27" s="243"/>
      <c r="O27" s="239"/>
      <c r="P27" s="25"/>
    </row>
    <row r="28" spans="1:35" ht="42" customHeight="1">
      <c r="A28" s="25"/>
      <c r="B28" s="25"/>
      <c r="C28" s="242"/>
      <c r="D28" s="262" t="s">
        <v>88</v>
      </c>
      <c r="E28" s="244"/>
      <c r="F28" s="269" t="s">
        <v>79</v>
      </c>
      <c r="G28" s="244"/>
      <c r="H28" s="269" t="s">
        <v>120</v>
      </c>
      <c r="I28" s="244"/>
      <c r="J28" s="269" t="s">
        <v>231</v>
      </c>
      <c r="K28" s="244"/>
      <c r="L28" s="269" t="s">
        <v>80</v>
      </c>
      <c r="M28" s="244"/>
      <c r="N28" s="269" t="s">
        <v>81</v>
      </c>
      <c r="O28" s="245"/>
      <c r="P28" s="25"/>
      <c r="R28" s="25" t="s">
        <v>135</v>
      </c>
    </row>
    <row r="29" spans="1:35" ht="10" customHeight="1">
      <c r="A29" s="25"/>
      <c r="B29" s="25"/>
      <c r="C29" s="235"/>
      <c r="D29" s="243"/>
      <c r="E29" s="240"/>
      <c r="F29" s="243"/>
      <c r="G29" s="240"/>
      <c r="H29" s="243"/>
      <c r="I29" s="240"/>
      <c r="J29" s="243"/>
      <c r="K29" s="240"/>
      <c r="L29" s="243"/>
      <c r="M29" s="240"/>
      <c r="N29" s="243"/>
      <c r="O29" s="239"/>
      <c r="P29" s="25"/>
    </row>
    <row r="30" spans="1:35" ht="42" customHeight="1">
      <c r="A30" s="25"/>
      <c r="B30" s="25"/>
      <c r="C30" s="242"/>
      <c r="D30" s="262" t="s">
        <v>117</v>
      </c>
      <c r="E30" s="244"/>
      <c r="F30" s="270" t="s">
        <v>83</v>
      </c>
      <c r="G30" s="244"/>
      <c r="H30" s="270" t="s">
        <v>84</v>
      </c>
      <c r="I30" s="244"/>
      <c r="J30" s="270" t="s">
        <v>85</v>
      </c>
      <c r="K30" s="244"/>
      <c r="L30" s="270" t="s">
        <v>86</v>
      </c>
      <c r="M30" s="244"/>
      <c r="N30" s="271" t="s">
        <v>87</v>
      </c>
      <c r="O30" s="241"/>
      <c r="P30" s="25"/>
    </row>
    <row r="31" spans="1:35" ht="10" customHeight="1" thickBot="1">
      <c r="A31" s="25"/>
      <c r="B31" s="25"/>
      <c r="C31" s="246"/>
      <c r="D31" s="248"/>
      <c r="E31" s="249"/>
      <c r="F31" s="248"/>
      <c r="G31" s="249"/>
      <c r="H31" s="248"/>
      <c r="I31" s="249"/>
      <c r="J31" s="248"/>
      <c r="K31" s="249"/>
      <c r="L31" s="248"/>
      <c r="M31" s="249"/>
      <c r="N31" s="247"/>
      <c r="O31" s="230"/>
      <c r="P31" s="25"/>
    </row>
    <row r="32" spans="1:35" ht="10" customHeight="1" thickTop="1" thickBot="1">
      <c r="A32" s="25"/>
      <c r="B32" s="25"/>
      <c r="C32" s="161"/>
      <c r="D32" s="162"/>
      <c r="E32" s="162"/>
      <c r="F32" s="163"/>
      <c r="G32" s="163"/>
      <c r="H32" s="163"/>
      <c r="I32" s="163"/>
      <c r="J32" s="163"/>
      <c r="K32" s="163"/>
      <c r="L32" s="163"/>
      <c r="M32" s="163"/>
      <c r="N32" s="163"/>
      <c r="O32" s="164"/>
      <c r="P32" s="25"/>
    </row>
    <row r="33" spans="1:21" ht="10" customHeight="1" thickTop="1">
      <c r="A33" s="25"/>
      <c r="B33" s="25"/>
      <c r="C33" s="229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4"/>
      <c r="P33" s="25"/>
    </row>
    <row r="34" spans="1:21" ht="15" customHeight="1">
      <c r="A34" s="25"/>
      <c r="B34" s="25"/>
      <c r="C34" s="235"/>
      <c r="D34" s="219" t="s">
        <v>68</v>
      </c>
      <c r="E34" s="219"/>
      <c r="F34" s="219"/>
      <c r="G34" s="219"/>
      <c r="H34" s="219"/>
      <c r="I34" s="219"/>
      <c r="J34" s="219"/>
      <c r="K34" s="219"/>
      <c r="L34" s="219"/>
      <c r="M34" s="233"/>
      <c r="N34" s="220"/>
      <c r="O34" s="260"/>
      <c r="P34" s="25"/>
    </row>
    <row r="35" spans="1:21" ht="13" customHeight="1">
      <c r="A35" s="25"/>
      <c r="B35" s="25"/>
      <c r="C35" s="235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39"/>
      <c r="P35" s="25"/>
    </row>
    <row r="36" spans="1:21" ht="42" customHeight="1">
      <c r="A36" s="25"/>
      <c r="B36" s="25"/>
      <c r="C36" s="235"/>
      <c r="D36" s="221">
        <v>1</v>
      </c>
      <c r="E36" s="258"/>
      <c r="F36" s="221">
        <v>2</v>
      </c>
      <c r="G36" s="258"/>
      <c r="H36" s="221">
        <v>3</v>
      </c>
      <c r="I36" s="258"/>
      <c r="J36" s="221">
        <v>4</v>
      </c>
      <c r="K36" s="258"/>
      <c r="L36" s="221">
        <v>5</v>
      </c>
      <c r="M36" s="258"/>
      <c r="N36" s="221">
        <v>6</v>
      </c>
      <c r="O36" s="260"/>
      <c r="P36" s="25"/>
    </row>
    <row r="37" spans="1:21" ht="10" customHeight="1">
      <c r="A37" s="25"/>
      <c r="B37" s="25"/>
      <c r="C37" s="235"/>
      <c r="D37" s="257"/>
      <c r="E37" s="240"/>
      <c r="F37" s="257"/>
      <c r="G37" s="240"/>
      <c r="H37" s="257"/>
      <c r="I37" s="240"/>
      <c r="J37" s="257"/>
      <c r="K37" s="240"/>
      <c r="L37" s="257"/>
      <c r="M37" s="240"/>
      <c r="N37" s="257"/>
      <c r="O37" s="239"/>
      <c r="P37" s="25"/>
    </row>
    <row r="38" spans="1:21" ht="42" customHeight="1">
      <c r="A38" s="25"/>
      <c r="B38" s="25"/>
      <c r="C38" s="235"/>
      <c r="D38" s="221">
        <v>7</v>
      </c>
      <c r="E38" s="258"/>
      <c r="F38" s="221">
        <v>8</v>
      </c>
      <c r="G38" s="258"/>
      <c r="H38" s="221">
        <v>9</v>
      </c>
      <c r="I38" s="258"/>
      <c r="J38" s="221">
        <v>10</v>
      </c>
      <c r="K38" s="258"/>
      <c r="L38" s="221">
        <v>11</v>
      </c>
      <c r="M38" s="258"/>
      <c r="N38" s="221">
        <v>12</v>
      </c>
      <c r="O38" s="260"/>
      <c r="P38" s="25"/>
    </row>
    <row r="39" spans="1:21" ht="10" customHeight="1">
      <c r="A39" s="25"/>
      <c r="B39" s="25"/>
      <c r="C39" s="235"/>
      <c r="D39" s="257"/>
      <c r="E39" s="240"/>
      <c r="F39" s="257"/>
      <c r="G39" s="240"/>
      <c r="H39" s="257"/>
      <c r="I39" s="240"/>
      <c r="J39" s="257"/>
      <c r="K39" s="240"/>
      <c r="L39" s="257"/>
      <c r="M39" s="240"/>
      <c r="N39" s="257"/>
      <c r="O39" s="239"/>
      <c r="P39" s="25"/>
    </row>
    <row r="40" spans="1:21" ht="42" customHeight="1">
      <c r="A40" s="25"/>
      <c r="B40" s="25"/>
      <c r="C40" s="235"/>
      <c r="D40" s="221">
        <v>13</v>
      </c>
      <c r="E40" s="258"/>
      <c r="F40" s="221">
        <v>14</v>
      </c>
      <c r="G40" s="258"/>
      <c r="H40" s="221">
        <v>15</v>
      </c>
      <c r="I40" s="258"/>
      <c r="J40" s="221">
        <v>16</v>
      </c>
      <c r="K40" s="258"/>
      <c r="L40" s="221">
        <v>17</v>
      </c>
      <c r="M40" s="258"/>
      <c r="N40" s="221">
        <v>18</v>
      </c>
      <c r="O40" s="260"/>
      <c r="P40" s="25"/>
      <c r="R40" s="26"/>
      <c r="S40" s="26"/>
    </row>
    <row r="41" spans="1:21" ht="10" customHeight="1">
      <c r="A41" s="25"/>
      <c r="B41" s="25"/>
      <c r="C41" s="235"/>
      <c r="D41" s="257"/>
      <c r="E41" s="240"/>
      <c r="F41" s="257"/>
      <c r="G41" s="240"/>
      <c r="H41" s="257"/>
      <c r="I41" s="240"/>
      <c r="J41" s="257"/>
      <c r="K41" s="240"/>
      <c r="L41" s="257"/>
      <c r="M41" s="240"/>
      <c r="N41" s="257"/>
      <c r="O41" s="239"/>
      <c r="P41" s="25"/>
      <c r="R41" s="26"/>
      <c r="S41" s="26"/>
    </row>
    <row r="42" spans="1:21" ht="42" customHeight="1">
      <c r="A42" s="25"/>
      <c r="B42" s="25"/>
      <c r="C42" s="235"/>
      <c r="D42" s="221">
        <v>19</v>
      </c>
      <c r="E42" s="258"/>
      <c r="F42" s="221">
        <v>20</v>
      </c>
      <c r="G42" s="258"/>
      <c r="H42" s="221">
        <v>21</v>
      </c>
      <c r="I42" s="258"/>
      <c r="J42" s="221">
        <v>22</v>
      </c>
      <c r="K42" s="258"/>
      <c r="L42" s="222" t="s">
        <v>92</v>
      </c>
      <c r="M42" s="258"/>
      <c r="N42" s="222" t="s">
        <v>82</v>
      </c>
      <c r="O42" s="260"/>
      <c r="P42" s="25"/>
    </row>
    <row r="43" spans="1:21" s="25" customFormat="1" ht="10" customHeight="1" thickBot="1">
      <c r="C43" s="246"/>
      <c r="D43" s="259"/>
      <c r="E43" s="249"/>
      <c r="F43" s="259"/>
      <c r="G43" s="249"/>
      <c r="H43" s="259"/>
      <c r="I43" s="249"/>
      <c r="J43" s="259"/>
      <c r="K43" s="249"/>
      <c r="L43" s="259"/>
      <c r="M43" s="249"/>
      <c r="N43" s="259"/>
      <c r="O43" s="261"/>
    </row>
    <row r="44" spans="1:21" ht="10" customHeight="1" thickTop="1" thickBot="1">
      <c r="A44" s="25"/>
      <c r="B44" s="25"/>
      <c r="C44" s="161"/>
      <c r="D44" s="162"/>
      <c r="E44" s="162"/>
      <c r="F44" s="163"/>
      <c r="G44" s="163"/>
      <c r="H44" s="163"/>
      <c r="I44" s="163"/>
      <c r="J44" s="163"/>
      <c r="K44" s="163"/>
      <c r="L44" s="163"/>
      <c r="M44" s="163"/>
      <c r="N44" s="163"/>
      <c r="O44" s="164"/>
      <c r="P44" s="25"/>
    </row>
    <row r="45" spans="1:21" ht="10" customHeight="1" thickTop="1">
      <c r="A45" s="25"/>
      <c r="B45" s="25"/>
      <c r="C45" s="229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4"/>
      <c r="P45" s="25"/>
      <c r="Q45" s="27"/>
      <c r="T45" s="26"/>
      <c r="U45" s="26"/>
    </row>
    <row r="46" spans="1:21" ht="15" customHeight="1">
      <c r="A46" s="25"/>
      <c r="B46" s="25"/>
      <c r="C46" s="235"/>
      <c r="D46" s="217" t="s">
        <v>90</v>
      </c>
      <c r="E46" s="217"/>
      <c r="F46" s="217"/>
      <c r="G46" s="217"/>
      <c r="H46" s="217"/>
      <c r="I46" s="217"/>
      <c r="J46" s="217"/>
      <c r="K46" s="217"/>
      <c r="L46" s="217"/>
      <c r="M46" s="251"/>
      <c r="N46" s="218"/>
      <c r="O46" s="260"/>
      <c r="P46" s="25"/>
      <c r="U46" s="26"/>
    </row>
    <row r="47" spans="1:21" ht="11" customHeight="1">
      <c r="A47" s="25"/>
      <c r="B47" s="25"/>
      <c r="C47" s="235"/>
      <c r="D47" s="257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39"/>
      <c r="P47" s="25"/>
      <c r="U47" s="26"/>
    </row>
    <row r="48" spans="1:21" ht="14">
      <c r="A48" s="25"/>
      <c r="B48" s="25"/>
      <c r="C48" s="235"/>
      <c r="D48" s="223" t="s">
        <v>91</v>
      </c>
      <c r="E48" s="258"/>
      <c r="F48" s="240"/>
      <c r="G48" s="240"/>
      <c r="H48" s="240"/>
      <c r="I48" s="240"/>
      <c r="J48" s="240"/>
      <c r="K48" s="240"/>
      <c r="L48" s="240"/>
      <c r="M48" s="240"/>
      <c r="N48" s="240"/>
      <c r="O48" s="239"/>
      <c r="P48" s="25"/>
      <c r="Q48" s="25" t="s">
        <v>135</v>
      </c>
      <c r="U48" s="26"/>
    </row>
    <row r="49" spans="1:18" ht="6" customHeight="1">
      <c r="A49" s="25"/>
      <c r="B49" s="25"/>
      <c r="C49" s="235"/>
      <c r="D49" s="257"/>
      <c r="E49" s="240"/>
      <c r="F49" s="240"/>
      <c r="G49" s="240"/>
      <c r="H49" s="240"/>
      <c r="I49" s="240"/>
      <c r="J49" s="240"/>
      <c r="K49" s="240"/>
      <c r="L49" s="240"/>
      <c r="M49" s="240"/>
      <c r="N49" s="240"/>
      <c r="O49" s="239"/>
      <c r="P49" s="25"/>
    </row>
    <row r="50" spans="1:18" ht="42" customHeight="1">
      <c r="A50" s="25"/>
      <c r="B50" s="25"/>
      <c r="C50" s="235"/>
      <c r="D50" s="224">
        <v>2.2118510659722222E-2</v>
      </c>
      <c r="E50" s="255"/>
      <c r="F50" s="225"/>
      <c r="G50" s="258"/>
      <c r="H50" s="226" t="s">
        <v>62</v>
      </c>
      <c r="I50" s="258"/>
      <c r="J50" s="227" t="s">
        <v>61</v>
      </c>
      <c r="K50" s="258"/>
      <c r="L50" s="226" t="s">
        <v>208</v>
      </c>
      <c r="M50" s="258"/>
      <c r="N50" s="228" t="s">
        <v>63</v>
      </c>
      <c r="O50" s="260"/>
      <c r="P50" s="25"/>
    </row>
    <row r="51" spans="1:18" ht="93" customHeight="1" thickBot="1">
      <c r="A51" s="25"/>
      <c r="B51" s="25"/>
      <c r="C51" s="246"/>
      <c r="D51" s="259"/>
      <c r="E51" s="259"/>
      <c r="F51" s="259"/>
      <c r="G51" s="249"/>
      <c r="H51" s="259"/>
      <c r="I51" s="249"/>
      <c r="J51" s="259"/>
      <c r="K51" s="249"/>
      <c r="L51" s="259"/>
      <c r="M51" s="249"/>
      <c r="N51" s="259"/>
      <c r="O51" s="261"/>
      <c r="P51" s="25"/>
      <c r="R51" s="25" t="s">
        <v>135</v>
      </c>
    </row>
    <row r="52" spans="1:18" ht="14" thickTop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</row>
    <row r="53" spans="1:18" s="25" customFormat="1"/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113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82"/>
      <c r="M413" s="82"/>
    </row>
    <row r="414" spans="12:13" s="25" customFormat="1">
      <c r="L414" s="82"/>
      <c r="M414" s="82"/>
    </row>
    <row r="415" spans="12:13" s="25" customFormat="1">
      <c r="L415" s="82"/>
      <c r="M415" s="82"/>
    </row>
    <row r="416" spans="12:13" s="25" customFormat="1">
      <c r="L416" s="82"/>
      <c r="M416" s="82"/>
    </row>
    <row r="417" spans="12:29" s="25" customFormat="1">
      <c r="L417" s="82"/>
      <c r="M417" s="82"/>
    </row>
    <row r="418" spans="12:29" s="25" customFormat="1">
      <c r="L418" s="82"/>
      <c r="M418" s="82"/>
    </row>
    <row r="419" spans="12:29" s="25" customFormat="1">
      <c r="L419" s="82"/>
      <c r="M419" s="82"/>
    </row>
    <row r="420" spans="12:29" s="25" customFormat="1">
      <c r="L420" s="82"/>
      <c r="M420" s="82"/>
    </row>
    <row r="421" spans="12:29" s="25" customFormat="1">
      <c r="L421" s="82"/>
      <c r="M421" s="82"/>
    </row>
    <row r="422" spans="12:29" s="25" customFormat="1">
      <c r="L422" s="82"/>
      <c r="M422" s="82"/>
    </row>
    <row r="423" spans="12:29" s="25" customFormat="1">
      <c r="L423" s="82"/>
      <c r="M423" s="82"/>
    </row>
    <row r="424" spans="12:29" s="25" customFormat="1">
      <c r="L424" s="82"/>
      <c r="M424" s="82"/>
    </row>
    <row r="425" spans="12:29" s="25" customFormat="1">
      <c r="L425" s="82"/>
      <c r="M425" s="82"/>
    </row>
    <row r="426" spans="12:29" s="25" customFormat="1">
      <c r="L426" s="82"/>
      <c r="M426" s="82"/>
    </row>
    <row r="427" spans="12:29" s="25" customFormat="1">
      <c r="L427" s="82"/>
      <c r="M427" s="82"/>
    </row>
    <row r="428" spans="12:29" s="25" customFormat="1">
      <c r="L428" s="82"/>
      <c r="M428" s="82"/>
    </row>
    <row r="429" spans="12:29" s="25" customFormat="1">
      <c r="L429" s="82"/>
      <c r="M429" s="82"/>
    </row>
    <row r="430" spans="12:29" s="25" customFormat="1">
      <c r="L430" s="82"/>
      <c r="M430" s="82"/>
    </row>
    <row r="431" spans="12:29" s="25" customFormat="1">
      <c r="L431" s="82"/>
      <c r="M431" s="82"/>
      <c r="Y431" s="81"/>
      <c r="Z431" s="81"/>
      <c r="AA431" s="81"/>
      <c r="AC431" s="81"/>
    </row>
    <row r="432" spans="12:29" s="25" customFormat="1">
      <c r="L432" s="82"/>
      <c r="M432" s="82"/>
    </row>
    <row r="433" spans="12:13" s="25" customFormat="1">
      <c r="L433" s="82"/>
      <c r="M433" s="82"/>
    </row>
    <row r="434" spans="12:13" s="25" customFormat="1">
      <c r="L434" s="82"/>
      <c r="M434" s="82"/>
    </row>
    <row r="435" spans="12:13" s="25" customFormat="1">
      <c r="L435" s="82"/>
      <c r="M435" s="82"/>
    </row>
    <row r="436" spans="12:13" s="25" customFormat="1">
      <c r="L436" s="82"/>
      <c r="M436" s="82"/>
    </row>
    <row r="437" spans="12:13" s="25" customFormat="1">
      <c r="L437" s="82"/>
      <c r="M437" s="82"/>
    </row>
    <row r="438" spans="12:13" s="25" customFormat="1">
      <c r="L438" s="82"/>
      <c r="M438" s="82"/>
    </row>
    <row r="439" spans="12:13" s="25" customFormat="1">
      <c r="L439" s="82"/>
      <c r="M439" s="82"/>
    </row>
    <row r="440" spans="12:13" s="25" customFormat="1">
      <c r="L440" s="82"/>
      <c r="M440" s="82"/>
    </row>
    <row r="441" spans="12:13" s="25" customFormat="1">
      <c r="L441" s="82"/>
      <c r="M441" s="82"/>
    </row>
    <row r="442" spans="12:13" s="25" customFormat="1">
      <c r="L442" s="82"/>
      <c r="M442" s="82"/>
    </row>
    <row r="443" spans="12:13" s="25" customFormat="1">
      <c r="L443" s="82"/>
      <c r="M443" s="82"/>
    </row>
    <row r="444" spans="12:13" s="25" customFormat="1">
      <c r="L444" s="82"/>
      <c r="M444" s="82"/>
    </row>
    <row r="445" spans="12:13" s="25" customFormat="1">
      <c r="L445" s="82"/>
      <c r="M445" s="82"/>
    </row>
    <row r="446" spans="12:13" s="25" customFormat="1">
      <c r="L446" s="82"/>
      <c r="M446" s="82"/>
    </row>
    <row r="447" spans="12:13" s="25" customFormat="1">
      <c r="L447" s="82"/>
      <c r="M447" s="82"/>
    </row>
    <row r="448" spans="12:13" s="25" customFormat="1">
      <c r="L448" s="82"/>
      <c r="M448" s="82"/>
    </row>
    <row r="449" spans="12:13" s="25" customFormat="1">
      <c r="L449" s="82"/>
      <c r="M449" s="82"/>
    </row>
    <row r="450" spans="12:13" s="25" customFormat="1">
      <c r="L450" s="82"/>
      <c r="M450" s="82"/>
    </row>
    <row r="451" spans="12:13" s="25" customFormat="1">
      <c r="L451" s="82"/>
      <c r="M451" s="82"/>
    </row>
    <row r="452" spans="12:13" s="25" customFormat="1">
      <c r="L452" s="82"/>
      <c r="M452" s="82"/>
    </row>
    <row r="453" spans="12:13" s="25" customFormat="1">
      <c r="L453" s="82"/>
      <c r="M453" s="82"/>
    </row>
    <row r="454" spans="12:13" s="25" customFormat="1">
      <c r="L454" s="82"/>
      <c r="M454" s="82"/>
    </row>
    <row r="455" spans="12:13" s="25" customFormat="1">
      <c r="L455" s="82"/>
      <c r="M455" s="82"/>
    </row>
    <row r="456" spans="12:13" s="25" customFormat="1">
      <c r="L456" s="82"/>
      <c r="M456" s="82"/>
    </row>
    <row r="457" spans="12:13" s="25" customFormat="1">
      <c r="L457" s="82"/>
      <c r="M457" s="82"/>
    </row>
    <row r="458" spans="12:13" s="25" customFormat="1">
      <c r="L458" s="82"/>
      <c r="M458" s="82"/>
    </row>
    <row r="459" spans="12:13" s="25" customFormat="1">
      <c r="L459" s="82"/>
      <c r="M459" s="82"/>
    </row>
    <row r="460" spans="12:13" s="25" customFormat="1">
      <c r="L460" s="82"/>
      <c r="M460" s="82"/>
    </row>
    <row r="461" spans="12:13" s="25" customFormat="1">
      <c r="L461" s="82"/>
      <c r="M461" s="82"/>
    </row>
    <row r="462" spans="12:13" s="25" customFormat="1">
      <c r="L462" s="82"/>
      <c r="M462" s="82"/>
    </row>
    <row r="463" spans="12:13" s="25" customFormat="1">
      <c r="L463" s="82"/>
      <c r="M463" s="82"/>
    </row>
    <row r="464" spans="12:13" s="25" customFormat="1">
      <c r="L464" s="82"/>
      <c r="M464" s="82"/>
    </row>
    <row r="465" spans="12:13" s="25" customFormat="1">
      <c r="L465" s="82"/>
      <c r="M465" s="82"/>
    </row>
    <row r="466" spans="12:13" s="25" customFormat="1">
      <c r="L466" s="82"/>
      <c r="M466" s="82"/>
    </row>
    <row r="467" spans="12:13" s="25" customFormat="1">
      <c r="L467" s="82"/>
      <c r="M467" s="82"/>
    </row>
    <row r="468" spans="12:13" s="25" customFormat="1">
      <c r="L468" s="82"/>
      <c r="M468" s="82"/>
    </row>
    <row r="469" spans="12:13" s="25" customFormat="1">
      <c r="L469" s="82"/>
      <c r="M469" s="82"/>
    </row>
    <row r="470" spans="12:13" s="25" customFormat="1">
      <c r="L470" s="82"/>
      <c r="M470" s="82"/>
    </row>
    <row r="471" spans="12:13" s="25" customFormat="1">
      <c r="L471" s="82"/>
      <c r="M471" s="82"/>
    </row>
    <row r="472" spans="12:13" s="25" customFormat="1">
      <c r="L472" s="82"/>
      <c r="M472" s="82"/>
    </row>
    <row r="473" spans="12:13" s="25" customFormat="1">
      <c r="L473" s="82"/>
      <c r="M473" s="82"/>
    </row>
    <row r="474" spans="12:13" s="25" customFormat="1">
      <c r="L474" s="82"/>
      <c r="M474" s="82"/>
    </row>
    <row r="475" spans="12:13" s="25" customFormat="1">
      <c r="L475" s="82"/>
      <c r="M475" s="82"/>
    </row>
    <row r="476" spans="12:13" s="25" customFormat="1">
      <c r="L476" s="82"/>
      <c r="M476" s="82"/>
    </row>
    <row r="477" spans="12:13" s="25" customFormat="1">
      <c r="L477" s="82"/>
      <c r="M477" s="82"/>
    </row>
    <row r="478" spans="12:13" s="25" customFormat="1">
      <c r="L478" s="82"/>
      <c r="M478" s="82"/>
    </row>
    <row r="479" spans="12:13" s="25" customFormat="1">
      <c r="L479" s="82"/>
      <c r="M479" s="82"/>
    </row>
    <row r="480" spans="12:13" s="25" customFormat="1">
      <c r="L480" s="82"/>
      <c r="M480" s="82"/>
    </row>
    <row r="481" spans="12:13" s="25" customFormat="1">
      <c r="L481" s="82"/>
      <c r="M481" s="82"/>
    </row>
    <row r="482" spans="12:13" s="25" customFormat="1">
      <c r="L482" s="82"/>
      <c r="M482" s="82"/>
    </row>
    <row r="483" spans="12:13" s="25" customFormat="1">
      <c r="L483" s="82"/>
      <c r="M483" s="82"/>
    </row>
    <row r="484" spans="12:13" s="25" customFormat="1">
      <c r="L484" s="82"/>
      <c r="M484" s="82"/>
    </row>
    <row r="485" spans="12:13" s="25" customFormat="1">
      <c r="L485" s="82"/>
      <c r="M485" s="82"/>
    </row>
    <row r="486" spans="12:13" s="25" customFormat="1">
      <c r="L486" s="82"/>
      <c r="M486" s="82"/>
    </row>
    <row r="487" spans="12:13" s="25" customFormat="1">
      <c r="L487" s="82"/>
      <c r="M487" s="82"/>
    </row>
    <row r="488" spans="12:13" s="25" customFormat="1">
      <c r="L488" s="82"/>
      <c r="M488" s="82"/>
    </row>
    <row r="489" spans="12:13" s="25" customFormat="1">
      <c r="L489" s="82"/>
      <c r="M489" s="82"/>
    </row>
    <row r="490" spans="12:13" s="25" customFormat="1">
      <c r="L490" s="82"/>
      <c r="M490" s="82"/>
    </row>
    <row r="491" spans="12:13" s="25" customFormat="1">
      <c r="L491" s="82"/>
      <c r="M491" s="82"/>
    </row>
    <row r="492" spans="12:13" s="25" customFormat="1">
      <c r="L492" s="82"/>
      <c r="M492" s="82"/>
    </row>
    <row r="493" spans="12:13" s="25" customFormat="1">
      <c r="L493" s="82"/>
      <c r="M493" s="82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7">
    <mergeCell ref="D34:N34"/>
    <mergeCell ref="D46:N46"/>
    <mergeCell ref="D50:F50"/>
    <mergeCell ref="L22:N22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68"/>
  <sheetViews>
    <sheetView workbookViewId="0">
      <selection activeCell="D23" sqref="D23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317</v>
      </c>
      <c r="B1" t="s">
        <v>57</v>
      </c>
      <c r="C1" t="s">
        <v>64</v>
      </c>
      <c r="D1" t="s">
        <v>258</v>
      </c>
      <c r="E1" t="s">
        <v>65</v>
      </c>
      <c r="F1" t="s">
        <v>314</v>
      </c>
      <c r="G1" t="s">
        <v>233</v>
      </c>
      <c r="H1" t="s">
        <v>66</v>
      </c>
      <c r="I1" t="s">
        <v>67</v>
      </c>
      <c r="J1" t="s">
        <v>296</v>
      </c>
      <c r="K1" t="s">
        <v>297</v>
      </c>
      <c r="L1" t="s">
        <v>298</v>
      </c>
      <c r="M1" t="s">
        <v>124</v>
      </c>
      <c r="N1" t="s">
        <v>299</v>
      </c>
      <c r="O1" t="s">
        <v>300</v>
      </c>
      <c r="P1" t="s">
        <v>312</v>
      </c>
      <c r="Q1" t="s">
        <v>315</v>
      </c>
    </row>
    <row r="2" spans="1:17" s="25" customFormat="1">
      <c r="A2" s="127"/>
      <c r="B2"/>
      <c r="C2"/>
      <c r="D2"/>
      <c r="E2"/>
      <c r="F2"/>
      <c r="G2"/>
      <c r="H2"/>
      <c r="I2" s="160"/>
      <c r="J2"/>
      <c r="K2"/>
      <c r="L2" s="159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EEBDCD36-9AD4-8344-9955-E06AB1BF184A}">
      <formula1>LISTE_MT_JOURNAL</formula1>
    </dataValidation>
    <dataValidation type="list" allowBlank="1" showErrorMessage="1" sqref="C2" xr:uid="{9E5C0A8D-2414-F140-90F5-55DD4723EC81}">
      <formula1>LISTE_JOUEURS_JOURNAL</formula1>
    </dataValidation>
    <dataValidation type="list" allowBlank="1" showErrorMessage="1" sqref="E2" xr:uid="{65405442-F809-C14B-B717-0B20E9FF0894}">
      <formula1>LISTE_ACTIONS_JOURNAL</formula1>
    </dataValidation>
    <dataValidation type="list" allowBlank="1" showErrorMessage="1" sqref="G2" xr:uid="{82A8702B-3DFF-194C-BEA7-AA1EA3E8B5C7}">
      <formula1>LISTE_EQUIPES_JOURNAL</formula1>
    </dataValidation>
    <dataValidation type="list" allowBlank="1" showErrorMessage="1" sqref="F2" xr:uid="{99AAA5A5-AC4B-144E-BF02-2CDEEB00840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E1053"/>
  <sheetViews>
    <sheetView workbookViewId="0"/>
  </sheetViews>
  <sheetFormatPr baseColWidth="10" defaultRowHeight="13"/>
  <cols>
    <col min="1" max="1" width="12.83203125" style="25" customWidth="1"/>
    <col min="2" max="2" width="12.332031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5"/>
    <col min="17" max="17" width="12.33203125" style="25" bestFit="1" customWidth="1"/>
    <col min="18" max="18" width="13.83203125" style="25" bestFit="1" customWidth="1"/>
    <col min="19" max="24" width="10.83203125" style="25"/>
    <col min="25" max="25" width="15.6640625" style="25" customWidth="1"/>
    <col min="26" max="27" width="10.83203125" style="25"/>
  </cols>
  <sheetData>
    <row r="1" spans="2:31" s="25" customFormat="1"/>
    <row r="2" spans="2:31" s="25" customFormat="1"/>
    <row r="3" spans="2:31" s="25" customFormat="1">
      <c r="B3" s="211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PF8eme : MXV / Rabastens-Coufouleux Première</v>
      </c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3"/>
    </row>
    <row r="4" spans="2:31" s="25" customFormat="1">
      <c r="B4" s="214"/>
      <c r="C4" s="215"/>
      <c r="D4" s="215"/>
      <c r="E4" s="215"/>
      <c r="F4" s="215"/>
      <c r="G4" s="215"/>
      <c r="H4" s="215"/>
      <c r="I4" s="215"/>
      <c r="J4" s="215"/>
      <c r="K4" s="215"/>
      <c r="L4" s="215"/>
      <c r="M4" s="215"/>
      <c r="N4" s="216"/>
    </row>
    <row r="5" spans="2:31" s="25" customFormat="1"/>
    <row r="6" spans="2:31" ht="14" customHeight="1">
      <c r="B6" s="196" t="s">
        <v>64</v>
      </c>
      <c r="C6" s="198" t="str">
        <f>ACT_PL_NORMAL</f>
        <v>Plaquage normal</v>
      </c>
      <c r="D6" s="199"/>
      <c r="E6" s="198" t="str">
        <f>ACT_PL_OFF</f>
        <v>Plaquage offensif</v>
      </c>
      <c r="F6" s="199"/>
      <c r="G6" s="198" t="str">
        <f>ACT_PL_RATE</f>
        <v>Plaquage raté</v>
      </c>
      <c r="H6" s="199"/>
      <c r="I6" s="198" t="str">
        <f>ACT_PL_A2</f>
        <v>Plaquage à 2</v>
      </c>
      <c r="J6" s="204"/>
      <c r="K6" s="204" t="str">
        <f>ACT_PL_HAUT</f>
        <v>Plaquage haut</v>
      </c>
      <c r="L6" s="199"/>
      <c r="M6" s="204" t="str">
        <f>ACT_GRATTAGE</f>
        <v>Grattage</v>
      </c>
      <c r="N6" s="199"/>
      <c r="O6" s="206" t="s">
        <v>338</v>
      </c>
      <c r="P6" s="207"/>
      <c r="Q6" s="207"/>
      <c r="R6" s="207"/>
      <c r="S6" s="207"/>
      <c r="T6" s="208"/>
      <c r="Z6"/>
      <c r="AA6"/>
    </row>
    <row r="7" spans="2:31" ht="13" customHeight="1">
      <c r="B7" s="197"/>
      <c r="C7" s="84" t="s">
        <v>115</v>
      </c>
      <c r="D7" s="85" t="s">
        <v>112</v>
      </c>
      <c r="E7" s="86" t="s">
        <v>115</v>
      </c>
      <c r="F7" s="86" t="s">
        <v>112</v>
      </c>
      <c r="G7" s="84" t="s">
        <v>115</v>
      </c>
      <c r="H7" s="85" t="s">
        <v>112</v>
      </c>
      <c r="I7" s="84" t="s">
        <v>115</v>
      </c>
      <c r="J7" s="85" t="s">
        <v>112</v>
      </c>
      <c r="K7" s="84" t="s">
        <v>115</v>
      </c>
      <c r="L7" s="85" t="s">
        <v>112</v>
      </c>
      <c r="M7" s="86" t="s">
        <v>115</v>
      </c>
      <c r="N7" s="85" t="s">
        <v>112</v>
      </c>
      <c r="O7" s="102" t="str">
        <f>ACT_PEN_MAUL</f>
        <v>Maul</v>
      </c>
      <c r="P7" s="102" t="str">
        <f>ACT_PEN_HORS_JEU</f>
        <v>Hors-jeu</v>
      </c>
      <c r="Q7" s="102" t="str">
        <f>ACT_PEN_PL_A_2</f>
        <v>Plaquage à 2</v>
      </c>
      <c r="R7" s="102" t="str">
        <f>ACT_PEN_PL_HAUT</f>
        <v>Plaquage haut</v>
      </c>
      <c r="S7" s="102" t="str">
        <f>ACT_PEN_RUCK</f>
        <v>Ruck</v>
      </c>
      <c r="T7" s="102" t="str">
        <f>ACT_PEN_UNKNOWN</f>
        <v>?</v>
      </c>
      <c r="Z7"/>
      <c r="AA7"/>
    </row>
    <row r="8" spans="2:31">
      <c r="B8" s="63" t="e" cm="1" vm="1">
        <f t="array" ref="B8">_xlfn._xlws.SORT(_xlfn._xlws.FILTER(COMPO[Nom du joueur],(COMPO[Nom du joueur]&lt;&gt;"")*(COMPO[Nom du joueur]&lt;&gt;"Collectif")*(COMPO[Nom du joueur]&lt;&gt;"?")))</f>
        <v>#VALUE!</v>
      </c>
      <c r="C8" s="68" t="str">
        <f>IF(COUNTIFS(JournalActions[Joueur],$B8,JournalActions[Action],$C$6,JournalActions[Mi-temps],C$7)=0,"",COUNTIFS(JournalActions[Joueur],$B8,JournalActions[Action],$C$6,JournalActions[Mi-temps],C$7))</f>
        <v/>
      </c>
      <c r="D8" s="69" t="str">
        <f>IF(COUNTIFS(JournalActions[Joueur],$B8,JournalActions[Action],$C$6,JournalActions[Mi-temps],D$7)=0,"",COUNTIFS(JournalActions[Joueur],$B8,JournalActions[Action],$C$6,JournalActions[Mi-temps],D$7))</f>
        <v/>
      </c>
      <c r="E8" s="68" t="str">
        <f>IF(COUNTIFS(JournalActions[Joueur],$B8,JournalActions[Action],$E$6,JournalActions[Mi-temps],E$7)=0,"",COUNTIFS(JournalActions[Joueur],$B8,JournalActions[Action],$E$6,JournalActions[Mi-temps],E$7))</f>
        <v/>
      </c>
      <c r="F8" s="70" t="str">
        <f>IF(COUNTIFS(JournalActions[Joueur],$B8,JournalActions[Action],$E$6,JournalActions[Mi-temps],F$7)=0,"",COUNTIFS(JournalActions[Joueur],$B8,JournalActions[Action],$E$6,JournalActions[Mi-temps],F$7))</f>
        <v/>
      </c>
      <c r="G8" s="68" t="str">
        <f>IF(COUNTIFS(JournalActions[Joueur],$B8,JournalActions[Action],$G$6,JournalActions[Mi-temps],G$7)=0,"",COUNTIFS(JournalActions[Joueur],$B8,JournalActions[Action],$G$6,JournalActions[Mi-temps],G$7))</f>
        <v/>
      </c>
      <c r="H8" s="69" t="str">
        <f>IF(COUNTIFS(JournalActions[Joueur],$B8,JournalActions[Action],$G$6,JournalActions[Mi-temps],H$7)=0,"",COUNTIFS(JournalActions[Joueur],$B8,JournalActions[Action],$G$6,JournalActions[Mi-temps],H$7))</f>
        <v/>
      </c>
      <c r="I8" s="68" t="str">
        <f>IF(COUNTIFS(JournalActions[Joueur],$B8,JournalActions[Action],$I$6,JournalActions[Mi-temps],I$7)=0,"",COUNTIFS(JournalActions[Joueur],$B8,JournalActions[Action],$I$6,JournalActions[Mi-temps],I$7))</f>
        <v/>
      </c>
      <c r="J8" s="69" t="str">
        <f>IF(COUNTIFS(JournalActions[Joueur],$B8,JournalActions[Action],$I$6,JournalActions[Mi-temps],J$7)=0,"",COUNTIFS(JournalActions[Joueur],$B8,JournalActions[Action],$I$6,JournalActions[Mi-temps],J$7))</f>
        <v/>
      </c>
      <c r="K8" s="68" t="str">
        <f>IF(COUNTIFS(JournalActions[Joueur],$B8,JournalActions[Action],$K$6,JournalActions[Mi-temps],K$7)=0,"",COUNTIFS(JournalActions[Joueur],$B8,JournalActions[Action],$K$6,JournalActions[Mi-temps],K$7))</f>
        <v/>
      </c>
      <c r="L8" s="69" t="str">
        <f>IF(COUNTIFS(JournalActions[Joueur],$B8,JournalActions[Action],$K$6,JournalActions[Mi-temps],L$7)=0,"",COUNTIFS(JournalActions[Joueur],$B8,JournalActions[Action],$K$6,JournalActions[Mi-temps],L$7))</f>
        <v/>
      </c>
      <c r="M8" s="68" t="str">
        <f>IF(COUNTIFS(JournalActions[Joueur],$B8,JournalActions[Action],$M$6,JournalActions[Mi-temps],M$7)=0,"",COUNTIFS(JournalActions[Joueur],$B8,JournalActions[Action],$M$6,JournalActions[Mi-temps],M$7))</f>
        <v/>
      </c>
      <c r="N8" s="69" t="str">
        <f>IF(COUNTIFS(JournalActions[Joueur],$B8,JournalActions[Action],$M$6,JournalActions[Mi-temps],N$7)=0,"",COUNTIFS(JournalActions[Joueur],$B8,JournalActions[Action],$M$6,JournalActions[Mi-temps],N$7))</f>
        <v/>
      </c>
      <c r="O8" s="96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9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9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9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9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9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Z8"/>
      <c r="AA8"/>
    </row>
    <row r="9" spans="2:31">
      <c r="B9" s="63"/>
      <c r="C9" s="63" t="str">
        <f>IF(COUNTIFS(JournalActions[Joueur],$B9,JournalActions[Action],$C$6,JournalActions[Mi-temps],C$7)=0,"",COUNTIFS(JournalActions[Joueur],$B9,JournalActions[Action],$C$6,JournalActions[Mi-temps],C$7))</f>
        <v/>
      </c>
      <c r="D9" s="6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63" t="str">
        <f>IF(COUNTIFS(JournalActions[Joueur],$B9,JournalActions[Action],$G$6,JournalActions[Mi-temps],G$7)=0,"",COUNTIFS(JournalActions[Joueur],$B9,JournalActions[Action],$G$6,JournalActions[Mi-temps],G$7))</f>
        <v/>
      </c>
      <c r="H9" s="6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6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63" t="str">
        <f>IF(COUNTIFS(JournalActions[Joueur],$B9,JournalActions[Action],$M$6,JournalActions[Mi-temps],M$7)=0,"",COUNTIFS(JournalActions[Joueur],$B9,JournalActions[Action],$M$6,JournalActions[Mi-temps],M$7))</f>
        <v/>
      </c>
      <c r="N9" s="64" t="str">
        <f>IF(COUNTIFS(JournalActions[Joueur],$B9,JournalActions[Action],$M$6,JournalActions[Mi-temps],N$7)=0,"",COUNTIFS(JournalActions[Joueur],$B9,JournalActions[Action],$M$6,JournalActions[Mi-temps],N$7))</f>
        <v/>
      </c>
      <c r="O9" s="103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10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10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10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10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10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Z9"/>
      <c r="AA9"/>
    </row>
    <row r="10" spans="2:31">
      <c r="B10" s="63"/>
      <c r="C10" s="63" t="str">
        <f>IF(COUNTIFS(JournalActions[Joueur],$B10,JournalActions[Action],$C$6,JournalActions[Mi-temps],C$7)=0,"",COUNTIFS(JournalActions[Joueur],$B10,JournalActions[Action],$C$6,JournalActions[Mi-temps],C$7))</f>
        <v/>
      </c>
      <c r="D10" s="6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63" t="str">
        <f>IF(COUNTIFS(JournalActions[Joueur],$B10,JournalActions[Action],$G$6,JournalActions[Mi-temps],G$7)=0,"",COUNTIFS(JournalActions[Joueur],$B10,JournalActions[Action],$G$6,JournalActions[Mi-temps],G$7))</f>
        <v/>
      </c>
      <c r="H10" s="6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6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63" t="str">
        <f>IF(COUNTIFS(JournalActions[Joueur],$B10,JournalActions[Action],$M$6,JournalActions[Mi-temps],M$7)=0,"",COUNTIFS(JournalActions[Joueur],$B10,JournalActions[Action],$M$6,JournalActions[Mi-temps],M$7))</f>
        <v/>
      </c>
      <c r="N10" s="64" t="str">
        <f>IF(COUNTIFS(JournalActions[Joueur],$B10,JournalActions[Action],$M$6,JournalActions[Mi-temps],N$7)=0,"",COUNTIFS(JournalActions[Joueur],$B10,JournalActions[Action],$M$6,JournalActions[Mi-temps],N$7))</f>
        <v/>
      </c>
      <c r="O10" s="103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10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10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10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10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10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Z10"/>
      <c r="AA10"/>
    </row>
    <row r="11" spans="2:31">
      <c r="B11" s="63"/>
      <c r="C11" s="63" t="str">
        <f>IF(COUNTIFS(JournalActions[Joueur],$B11,JournalActions[Action],$C$6,JournalActions[Mi-temps],C$7)=0,"",COUNTIFS(JournalActions[Joueur],$B11,JournalActions[Action],$C$6,JournalActions[Mi-temps],C$7))</f>
        <v/>
      </c>
      <c r="D11" s="6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63" t="str">
        <f>IF(COUNTIFS(JournalActions[Joueur],$B11,JournalActions[Action],$G$6,JournalActions[Mi-temps],G$7)=0,"",COUNTIFS(JournalActions[Joueur],$B11,JournalActions[Action],$G$6,JournalActions[Mi-temps],G$7))</f>
        <v/>
      </c>
      <c r="H11" s="6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6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63" t="str">
        <f>IF(COUNTIFS(JournalActions[Joueur],$B11,JournalActions[Action],$M$6,JournalActions[Mi-temps],M$7)=0,"",COUNTIFS(JournalActions[Joueur],$B11,JournalActions[Action],$M$6,JournalActions[Mi-temps],M$7))</f>
        <v/>
      </c>
      <c r="N11" s="64" t="str">
        <f>IF(COUNTIFS(JournalActions[Joueur],$B11,JournalActions[Action],$M$6,JournalActions[Mi-temps],N$7)=0,"",COUNTIFS(JournalActions[Joueur],$B11,JournalActions[Action],$M$6,JournalActions[Mi-temps],N$7))</f>
        <v/>
      </c>
      <c r="O11" s="103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103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10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10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10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10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Z11"/>
      <c r="AA11"/>
    </row>
    <row r="12" spans="2:31">
      <c r="B12" s="63"/>
      <c r="C12" s="63" t="str">
        <f>IF(COUNTIFS(JournalActions[Joueur],$B12,JournalActions[Action],$C$6,JournalActions[Mi-temps],C$7)=0,"",COUNTIFS(JournalActions[Joueur],$B12,JournalActions[Action],$C$6,JournalActions[Mi-temps],C$7))</f>
        <v/>
      </c>
      <c r="D12" s="6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63" t="str">
        <f>IF(COUNTIFS(JournalActions[Joueur],$B12,JournalActions[Action],$G$6,JournalActions[Mi-temps],G$7)=0,"",COUNTIFS(JournalActions[Joueur],$B12,JournalActions[Action],$G$6,JournalActions[Mi-temps],G$7))</f>
        <v/>
      </c>
      <c r="H12" s="6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6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63" t="str">
        <f>IF(COUNTIFS(JournalActions[Joueur],$B12,JournalActions[Action],$M$6,JournalActions[Mi-temps],M$7)=0,"",COUNTIFS(JournalActions[Joueur],$B12,JournalActions[Action],$M$6,JournalActions[Mi-temps],M$7))</f>
        <v/>
      </c>
      <c r="N12" s="64" t="str">
        <f>IF(COUNTIFS(JournalActions[Joueur],$B12,JournalActions[Action],$M$6,JournalActions[Mi-temps],N$7)=0,"",COUNTIFS(JournalActions[Joueur],$B12,JournalActions[Action],$M$6,JournalActions[Mi-temps],N$7))</f>
        <v/>
      </c>
      <c r="O12" s="103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10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10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103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10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10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Z12"/>
      <c r="AA12"/>
    </row>
    <row r="13" spans="2:31">
      <c r="B13" s="63"/>
      <c r="C13" s="63" t="str">
        <f>IF(COUNTIFS(JournalActions[Joueur],$B13,JournalActions[Action],$C$6,JournalActions[Mi-temps],C$7)=0,"",COUNTIFS(JournalActions[Joueur],$B13,JournalActions[Action],$C$6,JournalActions[Mi-temps],C$7))</f>
        <v/>
      </c>
      <c r="D13" s="6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63" t="str">
        <f>IF(COUNTIFS(JournalActions[Joueur],$B13,JournalActions[Action],$G$6,JournalActions[Mi-temps],G$7)=0,"",COUNTIFS(JournalActions[Joueur],$B13,JournalActions[Action],$G$6,JournalActions[Mi-temps],G$7))</f>
        <v/>
      </c>
      <c r="H13" s="6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6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63" t="str">
        <f>IF(COUNTIFS(JournalActions[Joueur],$B13,JournalActions[Action],$M$6,JournalActions[Mi-temps],M$7)=0,"",COUNTIFS(JournalActions[Joueur],$B13,JournalActions[Action],$M$6,JournalActions[Mi-temps],M$7))</f>
        <v/>
      </c>
      <c r="N13" s="64" t="str">
        <f>IF(COUNTIFS(JournalActions[Joueur],$B13,JournalActions[Action],$M$6,JournalActions[Mi-temps],N$7)=0,"",COUNTIFS(JournalActions[Joueur],$B13,JournalActions[Action],$M$6,JournalActions[Mi-temps],N$7))</f>
        <v/>
      </c>
      <c r="O13" s="103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10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10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10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10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10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B13" s="25"/>
      <c r="AC13" s="25"/>
      <c r="AD13" s="25"/>
      <c r="AE13" s="25"/>
    </row>
    <row r="14" spans="2:31">
      <c r="B14" s="63"/>
      <c r="C14" s="63" t="str">
        <f>IF(COUNTIFS(JournalActions[Joueur],$B14,JournalActions[Action],$C$6,JournalActions[Mi-temps],C$7)=0,"",COUNTIFS(JournalActions[Joueur],$B14,JournalActions[Action],$C$6,JournalActions[Mi-temps],C$7))</f>
        <v/>
      </c>
      <c r="D14" s="6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63" t="str">
        <f>IF(COUNTIFS(JournalActions[Joueur],$B14,JournalActions[Action],$G$6,JournalActions[Mi-temps],G$7)=0,"",COUNTIFS(JournalActions[Joueur],$B14,JournalActions[Action],$G$6,JournalActions[Mi-temps],G$7))</f>
        <v/>
      </c>
      <c r="H14" s="6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6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63" t="str">
        <f>IF(COUNTIFS(JournalActions[Joueur],$B14,JournalActions[Action],$M$6,JournalActions[Mi-temps],M$7)=0,"",COUNTIFS(JournalActions[Joueur],$B14,JournalActions[Action],$M$6,JournalActions[Mi-temps],M$7))</f>
        <v/>
      </c>
      <c r="N14" s="64" t="str">
        <f>IF(COUNTIFS(JournalActions[Joueur],$B14,JournalActions[Action],$M$6,JournalActions[Mi-temps],N$7)=0,"",COUNTIFS(JournalActions[Joueur],$B14,JournalActions[Action],$M$6,JournalActions[Mi-temps],N$7))</f>
        <v/>
      </c>
      <c r="O14" s="103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10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10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10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10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10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B14" s="25"/>
      <c r="AC14" s="25"/>
      <c r="AD14" s="25"/>
      <c r="AE14" s="25"/>
    </row>
    <row r="15" spans="2:31">
      <c r="B15" s="63"/>
      <c r="C15" s="63" t="str">
        <f>IF(COUNTIFS(JournalActions[Joueur],$B15,JournalActions[Action],$C$6,JournalActions[Mi-temps],C$7)=0,"",COUNTIFS(JournalActions[Joueur],$B15,JournalActions[Action],$C$6,JournalActions[Mi-temps],C$7))</f>
        <v/>
      </c>
      <c r="D15" s="6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63" t="str">
        <f>IF(COUNTIFS(JournalActions[Joueur],$B15,JournalActions[Action],$G$6,JournalActions[Mi-temps],G$7)=0,"",COUNTIFS(JournalActions[Joueur],$B15,JournalActions[Action],$G$6,JournalActions[Mi-temps],G$7))</f>
        <v/>
      </c>
      <c r="H15" s="6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6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63" t="str">
        <f>IF(COUNTIFS(JournalActions[Joueur],$B15,JournalActions[Action],$M$6,JournalActions[Mi-temps],M$7)=0,"",COUNTIFS(JournalActions[Joueur],$B15,JournalActions[Action],$M$6,JournalActions[Mi-temps],M$7))</f>
        <v/>
      </c>
      <c r="N15" s="64" t="str">
        <f>IF(COUNTIFS(JournalActions[Joueur],$B15,JournalActions[Action],$M$6,JournalActions[Mi-temps],N$7)=0,"",COUNTIFS(JournalActions[Joueur],$B15,JournalActions[Action],$M$6,JournalActions[Mi-temps],N$7))</f>
        <v/>
      </c>
      <c r="O15" s="103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10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10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10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10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10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B15" s="25"/>
      <c r="AC15" s="25"/>
      <c r="AD15" s="25"/>
      <c r="AE15" s="25"/>
    </row>
    <row r="16" spans="2:31">
      <c r="B16" s="63"/>
      <c r="C16" s="63" t="str">
        <f>IF(COUNTIFS(JournalActions[Joueur],$B16,JournalActions[Action],$C$6,JournalActions[Mi-temps],C$7)=0,"",COUNTIFS(JournalActions[Joueur],$B16,JournalActions[Action],$C$6,JournalActions[Mi-temps],C$7))</f>
        <v/>
      </c>
      <c r="D16" s="6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63" t="str">
        <f>IF(COUNTIFS(JournalActions[Joueur],$B16,JournalActions[Action],$G$6,JournalActions[Mi-temps],G$7)=0,"",COUNTIFS(JournalActions[Joueur],$B16,JournalActions[Action],$G$6,JournalActions[Mi-temps],G$7))</f>
        <v/>
      </c>
      <c r="H16" s="6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6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63" t="str">
        <f>IF(COUNTIFS(JournalActions[Joueur],$B16,JournalActions[Action],$M$6,JournalActions[Mi-temps],M$7)=0,"",COUNTIFS(JournalActions[Joueur],$B16,JournalActions[Action],$M$6,JournalActions[Mi-temps],M$7))</f>
        <v/>
      </c>
      <c r="N16" s="64" t="str">
        <f>IF(COUNTIFS(JournalActions[Joueur],$B16,JournalActions[Action],$M$6,JournalActions[Mi-temps],N$7)=0,"",COUNTIFS(JournalActions[Joueur],$B16,JournalActions[Action],$M$6,JournalActions[Mi-temps],N$7))</f>
        <v/>
      </c>
      <c r="O16" s="103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10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10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10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10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10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B16" s="25"/>
      <c r="AC16" s="25"/>
      <c r="AD16" s="25"/>
      <c r="AE16" s="25"/>
    </row>
    <row r="17" spans="2:31">
      <c r="B17" s="63"/>
      <c r="C17" s="63" t="str">
        <f>IF(COUNTIFS(JournalActions[Joueur],$B17,JournalActions[Action],$C$6,JournalActions[Mi-temps],C$7)=0,"",COUNTIFS(JournalActions[Joueur],$B17,JournalActions[Action],$C$6,JournalActions[Mi-temps],C$7))</f>
        <v/>
      </c>
      <c r="D17" s="6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63" t="str">
        <f>IF(COUNTIFS(JournalActions[Joueur],$B17,JournalActions[Action],$G$6,JournalActions[Mi-temps],G$7)=0,"",COUNTIFS(JournalActions[Joueur],$B17,JournalActions[Action],$G$6,JournalActions[Mi-temps],G$7))</f>
        <v/>
      </c>
      <c r="H17" s="6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6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63" t="str">
        <f>IF(COUNTIFS(JournalActions[Joueur],$B17,JournalActions[Action],$M$6,JournalActions[Mi-temps],M$7)=0,"",COUNTIFS(JournalActions[Joueur],$B17,JournalActions[Action],$M$6,JournalActions[Mi-temps],M$7))</f>
        <v/>
      </c>
      <c r="N17" s="64" t="str">
        <f>IF(COUNTIFS(JournalActions[Joueur],$B17,JournalActions[Action],$M$6,JournalActions[Mi-temps],N$7)=0,"",COUNTIFS(JournalActions[Joueur],$B17,JournalActions[Action],$M$6,JournalActions[Mi-temps],N$7))</f>
        <v/>
      </c>
      <c r="O17" s="103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10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10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10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10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10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B17" s="25"/>
      <c r="AC17" s="25"/>
      <c r="AD17" s="25"/>
      <c r="AE17" s="25"/>
    </row>
    <row r="18" spans="2:31">
      <c r="B18" s="63"/>
      <c r="C18" s="63" t="str">
        <f>IF(COUNTIFS(JournalActions[Joueur],$B18,JournalActions[Action],$C$6,JournalActions[Mi-temps],C$7)=0,"",COUNTIFS(JournalActions[Joueur],$B18,JournalActions[Action],$C$6,JournalActions[Mi-temps],C$7))</f>
        <v/>
      </c>
      <c r="D18" s="6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63" t="str">
        <f>IF(COUNTIFS(JournalActions[Joueur],$B18,JournalActions[Action],$G$6,JournalActions[Mi-temps],G$7)=0,"",COUNTIFS(JournalActions[Joueur],$B18,JournalActions[Action],$G$6,JournalActions[Mi-temps],G$7))</f>
        <v/>
      </c>
      <c r="H18" s="6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6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63" t="str">
        <f>IF(COUNTIFS(JournalActions[Joueur],$B18,JournalActions[Action],$M$6,JournalActions[Mi-temps],M$7)=0,"",COUNTIFS(JournalActions[Joueur],$B18,JournalActions[Action],$M$6,JournalActions[Mi-temps],M$7))</f>
        <v/>
      </c>
      <c r="N18" s="64" t="str">
        <f>IF(COUNTIFS(JournalActions[Joueur],$B18,JournalActions[Action],$M$6,JournalActions[Mi-temps],N$7)=0,"",COUNTIFS(JournalActions[Joueur],$B18,JournalActions[Action],$M$6,JournalActions[Mi-temps],N$7))</f>
        <v/>
      </c>
      <c r="O18" s="103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10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10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10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10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10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B18" s="25"/>
      <c r="AC18" s="25"/>
      <c r="AD18" s="25"/>
      <c r="AE18" s="25"/>
    </row>
    <row r="19" spans="2:31">
      <c r="B19" s="63"/>
      <c r="C19" s="63" t="str">
        <f>IF(COUNTIFS(JournalActions[Joueur],$B19,JournalActions[Action],$C$6,JournalActions[Mi-temps],C$7)=0,"",COUNTIFS(JournalActions[Joueur],$B19,JournalActions[Action],$C$6,JournalActions[Mi-temps],C$7))</f>
        <v/>
      </c>
      <c r="D19" s="6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63" t="str">
        <f>IF(COUNTIFS(JournalActions[Joueur],$B19,JournalActions[Action],$G$6,JournalActions[Mi-temps],G$7)=0,"",COUNTIFS(JournalActions[Joueur],$B19,JournalActions[Action],$G$6,JournalActions[Mi-temps],G$7))</f>
        <v/>
      </c>
      <c r="H19" s="6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6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63" t="str">
        <f>IF(COUNTIFS(JournalActions[Joueur],$B19,JournalActions[Action],$M$6,JournalActions[Mi-temps],M$7)=0,"",COUNTIFS(JournalActions[Joueur],$B19,JournalActions[Action],$M$6,JournalActions[Mi-temps],M$7))</f>
        <v/>
      </c>
      <c r="N19" s="64" t="str">
        <f>IF(COUNTIFS(JournalActions[Joueur],$B19,JournalActions[Action],$M$6,JournalActions[Mi-temps],N$7)=0,"",COUNTIFS(JournalActions[Joueur],$B19,JournalActions[Action],$M$6,JournalActions[Mi-temps],N$7))</f>
        <v/>
      </c>
      <c r="O19" s="103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10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10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10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10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10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B19" s="25"/>
      <c r="AC19" s="25"/>
      <c r="AD19" s="25"/>
      <c r="AE19" s="25"/>
    </row>
    <row r="20" spans="2:31">
      <c r="B20" s="63"/>
      <c r="C20" s="63" t="str">
        <f>IF(COUNTIFS(JournalActions[Joueur],$B20,JournalActions[Action],$C$6,JournalActions[Mi-temps],C$7)=0,"",COUNTIFS(JournalActions[Joueur],$B20,JournalActions[Action],$C$6,JournalActions[Mi-temps],C$7))</f>
        <v/>
      </c>
      <c r="D20" s="6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63" t="str">
        <f>IF(COUNTIFS(JournalActions[Joueur],$B20,JournalActions[Action],$G$6,JournalActions[Mi-temps],G$7)=0,"",COUNTIFS(JournalActions[Joueur],$B20,JournalActions[Action],$G$6,JournalActions[Mi-temps],G$7))</f>
        <v/>
      </c>
      <c r="H20" s="6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6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63" t="str">
        <f>IF(COUNTIFS(JournalActions[Joueur],$B20,JournalActions[Action],$M$6,JournalActions[Mi-temps],M$7)=0,"",COUNTIFS(JournalActions[Joueur],$B20,JournalActions[Action],$M$6,JournalActions[Mi-temps],M$7))</f>
        <v/>
      </c>
      <c r="N20" s="64" t="str">
        <f>IF(COUNTIFS(JournalActions[Joueur],$B20,JournalActions[Action],$M$6,JournalActions[Mi-temps],N$7)=0,"",COUNTIFS(JournalActions[Joueur],$B20,JournalActions[Action],$M$6,JournalActions[Mi-temps],N$7))</f>
        <v/>
      </c>
      <c r="O20" s="103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103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10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10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10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10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1">
      <c r="B21" s="63"/>
      <c r="C21" s="63" t="str">
        <f>IF(COUNTIFS(JournalActions[Joueur],$B21,JournalActions[Action],$C$6,JournalActions[Mi-temps],C$7)=0,"",COUNTIFS(JournalActions[Joueur],$B21,JournalActions[Action],$C$6,JournalActions[Mi-temps],C$7))</f>
        <v/>
      </c>
      <c r="D21" s="6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63" t="str">
        <f>IF(COUNTIFS(JournalActions[Joueur],$B21,JournalActions[Action],$G$6,JournalActions[Mi-temps],G$7)=0,"",COUNTIFS(JournalActions[Joueur],$B21,JournalActions[Action],$G$6,JournalActions[Mi-temps],G$7))</f>
        <v/>
      </c>
      <c r="H21" s="6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6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63" t="str">
        <f>IF(COUNTIFS(JournalActions[Joueur],$B21,JournalActions[Action],$M$6,JournalActions[Mi-temps],M$7)=0,"",COUNTIFS(JournalActions[Joueur],$B21,JournalActions[Action],$M$6,JournalActions[Mi-temps],M$7))</f>
        <v/>
      </c>
      <c r="N21" s="64" t="str">
        <f>IF(COUNTIFS(JournalActions[Joueur],$B21,JournalActions[Action],$M$6,JournalActions[Mi-temps],N$7)=0,"",COUNTIFS(JournalActions[Joueur],$B21,JournalActions[Action],$M$6,JournalActions[Mi-temps],N$7))</f>
        <v/>
      </c>
      <c r="O21" s="103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10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10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10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10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10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1">
      <c r="B22" s="63"/>
      <c r="C22" s="63" t="str">
        <f>IF(COUNTIFS(JournalActions[Joueur],$B22,JournalActions[Action],$C$6,JournalActions[Mi-temps],C$7)=0,"",COUNTIFS(JournalActions[Joueur],$B22,JournalActions[Action],$C$6,JournalActions[Mi-temps],C$7))</f>
        <v/>
      </c>
      <c r="D22" s="6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63" t="str">
        <f>IF(COUNTIFS(JournalActions[Joueur],$B22,JournalActions[Action],$G$6,JournalActions[Mi-temps],G$7)=0,"",COUNTIFS(JournalActions[Joueur],$B22,JournalActions[Action],$G$6,JournalActions[Mi-temps],G$7))</f>
        <v/>
      </c>
      <c r="H22" s="6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6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63" t="str">
        <f>IF(COUNTIFS(JournalActions[Joueur],$B22,JournalActions[Action],$M$6,JournalActions[Mi-temps],M$7)=0,"",COUNTIFS(JournalActions[Joueur],$B22,JournalActions[Action],$M$6,JournalActions[Mi-temps],M$7))</f>
        <v/>
      </c>
      <c r="N22" s="64" t="str">
        <f>IF(COUNTIFS(JournalActions[Joueur],$B22,JournalActions[Action],$M$6,JournalActions[Mi-temps],N$7)=0,"",COUNTIFS(JournalActions[Joueur],$B22,JournalActions[Action],$M$6,JournalActions[Mi-temps],N$7))</f>
        <v/>
      </c>
      <c r="O22" s="103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103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10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10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10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10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1">
      <c r="B23" s="63"/>
      <c r="C23" s="63" t="str">
        <f>IF(COUNTIFS(JournalActions[Joueur],$B23,JournalActions[Action],$C$6,JournalActions[Mi-temps],C$7)=0,"",COUNTIFS(JournalActions[Joueur],$B23,JournalActions[Action],$C$6,JournalActions[Mi-temps],C$7))</f>
        <v/>
      </c>
      <c r="D23" s="6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63" t="str">
        <f>IF(COUNTIFS(JournalActions[Joueur],$B23,JournalActions[Action],$G$6,JournalActions[Mi-temps],G$7)=0,"",COUNTIFS(JournalActions[Joueur],$B23,JournalActions[Action],$G$6,JournalActions[Mi-temps],G$7))</f>
        <v/>
      </c>
      <c r="H23" s="6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6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63" t="str">
        <f>IF(COUNTIFS(JournalActions[Joueur],$B23,JournalActions[Action],$M$6,JournalActions[Mi-temps],M$7)=0,"",COUNTIFS(JournalActions[Joueur],$B23,JournalActions[Action],$M$6,JournalActions[Mi-temps],M$7))</f>
        <v/>
      </c>
      <c r="N23" s="64" t="str">
        <f>IF(COUNTIFS(JournalActions[Joueur],$B23,JournalActions[Action],$M$6,JournalActions[Mi-temps],N$7)=0,"",COUNTIFS(JournalActions[Joueur],$B23,JournalActions[Action],$M$6,JournalActions[Mi-temps],N$7))</f>
        <v/>
      </c>
      <c r="O23" s="103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10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10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10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10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10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1">
      <c r="B24" s="63"/>
      <c r="C24" s="63" t="str">
        <f>IF(COUNTIFS(JournalActions[Joueur],$B24,JournalActions[Action],$C$6,JournalActions[Mi-temps],C$7)=0,"",COUNTIFS(JournalActions[Joueur],$B24,JournalActions[Action],$C$6,JournalActions[Mi-temps],C$7))</f>
        <v/>
      </c>
      <c r="D24" s="6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63" t="str">
        <f>IF(COUNTIFS(JournalActions[Joueur],$B24,JournalActions[Action],$G$6,JournalActions[Mi-temps],G$7)=0,"",COUNTIFS(JournalActions[Joueur],$B24,JournalActions[Action],$G$6,JournalActions[Mi-temps],G$7))</f>
        <v/>
      </c>
      <c r="H24" s="6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6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63" t="str">
        <f>IF(COUNTIFS(JournalActions[Joueur],$B24,JournalActions[Action],$M$6,JournalActions[Mi-temps],M$7)=0,"",COUNTIFS(JournalActions[Joueur],$B24,JournalActions[Action],$M$6,JournalActions[Mi-temps],M$7))</f>
        <v/>
      </c>
      <c r="N24" s="64" t="str">
        <f>IF(COUNTIFS(JournalActions[Joueur],$B24,JournalActions[Action],$M$6,JournalActions[Mi-temps],N$7)=0,"",COUNTIFS(JournalActions[Joueur],$B24,JournalActions[Action],$M$6,JournalActions[Mi-temps],N$7))</f>
        <v/>
      </c>
      <c r="O24" s="103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10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10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10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10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10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1">
      <c r="B25" s="63"/>
      <c r="C25" s="63" t="str">
        <f>IF(COUNTIFS(JournalActions[Joueur],$B25,JournalActions[Action],$C$6,JournalActions[Mi-temps],C$7)=0,"",COUNTIFS(JournalActions[Joueur],$B25,JournalActions[Action],$C$6,JournalActions[Mi-temps],C$7))</f>
        <v/>
      </c>
      <c r="D25" s="6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63" t="str">
        <f>IF(COUNTIFS(JournalActions[Joueur],$B25,JournalActions[Action],$G$6,JournalActions[Mi-temps],G$7)=0,"",COUNTIFS(JournalActions[Joueur],$B25,JournalActions[Action],$G$6,JournalActions[Mi-temps],G$7))</f>
        <v/>
      </c>
      <c r="H25" s="6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6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63" t="str">
        <f>IF(COUNTIFS(JournalActions[Joueur],$B25,JournalActions[Action],$M$6,JournalActions[Mi-temps],M$7)=0,"",COUNTIFS(JournalActions[Joueur],$B25,JournalActions[Action],$M$6,JournalActions[Mi-temps],M$7))</f>
        <v/>
      </c>
      <c r="N25" s="64" t="str">
        <f>IF(COUNTIFS(JournalActions[Joueur],$B25,JournalActions[Action],$M$6,JournalActions[Mi-temps],N$7)=0,"",COUNTIFS(JournalActions[Joueur],$B25,JournalActions[Action],$M$6,JournalActions[Mi-temps],N$7))</f>
        <v/>
      </c>
      <c r="O25" s="103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10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10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10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10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10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1">
      <c r="B26" s="63"/>
      <c r="C26" s="63" t="str">
        <f>IF(COUNTIFS(JournalActions[Joueur],$B26,JournalActions[Action],$C$6,JournalActions[Mi-temps],C$7)=0,"",COUNTIFS(JournalActions[Joueur],$B26,JournalActions[Action],$C$6,JournalActions[Mi-temps],C$7))</f>
        <v/>
      </c>
      <c r="D26" s="6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63" t="str">
        <f>IF(COUNTIFS(JournalActions[Joueur],$B26,JournalActions[Action],$G$6,JournalActions[Mi-temps],G$7)=0,"",COUNTIFS(JournalActions[Joueur],$B26,JournalActions[Action],$G$6,JournalActions[Mi-temps],G$7))</f>
        <v/>
      </c>
      <c r="H26" s="6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6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63" t="str">
        <f>IF(COUNTIFS(JournalActions[Joueur],$B26,JournalActions[Action],$M$6,JournalActions[Mi-temps],M$7)=0,"",COUNTIFS(JournalActions[Joueur],$B26,JournalActions[Action],$M$6,JournalActions[Mi-temps],M$7))</f>
        <v/>
      </c>
      <c r="N26" s="64" t="str">
        <f>IF(COUNTIFS(JournalActions[Joueur],$B26,JournalActions[Action],$M$6,JournalActions[Mi-temps],N$7)=0,"",COUNTIFS(JournalActions[Joueur],$B26,JournalActions[Action],$M$6,JournalActions[Mi-temps],N$7))</f>
        <v/>
      </c>
      <c r="O26" s="103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10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103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10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10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10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1">
      <c r="B27" s="63"/>
      <c r="C27" s="63" t="str">
        <f>IF(COUNTIFS(JournalActions[Joueur],$B27,JournalActions[Action],$C$6,JournalActions[Mi-temps],C$7)=0,"",COUNTIFS(JournalActions[Joueur],$B27,JournalActions[Action],$C$6,JournalActions[Mi-temps],C$7))</f>
        <v/>
      </c>
      <c r="D27" s="6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63" t="str">
        <f>IF(COUNTIFS(JournalActions[Joueur],$B27,JournalActions[Action],$G$6,JournalActions[Mi-temps],G$7)=0,"",COUNTIFS(JournalActions[Joueur],$B27,JournalActions[Action],$G$6,JournalActions[Mi-temps],G$7))</f>
        <v/>
      </c>
      <c r="H27" s="6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6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63" t="str">
        <f>IF(COUNTIFS(JournalActions[Joueur],$B27,JournalActions[Action],$M$6,JournalActions[Mi-temps],M$7)=0,"",COUNTIFS(JournalActions[Joueur],$B27,JournalActions[Action],$M$6,JournalActions[Mi-temps],M$7))</f>
        <v/>
      </c>
      <c r="N27" s="64" t="str">
        <f>IF(COUNTIFS(JournalActions[Joueur],$B27,JournalActions[Action],$M$6,JournalActions[Mi-temps],N$7)=0,"",COUNTIFS(JournalActions[Joueur],$B27,JournalActions[Action],$M$6,JournalActions[Mi-temps],N$7))</f>
        <v/>
      </c>
      <c r="O27" s="103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10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10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103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10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10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1">
      <c r="B28" s="63"/>
      <c r="C28" s="63" t="str">
        <f>IF(COUNTIFS(JournalActions[Joueur],$B28,JournalActions[Action],$C$6,JournalActions[Mi-temps],C$7)=0,"",COUNTIFS(JournalActions[Joueur],$B28,JournalActions[Action],$C$6,JournalActions[Mi-temps],C$7))</f>
        <v/>
      </c>
      <c r="D28" s="6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63" t="str">
        <f>IF(COUNTIFS(JournalActions[Joueur],$B28,JournalActions[Action],$G$6,JournalActions[Mi-temps],G$7)=0,"",COUNTIFS(JournalActions[Joueur],$B28,JournalActions[Action],$G$6,JournalActions[Mi-temps],G$7))</f>
        <v/>
      </c>
      <c r="H28" s="6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6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63" t="str">
        <f>IF(COUNTIFS(JournalActions[Joueur],$B28,JournalActions[Action],$M$6,JournalActions[Mi-temps],M$7)=0,"",COUNTIFS(JournalActions[Joueur],$B28,JournalActions[Action],$M$6,JournalActions[Mi-temps],M$7))</f>
        <v/>
      </c>
      <c r="N28" s="64" t="str">
        <f>IF(COUNTIFS(JournalActions[Joueur],$B28,JournalActions[Action],$M$6,JournalActions[Mi-temps],N$7)=0,"",COUNTIFS(JournalActions[Joueur],$B28,JournalActions[Action],$M$6,JournalActions[Mi-temps],N$7))</f>
        <v/>
      </c>
      <c r="O28" s="103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10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10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10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10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10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1">
      <c r="B29" s="63"/>
      <c r="C29" s="63" t="str">
        <f>IF(COUNTIFS(JournalActions[Joueur],$B29,JournalActions[Action],$C$6,JournalActions[Mi-temps],C$7)=0,"",COUNTIFS(JournalActions[Joueur],$B29,JournalActions[Action],$C$6,JournalActions[Mi-temps],C$7))</f>
        <v/>
      </c>
      <c r="D29" s="6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63" t="str">
        <f>IF(COUNTIFS(JournalActions[Joueur],$B29,JournalActions[Action],$G$6,JournalActions[Mi-temps],G$7)=0,"",COUNTIFS(JournalActions[Joueur],$B29,JournalActions[Action],$G$6,JournalActions[Mi-temps],G$7))</f>
        <v/>
      </c>
      <c r="H29" s="6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6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63" t="str">
        <f>IF(COUNTIFS(JournalActions[Joueur],$B29,JournalActions[Action],$M$6,JournalActions[Mi-temps],M$7)=0,"",COUNTIFS(JournalActions[Joueur],$B29,JournalActions[Action],$M$6,JournalActions[Mi-temps],M$7))</f>
        <v/>
      </c>
      <c r="N29" s="64" t="str">
        <f>IF(COUNTIFS(JournalActions[Joueur],$B29,JournalActions[Action],$M$6,JournalActions[Mi-temps],N$7)=0,"",COUNTIFS(JournalActions[Joueur],$B29,JournalActions[Action],$M$6,JournalActions[Mi-temps],N$7))</f>
        <v/>
      </c>
      <c r="O29" s="103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10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10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103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10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10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1">
      <c r="B30" s="61" t="s">
        <v>92</v>
      </c>
      <c r="C30" s="63" t="str">
        <f>IF(COUNTIFS(JournalActions[Joueur],$B30,JournalActions[Action],$C$6,JournalActions[Mi-temps],C$7)=0,"",COUNTIFS(JournalActions[Joueur],$B30,JournalActions[Action],$C$6,JournalActions[Mi-temps],C$7))</f>
        <v/>
      </c>
      <c r="D30" s="6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63" t="str">
        <f>IF(COUNTIFS(JournalActions[Joueur],$B30,JournalActions[Action],$G$6,JournalActions[Mi-temps],G$7)=0,"",COUNTIFS(JournalActions[Joueur],$B30,JournalActions[Action],$G$6,JournalActions[Mi-temps],G$7))</f>
        <v/>
      </c>
      <c r="H30" s="6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6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63" t="str">
        <f>IF(COUNTIFS(JournalActions[Joueur],$B30,JournalActions[Action],$M$6,JournalActions[Mi-temps],M$7)=0,"",COUNTIFS(JournalActions[Joueur],$B30,JournalActions[Action],$M$6,JournalActions[Mi-temps],M$7))</f>
        <v/>
      </c>
      <c r="N30" s="64" t="str">
        <f>IF(COUNTIFS(JournalActions[Joueur],$B30,JournalActions[Action],$M$6,JournalActions[Mi-temps],N$7)=0,"",COUNTIFS(JournalActions[Joueur],$B30,JournalActions[Action],$M$6,JournalActions[Mi-temps],N$7))</f>
        <v/>
      </c>
      <c r="O30" s="103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10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10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10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10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10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1">
      <c r="B31" s="62" t="s">
        <v>82</v>
      </c>
      <c r="C31" s="67" t="str">
        <f>IF(COUNTIFS(JournalActions[Joueur],$B31,JournalActions[Action],$C$6,JournalActions[Mi-temps],C$7)=0,"",COUNTIFS(JournalActions[Joueur],$B31,JournalActions[Action],$C$6,JournalActions[Mi-temps],C$7))</f>
        <v/>
      </c>
      <c r="D31" s="66" t="str">
        <f>IF(COUNTIFS(JournalActions[Joueur],$B31,JournalActions[Action],$C$6,JournalActions[Mi-temps],D$7)=0,"",COUNTIFS(JournalActions[Joueur],$B31,JournalActions[Action],$C$6,JournalActions[Mi-temps],D$7))</f>
        <v/>
      </c>
      <c r="E31" s="65" t="str">
        <f>IF(COUNTIFS(JournalActions[Joueur],$B31,JournalActions[Action],$E$6,JournalActions[Mi-temps],E$7)=0,"",COUNTIFS(JournalActions[Joueur],$B31,JournalActions[Action],$E$6,JournalActions[Mi-temps],E$7))</f>
        <v/>
      </c>
      <c r="F31" s="65" t="str">
        <f>IF(COUNTIFS(JournalActions[Joueur],$B31,JournalActions[Action],$E$6,JournalActions[Mi-temps],F$7)=0,"",COUNTIFS(JournalActions[Joueur],$B31,JournalActions[Action],$E$6,JournalActions[Mi-temps],F$7))</f>
        <v/>
      </c>
      <c r="G31" s="67" t="str">
        <f>IF(COUNTIFS(JournalActions[Joueur],$B31,JournalActions[Action],$G$6,JournalActions[Mi-temps],G$7)=0,"",COUNTIFS(JournalActions[Joueur],$B31,JournalActions[Action],$G$6,JournalActions[Mi-temps],G$7))</f>
        <v/>
      </c>
      <c r="H31" s="66" t="str">
        <f>IF(COUNTIFS(JournalActions[Joueur],$B31,JournalActions[Action],$G$6,JournalActions[Mi-temps],H$7)=0,"",COUNTIFS(JournalActions[Joueur],$B31,JournalActions[Action],$G$6,JournalActions[Mi-temps],H$7))</f>
        <v/>
      </c>
      <c r="I31" s="65" t="str">
        <f>IF(COUNTIFS(JournalActions[Joueur],$B31,JournalActions[Action],$I$6,JournalActions[Mi-temps],I$7)=0,"",COUNTIFS(JournalActions[Joueur],$B31,JournalActions[Action],$I$6,JournalActions[Mi-temps],I$7))</f>
        <v/>
      </c>
      <c r="J31" s="65" t="str">
        <f>IF(COUNTIFS(JournalActions[Joueur],$B31,JournalActions[Action],$I$6,JournalActions[Mi-temps],J$7)=0,"",COUNTIFS(JournalActions[Joueur],$B31,JournalActions[Action],$I$6,JournalActions[Mi-temps],J$7))</f>
        <v/>
      </c>
      <c r="K31" s="67" t="str">
        <f>IF(COUNTIFS(JournalActions[Joueur],$B31,JournalActions[Action],$K$6,JournalActions[Mi-temps],K$7)=0,"",COUNTIFS(JournalActions[Joueur],$B31,JournalActions[Action],$K$6,JournalActions[Mi-temps],K$7))</f>
        <v/>
      </c>
      <c r="L31" s="65" t="str">
        <f>IF(COUNTIFS(JournalActions[Joueur],$B31,JournalActions[Action],$K$6,JournalActions[Mi-temps],L$7)=0,"",COUNTIFS(JournalActions[Joueur],$B31,JournalActions[Action],$K$6,JournalActions[Mi-temps],L$7))</f>
        <v/>
      </c>
      <c r="M31" s="67" t="str">
        <f>IF(COUNTIFS(JournalActions[Joueur],$B31,JournalActions[Action],$M$6,JournalActions[Mi-temps],M$7)=0,"",COUNTIFS(JournalActions[Joueur],$B31,JournalActions[Action],$M$6,JournalActions[Mi-temps],M$7))</f>
        <v/>
      </c>
      <c r="N31" s="66" t="str">
        <f>IF(COUNTIFS(JournalActions[Joueur],$B31,JournalActions[Action],$M$6,JournalActions[Mi-temps],N$7)=0,"",COUNTIFS(JournalActions[Joueur],$B31,JournalActions[Action],$M$6,JournalActions[Mi-temps],N$7))</f>
        <v/>
      </c>
      <c r="O31" s="104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10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10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10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10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10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1" s="25" customFormat="1" ht="22" customHeight="1">
      <c r="B32" s="87" t="s">
        <v>269</v>
      </c>
      <c r="C32" s="88">
        <f>SUM(C8:C31)</f>
        <v>0</v>
      </c>
      <c r="D32" s="89">
        <f t="shared" ref="D32:T32" si="0">SUM(D8:D31)</f>
        <v>0</v>
      </c>
      <c r="E32" s="88">
        <f t="shared" si="0"/>
        <v>0</v>
      </c>
      <c r="F32" s="89">
        <f t="shared" si="0"/>
        <v>0</v>
      </c>
      <c r="G32" s="88">
        <f t="shared" si="0"/>
        <v>0</v>
      </c>
      <c r="H32" s="89">
        <f t="shared" si="0"/>
        <v>0</v>
      </c>
      <c r="I32" s="88">
        <f t="shared" si="0"/>
        <v>0</v>
      </c>
      <c r="J32" s="89">
        <f t="shared" si="0"/>
        <v>0</v>
      </c>
      <c r="K32" s="88">
        <f t="shared" si="0"/>
        <v>0</v>
      </c>
      <c r="L32" s="89">
        <f t="shared" si="0"/>
        <v>0</v>
      </c>
      <c r="M32" s="88">
        <f t="shared" si="0"/>
        <v>0</v>
      </c>
      <c r="N32" s="89">
        <f t="shared" si="0"/>
        <v>0</v>
      </c>
      <c r="O32" s="209">
        <f t="shared" si="0"/>
        <v>0</v>
      </c>
      <c r="P32" s="209">
        <f t="shared" si="0"/>
        <v>0</v>
      </c>
      <c r="Q32" s="209">
        <f t="shared" si="0"/>
        <v>0</v>
      </c>
      <c r="R32" s="209">
        <f t="shared" si="0"/>
        <v>0</v>
      </c>
      <c r="S32" s="209">
        <f t="shared" si="0"/>
        <v>0</v>
      </c>
      <c r="T32" s="209">
        <f t="shared" si="0"/>
        <v>0</v>
      </c>
    </row>
    <row r="33" spans="2:20" s="76" customFormat="1" ht="25" customHeight="1">
      <c r="B33" s="90" t="s">
        <v>268</v>
      </c>
      <c r="C33" s="179">
        <f>C32+D32</f>
        <v>0</v>
      </c>
      <c r="D33" s="180"/>
      <c r="E33" s="202">
        <f t="shared" ref="E33" si="1">E32+F32</f>
        <v>0</v>
      </c>
      <c r="F33" s="202"/>
      <c r="G33" s="179">
        <f t="shared" ref="G33" si="2">G32+H32</f>
        <v>0</v>
      </c>
      <c r="H33" s="180"/>
      <c r="I33" s="179">
        <f>I32+J32</f>
        <v>0</v>
      </c>
      <c r="J33" s="180"/>
      <c r="K33" s="179">
        <f t="shared" ref="K33" si="3">K32+L32</f>
        <v>0</v>
      </c>
      <c r="L33" s="180"/>
      <c r="M33" s="202">
        <f t="shared" ref="M33" si="4">M32+N32</f>
        <v>0</v>
      </c>
      <c r="N33" s="180"/>
      <c r="O33" s="210"/>
      <c r="P33" s="210"/>
      <c r="Q33" s="210"/>
      <c r="R33" s="210"/>
      <c r="S33" s="210"/>
      <c r="T33" s="210"/>
    </row>
    <row r="34" spans="2:20" s="25" customFormat="1"/>
    <row r="35" spans="2:20" s="25" customFormat="1"/>
    <row r="36" spans="2:20" ht="14">
      <c r="B36" s="25"/>
      <c r="C36" s="91" t="s">
        <v>235</v>
      </c>
      <c r="D36" s="91" t="s">
        <v>313</v>
      </c>
      <c r="E36" s="92" t="s">
        <v>234</v>
      </c>
      <c r="F36" s="25"/>
      <c r="G36" s="198" t="s">
        <v>263</v>
      </c>
      <c r="H36" s="199"/>
      <c r="J36" s="198" t="s">
        <v>78</v>
      </c>
      <c r="K36" s="198" t="s">
        <v>237</v>
      </c>
      <c r="L36" s="204"/>
      <c r="M36" s="199"/>
      <c r="N36" s="199" t="s">
        <v>264</v>
      </c>
    </row>
    <row r="37" spans="2:20" ht="14">
      <c r="B37" s="25"/>
      <c r="C37" s="71" t="s">
        <v>232</v>
      </c>
      <c r="D37" s="71">
        <f>COUNTIFS(JournalActions[Action],ACT_TO_NS_G,JournalActions[Mi-temps],"MT1")</f>
        <v>0</v>
      </c>
      <c r="E37" s="72">
        <f>COUNTIFS(JournalActions[Action],ACT_TO_NS_P,JournalActions[Mi-temps],"MT1")
+COUNTIFS(JournalActions[Action],ACT_TO_NS_PAS_DROIT,JournalActions[Mi-temps],"MT1")</f>
        <v>0</v>
      </c>
      <c r="F37" s="25"/>
      <c r="G37" s="71" t="s">
        <v>237</v>
      </c>
      <c r="H37" s="7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5"/>
      <c r="J37" s="203"/>
      <c r="K37" s="105" t="s">
        <v>243</v>
      </c>
      <c r="L37" s="101" t="s">
        <v>262</v>
      </c>
      <c r="M37" s="106" t="s">
        <v>82</v>
      </c>
      <c r="N37" s="205"/>
    </row>
    <row r="38" spans="2:20">
      <c r="B38" s="25"/>
      <c r="C38" s="41" t="s">
        <v>265</v>
      </c>
      <c r="D38" s="41">
        <f>COUNTIFS(JournalActions[Action],ACT_TO_ADV_PERDUE,JournalActions[Mi-temps],"MT1")</f>
        <v>0</v>
      </c>
      <c r="E38" s="43">
        <f>COUNTIFS(JournalActions[Action],ACT_TO_ADV_VOLEE,JournalActions[Mi-temps],"MT1")
+COUNTIFS(JournalActions[Action],ACT_TO_ADV_PAS_DROIT,JournalActions[Mi-temps],"MT1")</f>
        <v>0</v>
      </c>
      <c r="F38" s="25"/>
      <c r="G38" s="41" t="s">
        <v>238</v>
      </c>
      <c r="H38" s="43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5"/>
      <c r="J38" s="68" t="s">
        <v>115</v>
      </c>
      <c r="K38" s="103">
        <f>COUNTIFS(JournalActions[Action],ACT_PEN_CONTRE_NOUS,JournalActions[Mi-temps],"MT1",JournalActions[Groupe fautif],"Avant*")</f>
        <v>0</v>
      </c>
      <c r="L38" s="64">
        <f>COUNTIFS(JournalActions[Action],ACT_PEN_CONTRE_NOUS,JournalActions[Mi-temps],"MT1",JournalActions[Groupe fautif],"Trois-quarts*")</f>
        <v>0</v>
      </c>
      <c r="M38" s="6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9">
        <f>COUNTIFS(JournalActions[Action],ACT_PEN_CONTRE_ADV,JournalActions[Mi-temps],"MT1")</f>
        <v>0</v>
      </c>
    </row>
    <row r="39" spans="2:20">
      <c r="B39" s="25"/>
      <c r="C39" s="25"/>
      <c r="D39" s="25"/>
      <c r="E39" s="25"/>
      <c r="F39" s="25"/>
      <c r="G39" s="25"/>
      <c r="H39" s="25"/>
      <c r="I39" s="25"/>
      <c r="J39" s="41" t="s">
        <v>112</v>
      </c>
      <c r="K39" s="97">
        <f>COUNTIFS(JournalActions[Action],ACT_PEN_CONTRE_NOUS,JournalActions[Mi-temps],"MT2",JournalActions[Groupe fautif],"Avant")</f>
        <v>0</v>
      </c>
      <c r="L39" s="43">
        <f>COUNTIFS(JournalActions[Action],ACT_PEN_CONTRE_NOUS,JournalActions[Mi-temps],"MT2",JournalActions[Groupe fautif],"Trois-quarts*")</f>
        <v>0</v>
      </c>
      <c r="M39" s="43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43">
        <f>COUNTIFS(JournalActions[Action],ACT_PEN_CONTRE_ADV,JournalActions[Mi-temps],"MT2")</f>
        <v>0</v>
      </c>
    </row>
    <row r="40" spans="2:20" ht="14">
      <c r="B40" s="25"/>
      <c r="C40" s="91" t="s">
        <v>236</v>
      </c>
      <c r="D40" s="91" t="s">
        <v>313</v>
      </c>
      <c r="E40" s="92" t="s">
        <v>234</v>
      </c>
      <c r="F40" s="25"/>
      <c r="G40" s="198" t="s">
        <v>239</v>
      </c>
      <c r="H40" s="199"/>
      <c r="I40" s="25"/>
      <c r="J40" s="25"/>
      <c r="K40" s="25"/>
      <c r="L40" s="25"/>
      <c r="M40" s="25"/>
      <c r="N40" s="25"/>
    </row>
    <row r="41" spans="2:20" ht="14">
      <c r="B41" s="25"/>
      <c r="C41" s="71" t="s">
        <v>232</v>
      </c>
      <c r="D41" s="71">
        <f>COUNTIFS(JournalActions[Action],ACT_TO_NS_G,JournalActions[Mi-temps],"MT2")</f>
        <v>0</v>
      </c>
      <c r="E41" s="72">
        <f>COUNTIFS(JournalActions[Action],ACT_TO_NS_P,JournalActions[Mi-temps],"MT2")
+COUNTIFS(JournalActions[Action],ACT_TO_NS_PAS_DROIT,JournalActions[Mi-temps],"MT2")</f>
        <v>0</v>
      </c>
      <c r="F41" s="25"/>
      <c r="G41" s="71" t="s">
        <v>237</v>
      </c>
      <c r="H41" s="7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5"/>
      <c r="J41" s="93" t="s">
        <v>29</v>
      </c>
      <c r="K41" s="94"/>
      <c r="L41" s="95" t="s">
        <v>237</v>
      </c>
      <c r="M41" s="83" t="s">
        <v>264</v>
      </c>
      <c r="N41" s="25"/>
    </row>
    <row r="42" spans="2:20">
      <c r="B42" s="25"/>
      <c r="C42" s="41" t="s">
        <v>265</v>
      </c>
      <c r="D42" s="41">
        <f>COUNTIFS(JournalActions[Action],ACT_TO_ADV_PERDUE,JournalActions[Mi-temps],"MT2")</f>
        <v>0</v>
      </c>
      <c r="E42" s="43">
        <f>COUNTIFS(JournalActions[Action],ACT_TO_ADV_VOLEE,JournalActions[Mi-temps],"MT2")
+COUNTIFS(JournalActions[Action],ACT_TO_ADV_PAS_DROIT,JournalActions[Mi-temps],"MT2")</f>
        <v>0</v>
      </c>
      <c r="F42" s="25"/>
      <c r="G42" s="41" t="s">
        <v>238</v>
      </c>
      <c r="H42" s="43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5"/>
      <c r="J42" s="185" t="s">
        <v>31</v>
      </c>
      <c r="K42" s="186"/>
      <c r="L42" s="73">
        <f>COUNTIFS(JournalActions[Action],ACT_PEN_CONTRE_NOUS,JournalActions[Motif penalite],ACT_PEN_MAUL)</f>
        <v>0</v>
      </c>
      <c r="M42" s="73">
        <f>COUNTIFS(JournalActions[Action],ACT_PEN_CONTRE_ADV,JournalActions[Motif penalite],ACT_PEN_MAUL)</f>
        <v>0</v>
      </c>
      <c r="N42" s="25"/>
    </row>
    <row r="43" spans="2:20">
      <c r="B43" s="25"/>
      <c r="C43" s="25"/>
      <c r="D43" s="25"/>
      <c r="E43" s="25"/>
      <c r="F43" s="25"/>
      <c r="G43" s="25"/>
      <c r="H43" s="25"/>
      <c r="I43" s="25"/>
      <c r="J43" s="183" t="s">
        <v>33</v>
      </c>
      <c r="K43" s="184"/>
      <c r="L43" s="44">
        <f>COUNTIFS(JournalActions[Action],ACT_PEN_CONTRE_NOUS,JournalActions[Motif penalite],ACT_PEN_RUCK)</f>
        <v>0</v>
      </c>
      <c r="M43" s="44">
        <f>COUNTIFS(JournalActions[Action],ACT_PEN_CONTRE_ADV,JournalActions[Motif penalite],ACT_PEN_RUCK)</f>
        <v>0</v>
      </c>
      <c r="N43" s="25"/>
    </row>
    <row r="44" spans="2:20" ht="14">
      <c r="B44" s="25"/>
      <c r="C44" s="91" t="s">
        <v>339</v>
      </c>
      <c r="D44" s="91" t="s">
        <v>313</v>
      </c>
      <c r="E44" s="92" t="s">
        <v>234</v>
      </c>
      <c r="F44" s="25"/>
      <c r="G44" s="198" t="s">
        <v>355</v>
      </c>
      <c r="H44" s="199"/>
      <c r="I44" s="25"/>
      <c r="J44" s="185" t="s">
        <v>35</v>
      </c>
      <c r="K44" s="186"/>
      <c r="L44" s="73">
        <f>COUNTIFS(JournalActions[Action],ACT_PEN_CONTRE_NOUS,JournalActions[Motif penalite],ACT_PEN_HORS_JEU)</f>
        <v>0</v>
      </c>
      <c r="M44" s="73">
        <f>COUNTIFS(JournalActions[Action],ACT_PEN_CONTRE_ADV,JournalActions[Motif penalite],ACT_PEN_HORS_JEU)</f>
        <v>0</v>
      </c>
      <c r="N44" s="25"/>
    </row>
    <row r="45" spans="2:20">
      <c r="B45" s="25"/>
      <c r="C45" s="71" t="s">
        <v>232</v>
      </c>
      <c r="D45" s="71">
        <f>COUNTIFS(JournalActions[Action],ACT_ME_NS_G,JournalActions[Mi-temps],"MT1")</f>
        <v>0</v>
      </c>
      <c r="E45" s="72">
        <f>COUNTIFS(JournalActions[Action],ACT_ME_NS_P,JournalActions[Mi-temps],"MT1")</f>
        <v>0</v>
      </c>
      <c r="F45" s="25"/>
      <c r="G45" s="71" t="s">
        <v>115</v>
      </c>
      <c r="H45" s="112">
        <v>0</v>
      </c>
      <c r="I45" s="25"/>
      <c r="J45" s="183" t="s">
        <v>37</v>
      </c>
      <c r="K45" s="184"/>
      <c r="L45" s="44">
        <f>COUNTIFS(JournalActions[Action],ACT_PEN_CONTRE_NOUS,JournalActions[Motif penalite],ACT_PEN_PL_A_2)</f>
        <v>0</v>
      </c>
      <c r="M45" s="44">
        <f>COUNTIFS(JournalActions[Action],ACT_PEN_CONTRE_ADV,JournalActions[Motif penalite],ACT_PEN_PL_A_2)</f>
        <v>0</v>
      </c>
      <c r="N45" s="25"/>
    </row>
    <row r="46" spans="2:20">
      <c r="B46" s="25"/>
      <c r="C46" s="41" t="s">
        <v>265</v>
      </c>
      <c r="D46" s="41">
        <f>COUNTIFS(JournalActions[Action],ACT_ME_ADV_P,JournalActions[Mi-temps],"MT1")</f>
        <v>0</v>
      </c>
      <c r="E46" s="43">
        <f>COUNTIFS(JournalActions[Action],ACT_ME_ADV_G,JournalActions[Mi-temps],"MT1")</f>
        <v>0</v>
      </c>
      <c r="F46" s="25"/>
      <c r="G46" s="41" t="s">
        <v>112</v>
      </c>
      <c r="H46" s="113">
        <v>0</v>
      </c>
      <c r="I46" s="25"/>
      <c r="J46" s="185" t="s">
        <v>39</v>
      </c>
      <c r="K46" s="186"/>
      <c r="L46" s="73">
        <f>COUNTIFS(JournalActions[Action],ACT_PEN_CONTRE_NOUS,JournalActions[Motif penalite],ACT_PEN_PL_HAUT)</f>
        <v>0</v>
      </c>
      <c r="M46" s="73">
        <f>COUNTIFS(JournalActions[Action],ACT_PEN_CONTRE_ADV,JournalActions[Motif penalite],ACT_PEN_PL_HAUT)</f>
        <v>0</v>
      </c>
      <c r="N46" s="25"/>
    </row>
    <row r="47" spans="2:20">
      <c r="B47" s="25"/>
      <c r="C47" s="25"/>
      <c r="D47" s="25"/>
      <c r="E47" s="25"/>
      <c r="F47" s="25"/>
      <c r="G47" s="114" t="s">
        <v>356</v>
      </c>
      <c r="H47" s="115">
        <v>0</v>
      </c>
      <c r="I47" s="25"/>
      <c r="J47" s="183" t="s">
        <v>259</v>
      </c>
      <c r="K47" s="184"/>
      <c r="L47" s="44">
        <f>COUNTIFS(JournalActions[Action],ACT_PEN_CONTRE_NOUS,JournalActions[Motif penalite],"~?")</f>
        <v>0</v>
      </c>
      <c r="M47" s="44">
        <f>COUNTIFS(JournalActions[Action],ACT_PEN_CONTRE_ADV,JournalActions[Motif penalite],"~?")</f>
        <v>0</v>
      </c>
      <c r="N47" s="25"/>
    </row>
    <row r="48" spans="2:20" ht="14">
      <c r="B48" s="25"/>
      <c r="C48" s="91" t="s">
        <v>340</v>
      </c>
      <c r="D48" s="91" t="s">
        <v>313</v>
      </c>
      <c r="E48" s="92" t="s">
        <v>234</v>
      </c>
      <c r="F48" s="25"/>
      <c r="G48" s="25"/>
      <c r="H48" s="25"/>
      <c r="I48" s="25"/>
      <c r="J48" s="75" t="s">
        <v>45</v>
      </c>
      <c r="K48" s="25"/>
      <c r="L48" s="25"/>
      <c r="M48" s="25"/>
      <c r="N48" s="25"/>
    </row>
    <row r="49" spans="2:14">
      <c r="B49" s="25"/>
      <c r="C49" s="71" t="s">
        <v>232</v>
      </c>
      <c r="D49" s="71">
        <f>COUNTIFS(JournalActions[Action],ACT_ME_NS_G,JournalActions[Mi-temps],"MT2")</f>
        <v>0</v>
      </c>
      <c r="E49" s="72">
        <f>COUNTIFS(JournalActions[Action],ACT_ME_NS_P,JournalActions[Mi-temps],"MT2")</f>
        <v>0</v>
      </c>
      <c r="F49" s="25"/>
      <c r="G49" s="25"/>
      <c r="H49" s="25"/>
      <c r="I49" s="25"/>
      <c r="K49" s="74"/>
      <c r="L49" s="25"/>
      <c r="M49" s="25"/>
      <c r="N49" s="25"/>
    </row>
    <row r="50" spans="2:14">
      <c r="B50" s="25"/>
      <c r="C50" s="41" t="s">
        <v>265</v>
      </c>
      <c r="D50" s="41">
        <f>COUNTIFS(JournalActions[Action],ACT_ME_ADV_P,JournalActions[Mi-temps],"MT2")</f>
        <v>0</v>
      </c>
      <c r="E50" s="43">
        <f>COUNTIFS(JournalActions[Action],ACT_ME_ADV_G,JournalActions[Mi-temps],"MT2")</f>
        <v>0</v>
      </c>
      <c r="F50" s="25"/>
      <c r="G50" s="25"/>
      <c r="H50" s="25"/>
      <c r="I50" s="25"/>
      <c r="J50" s="25"/>
      <c r="K50" s="25"/>
      <c r="L50" s="25"/>
      <c r="M50" s="25"/>
      <c r="N50" s="25"/>
    </row>
    <row r="51" spans="2:14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</row>
    <row r="52" spans="2:14" s="25" customFormat="1"/>
    <row r="53" spans="2:14" s="25" customFormat="1"/>
    <row r="54" spans="2:14" s="25" customFormat="1"/>
    <row r="55" spans="2:14" s="25" customFormat="1" ht="14" thickBot="1"/>
    <row r="56" spans="2:14" s="25" customFormat="1">
      <c r="B56" s="187" t="s">
        <v>341</v>
      </c>
      <c r="C56" s="188"/>
      <c r="D56" s="188"/>
      <c r="E56" s="188"/>
      <c r="F56" s="188"/>
      <c r="G56" s="188"/>
      <c r="H56" s="188"/>
      <c r="I56" s="188"/>
      <c r="J56" s="188"/>
      <c r="K56" s="189"/>
    </row>
    <row r="57" spans="2:14" s="25" customFormat="1">
      <c r="B57" s="190"/>
      <c r="C57" s="191"/>
      <c r="D57" s="191"/>
      <c r="E57" s="191"/>
      <c r="F57" s="191"/>
      <c r="G57" s="191"/>
      <c r="H57" s="191"/>
      <c r="I57" s="191"/>
      <c r="J57" s="191"/>
      <c r="K57" s="192"/>
    </row>
    <row r="58" spans="2:14" s="25" customFormat="1" ht="14" thickBot="1">
      <c r="B58" s="193"/>
      <c r="C58" s="194"/>
      <c r="D58" s="194"/>
      <c r="E58" s="194"/>
      <c r="F58" s="194"/>
      <c r="G58" s="194"/>
      <c r="H58" s="194"/>
      <c r="I58" s="194"/>
      <c r="J58" s="194"/>
      <c r="K58" s="195"/>
    </row>
    <row r="59" spans="2:14" s="25" customFormat="1"/>
    <row r="60" spans="2:14" s="25" customFormat="1" ht="14">
      <c r="B60" s="196" t="s">
        <v>64</v>
      </c>
      <c r="C60" s="198" t="str">
        <f>ACT_TO_NS_G</f>
        <v>Touche à nous conservée</v>
      </c>
      <c r="D60" s="199"/>
      <c r="E60" s="198" t="str">
        <f>ACT_TO_ADV_VOLEE</f>
        <v>Touche à eux volée</v>
      </c>
      <c r="F60" s="199"/>
      <c r="H60" s="200" t="str">
        <f>ACT_TO_NS_P</f>
        <v>Touche à nous perdue</v>
      </c>
      <c r="I60" s="201"/>
      <c r="J60" s="200" t="str">
        <f>ACT_TO_NS_PAS_DROIT</f>
        <v>Touche à nous pas droite</v>
      </c>
      <c r="K60" s="201"/>
    </row>
    <row r="61" spans="2:14" s="25" customFormat="1" ht="14">
      <c r="B61" s="197"/>
      <c r="C61" s="105" t="s">
        <v>115</v>
      </c>
      <c r="D61" s="106" t="s">
        <v>112</v>
      </c>
      <c r="E61" s="105" t="s">
        <v>115</v>
      </c>
      <c r="F61" s="106" t="s">
        <v>112</v>
      </c>
      <c r="H61" s="107" t="s">
        <v>115</v>
      </c>
      <c r="I61" s="108" t="s">
        <v>112</v>
      </c>
      <c r="J61" s="107" t="s">
        <v>115</v>
      </c>
      <c r="K61" s="108" t="s">
        <v>112</v>
      </c>
    </row>
    <row r="62" spans="2:14" s="25" customFormat="1">
      <c r="B62" s="63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63" t="str">
        <f>IF(COUNTIFS(JournalActions[Joueur],$B62,JournalActions[Action],$C$60,JournalActions[Mi-temps],C$61)=0,"",COUNTIFS(JournalActions[Joueur],$B62,JournalActions[Action],$C$60,JournalActions[Mi-temps],C$61))</f>
        <v/>
      </c>
      <c r="D62" s="64" t="str">
        <f>IF(COUNTIFS(JournalActions[Joueur],$B62,JournalActions[Action],$C$60,JournalActions[Mi-temps],D$61)=0,"",COUNTIFS(JournalActions[Joueur],$B62,JournalActions[Action],$C$60,JournalActions[Mi-temps],D$61))</f>
        <v/>
      </c>
      <c r="E62" s="63" t="str">
        <f>IF(COUNTIFS(JournalActions[Joueur],$B62,JournalActions[Action],$E$60,JournalActions[Mi-temps],E$61)=0,"",COUNTIFS(JournalActions[Joueur],$B62,JournalActions[Action],$E$60,JournalActions[Mi-temps],E$61))</f>
        <v/>
      </c>
      <c r="F62" s="64" t="str">
        <f>IF(COUNTIFS(JournalActions[Joueur],$B62,JournalActions[Action],$E$60,JournalActions[Mi-temps],F$61)=0,"",COUNTIFS(JournalActions[Joueur],$B62,JournalActions[Action],$E$60,JournalActions[Mi-temps],F$61))</f>
        <v/>
      </c>
      <c r="H62" s="63" t="str">
        <f>IF(COUNTIFS(JournalActions[Joueur],$B62,JournalActions[Action],$H$60,JournalActions[Mi-temps],H$61)=0,"",COUNTIFS(JournalActions[Joueur],$B62,JournalActions[Action],$H$60,JournalActions[Mi-temps],H$61))</f>
        <v/>
      </c>
      <c r="I62" s="64" t="str">
        <f>IF(COUNTIFS(JournalActions[Joueur],$B62,JournalActions[Action],$H$60,JournalActions[Mi-temps],I$61)=0,"",COUNTIFS(JournalActions[Joueur],$B62,JournalActions[Action],$H$60,JournalActions[Mi-temps],I$61))</f>
        <v/>
      </c>
      <c r="J62" s="63" t="str">
        <f>IF(COUNTIFS(JournalActions[Joueur],$B62,JournalActions[Action],$J$60,JournalActions[Mi-temps],J$61)=0,"",COUNTIFS(JournalActions[Joueur],$B62,JournalActions[Action],$J$60,JournalActions[Mi-temps],J$61))</f>
        <v/>
      </c>
      <c r="K62" s="6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5" customFormat="1">
      <c r="B63" s="63"/>
      <c r="C63" s="63" t="str">
        <f>IF(COUNTIFS(JournalActions[Joueur],$B63,JournalActions[Action],$C$60,JournalActions[Mi-temps],C$61)=0,"",COUNTIFS(JournalActions[Joueur],$B63,JournalActions[Action],$C$60,JournalActions[Mi-temps],C$61))</f>
        <v/>
      </c>
      <c r="D63" s="64" t="str">
        <f>IF(COUNTIFS(JournalActions[Joueur],$B63,JournalActions[Action],$C$60,JournalActions[Mi-temps],D$61)=0,"",COUNTIFS(JournalActions[Joueur],$B63,JournalActions[Action],$C$60,JournalActions[Mi-temps],D$61))</f>
        <v/>
      </c>
      <c r="E63" s="63" t="str">
        <f>IF(COUNTIFS(JournalActions[Joueur],$B63,JournalActions[Action],$E$60,JournalActions[Mi-temps],E$61)=0,"",COUNTIFS(JournalActions[Joueur],$B63,JournalActions[Action],$E$60,JournalActions[Mi-temps],E$61))</f>
        <v/>
      </c>
      <c r="F63" s="64" t="str">
        <f>IF(COUNTIFS(JournalActions[Joueur],$B63,JournalActions[Action],$E$60,JournalActions[Mi-temps],F$61)=0,"",COUNTIFS(JournalActions[Joueur],$B63,JournalActions[Action],$E$60,JournalActions[Mi-temps],F$61))</f>
        <v/>
      </c>
      <c r="H63" s="63" t="str">
        <f>IF(COUNTIFS(JournalActions[Joueur],$B63,JournalActions[Action],$H$60,JournalActions[Mi-temps],H$61)=0,"",COUNTIFS(JournalActions[Joueur],$B63,JournalActions[Action],$H$60,JournalActions[Mi-temps],H$61))</f>
        <v/>
      </c>
      <c r="I63" s="64" t="str">
        <f>IF(COUNTIFS(JournalActions[Joueur],$B63,JournalActions[Action],$H$60,JournalActions[Mi-temps],I$61)=0,"",COUNTIFS(JournalActions[Joueur],$B63,JournalActions[Action],$H$60,JournalActions[Mi-temps],I$61))</f>
        <v/>
      </c>
      <c r="J63" s="63" t="str">
        <f>IF(COUNTIFS(JournalActions[Joueur],$B63,JournalActions[Action],$J$60,JournalActions[Mi-temps],J$61)=0,"",COUNTIFS(JournalActions[Joueur],$B63,JournalActions[Action],$J$60,JournalActions[Mi-temps],J$61))</f>
        <v/>
      </c>
      <c r="K63" s="6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5" customFormat="1">
      <c r="B64" s="63"/>
      <c r="C64" s="63" t="str">
        <f>IF(COUNTIFS(JournalActions[Joueur],$B64,JournalActions[Action],$C$60,JournalActions[Mi-temps],C$61)=0,"",COUNTIFS(JournalActions[Joueur],$B64,JournalActions[Action],$C$60,JournalActions[Mi-temps],C$61))</f>
        <v/>
      </c>
      <c r="D64" s="64" t="str">
        <f>IF(COUNTIFS(JournalActions[Joueur],$B64,JournalActions[Action],$C$60,JournalActions[Mi-temps],D$61)=0,"",COUNTIFS(JournalActions[Joueur],$B64,JournalActions[Action],$C$60,JournalActions[Mi-temps],D$61))</f>
        <v/>
      </c>
      <c r="E64" s="63" t="str">
        <f>IF(COUNTIFS(JournalActions[Joueur],$B64,JournalActions[Action],$E$60,JournalActions[Mi-temps],E$61)=0,"",COUNTIFS(JournalActions[Joueur],$B64,JournalActions[Action],$E$60,JournalActions[Mi-temps],E$61))</f>
        <v/>
      </c>
      <c r="F64" s="64" t="str">
        <f>IF(COUNTIFS(JournalActions[Joueur],$B64,JournalActions[Action],$E$60,JournalActions[Mi-temps],F$61)=0,"",COUNTIFS(JournalActions[Joueur],$B64,JournalActions[Action],$E$60,JournalActions[Mi-temps],F$61))</f>
        <v/>
      </c>
      <c r="H64" s="63" t="str">
        <f>IF(COUNTIFS(JournalActions[Joueur],$B64,JournalActions[Action],$H$60,JournalActions[Mi-temps],H$61)=0,"",COUNTIFS(JournalActions[Joueur],$B64,JournalActions[Action],$H$60,JournalActions[Mi-temps],H$61))</f>
        <v/>
      </c>
      <c r="I64" s="64" t="str">
        <f>IF(COUNTIFS(JournalActions[Joueur],$B64,JournalActions[Action],$H$60,JournalActions[Mi-temps],I$61)=0,"",COUNTIFS(JournalActions[Joueur],$B64,JournalActions[Action],$H$60,JournalActions[Mi-temps],I$61))</f>
        <v/>
      </c>
      <c r="J64" s="63" t="str">
        <f>IF(COUNTIFS(JournalActions[Joueur],$B64,JournalActions[Action],$J$60,JournalActions[Mi-temps],J$61)=0,"",COUNTIFS(JournalActions[Joueur],$B64,JournalActions[Action],$J$60,JournalActions[Mi-temps],J$61))</f>
        <v/>
      </c>
      <c r="K64" s="6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63"/>
      <c r="C65" s="63" t="str">
        <f>IF(COUNTIFS(JournalActions[Joueur],$B65,JournalActions[Action],$C$60,JournalActions[Mi-temps],C$61)=0,"",COUNTIFS(JournalActions[Joueur],$B65,JournalActions[Action],$C$60,JournalActions[Mi-temps],C$61))</f>
        <v/>
      </c>
      <c r="D65" s="64" t="str">
        <f>IF(COUNTIFS(JournalActions[Joueur],$B65,JournalActions[Action],$C$60,JournalActions[Mi-temps],D$61)=0,"",COUNTIFS(JournalActions[Joueur],$B65,JournalActions[Action],$C$60,JournalActions[Mi-temps],D$61))</f>
        <v/>
      </c>
      <c r="E65" s="63" t="str">
        <f>IF(COUNTIFS(JournalActions[Joueur],$B65,JournalActions[Action],$E$60,JournalActions[Mi-temps],E$61)=0,"",COUNTIFS(JournalActions[Joueur],$B65,JournalActions[Action],$E$60,JournalActions[Mi-temps],E$61))</f>
        <v/>
      </c>
      <c r="F65" s="64" t="str">
        <f>IF(COUNTIFS(JournalActions[Joueur],$B65,JournalActions[Action],$E$60,JournalActions[Mi-temps],F$61)=0,"",COUNTIFS(JournalActions[Joueur],$B65,JournalActions[Action],$E$60,JournalActions[Mi-temps],F$61))</f>
        <v/>
      </c>
      <c r="H65" s="63" t="str">
        <f>IF(COUNTIFS(JournalActions[Joueur],$B65,JournalActions[Action],$H$60,JournalActions[Mi-temps],H$61)=0,"",COUNTIFS(JournalActions[Joueur],$B65,JournalActions[Action],$H$60,JournalActions[Mi-temps],H$61))</f>
        <v/>
      </c>
      <c r="I65" s="64" t="str">
        <f>IF(COUNTIFS(JournalActions[Joueur],$B65,JournalActions[Action],$H$60,JournalActions[Mi-temps],I$61)=0,"",COUNTIFS(JournalActions[Joueur],$B65,JournalActions[Action],$H$60,JournalActions[Mi-temps],I$61))</f>
        <v/>
      </c>
      <c r="J65" s="63" t="str">
        <f>IF(COUNTIFS(JournalActions[Joueur],$B65,JournalActions[Action],$J$60,JournalActions[Mi-temps],J$61)=0,"",COUNTIFS(JournalActions[Joueur],$B65,JournalActions[Action],$J$60,JournalActions[Mi-temps],J$61))</f>
        <v/>
      </c>
      <c r="K65" s="6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63"/>
      <c r="C66" s="63" t="str">
        <f>IF(COUNTIFS(JournalActions[Joueur],$B66,JournalActions[Action],$C$60,JournalActions[Mi-temps],C$61)=0,"",COUNTIFS(JournalActions[Joueur],$B66,JournalActions[Action],$C$60,JournalActions[Mi-temps],C$61))</f>
        <v/>
      </c>
      <c r="D66" s="64" t="str">
        <f>IF(COUNTIFS(JournalActions[Joueur],$B66,JournalActions[Action],$C$60,JournalActions[Mi-temps],D$61)=0,"",COUNTIFS(JournalActions[Joueur],$B66,JournalActions[Action],$C$60,JournalActions[Mi-temps],D$61))</f>
        <v/>
      </c>
      <c r="E66" s="63" t="str">
        <f>IF(COUNTIFS(JournalActions[Joueur],$B66,JournalActions[Action],$E$60,JournalActions[Mi-temps],E$61)=0,"",COUNTIFS(JournalActions[Joueur],$B66,JournalActions[Action],$E$60,JournalActions[Mi-temps],E$61))</f>
        <v/>
      </c>
      <c r="F66" s="64" t="str">
        <f>IF(COUNTIFS(JournalActions[Joueur],$B66,JournalActions[Action],$E$60,JournalActions[Mi-temps],F$61)=0,"",COUNTIFS(JournalActions[Joueur],$B66,JournalActions[Action],$E$60,JournalActions[Mi-temps],F$61))</f>
        <v/>
      </c>
      <c r="H66" s="63" t="str">
        <f>IF(COUNTIFS(JournalActions[Joueur],$B66,JournalActions[Action],$H$60,JournalActions[Mi-temps],H$61)=0,"",COUNTIFS(JournalActions[Joueur],$B66,JournalActions[Action],$H$60,JournalActions[Mi-temps],H$61))</f>
        <v/>
      </c>
      <c r="I66" s="64" t="str">
        <f>IF(COUNTIFS(JournalActions[Joueur],$B66,JournalActions[Action],$H$60,JournalActions[Mi-temps],I$61)=0,"",COUNTIFS(JournalActions[Joueur],$B66,JournalActions[Action],$H$60,JournalActions[Mi-temps],I$61))</f>
        <v/>
      </c>
      <c r="J66" s="63" t="str">
        <f>IF(COUNTIFS(JournalActions[Joueur],$B66,JournalActions[Action],$J$60,JournalActions[Mi-temps],J$61)=0,"",COUNTIFS(JournalActions[Joueur],$B66,JournalActions[Action],$J$60,JournalActions[Mi-temps],J$61))</f>
        <v/>
      </c>
      <c r="K66" s="6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63"/>
      <c r="C67" s="63" t="str">
        <f>IF(COUNTIFS(JournalActions[Joueur],$B67,JournalActions[Action],$C$60,JournalActions[Mi-temps],C$61)=0,"",COUNTIFS(JournalActions[Joueur],$B67,JournalActions[Action],$C$60,JournalActions[Mi-temps],C$61))</f>
        <v/>
      </c>
      <c r="D67" s="64" t="str">
        <f>IF(COUNTIFS(JournalActions[Joueur],$B67,JournalActions[Action],$C$60,JournalActions[Mi-temps],D$61)=0,"",COUNTIFS(JournalActions[Joueur],$B67,JournalActions[Action],$C$60,JournalActions[Mi-temps],D$61))</f>
        <v/>
      </c>
      <c r="E67" s="63" t="str">
        <f>IF(COUNTIFS(JournalActions[Joueur],$B67,JournalActions[Action],$E$60,JournalActions[Mi-temps],E$61)=0,"",COUNTIFS(JournalActions[Joueur],$B67,JournalActions[Action],$E$60,JournalActions[Mi-temps],E$61))</f>
        <v/>
      </c>
      <c r="F67" s="64" t="str">
        <f>IF(COUNTIFS(JournalActions[Joueur],$B67,JournalActions[Action],$E$60,JournalActions[Mi-temps],F$61)=0,"",COUNTIFS(JournalActions[Joueur],$B67,JournalActions[Action],$E$60,JournalActions[Mi-temps],F$61))</f>
        <v/>
      </c>
      <c r="H67" s="63" t="str">
        <f>IF(COUNTIFS(JournalActions[Joueur],$B67,JournalActions[Action],$H$60,JournalActions[Mi-temps],H$61)=0,"",COUNTIFS(JournalActions[Joueur],$B67,JournalActions[Action],$H$60,JournalActions[Mi-temps],H$61))</f>
        <v/>
      </c>
      <c r="I67" s="64" t="str">
        <f>IF(COUNTIFS(JournalActions[Joueur],$B67,JournalActions[Action],$H$60,JournalActions[Mi-temps],I$61)=0,"",COUNTIFS(JournalActions[Joueur],$B67,JournalActions[Action],$H$60,JournalActions[Mi-temps],I$61))</f>
        <v/>
      </c>
      <c r="J67" s="63" t="str">
        <f>IF(COUNTIFS(JournalActions[Joueur],$B67,JournalActions[Action],$J$60,JournalActions[Mi-temps],J$61)=0,"",COUNTIFS(JournalActions[Joueur],$B67,JournalActions[Action],$J$60,JournalActions[Mi-temps],J$61))</f>
        <v/>
      </c>
      <c r="K67" s="6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63"/>
      <c r="C68" s="63" t="str">
        <f>IF(COUNTIFS(JournalActions[Joueur],$B68,JournalActions[Action],$C$60,JournalActions[Mi-temps],C$61)=0,"",COUNTIFS(JournalActions[Joueur],$B68,JournalActions[Action],$C$60,JournalActions[Mi-temps],C$61))</f>
        <v/>
      </c>
      <c r="D68" s="64" t="str">
        <f>IF(COUNTIFS(JournalActions[Joueur],$B68,JournalActions[Action],$C$60,JournalActions[Mi-temps],D$61)=0,"",COUNTIFS(JournalActions[Joueur],$B68,JournalActions[Action],$C$60,JournalActions[Mi-temps],D$61))</f>
        <v/>
      </c>
      <c r="E68" s="63" t="str">
        <f>IF(COUNTIFS(JournalActions[Joueur],$B68,JournalActions[Action],$E$60,JournalActions[Mi-temps],E$61)=0,"",COUNTIFS(JournalActions[Joueur],$B68,JournalActions[Action],$E$60,JournalActions[Mi-temps],E$61))</f>
        <v/>
      </c>
      <c r="F68" s="64" t="str">
        <f>IF(COUNTIFS(JournalActions[Joueur],$B68,JournalActions[Action],$E$60,JournalActions[Mi-temps],F$61)=0,"",COUNTIFS(JournalActions[Joueur],$B68,JournalActions[Action],$E$60,JournalActions[Mi-temps],F$61))</f>
        <v/>
      </c>
      <c r="H68" s="63" t="str">
        <f>IF(COUNTIFS(JournalActions[Joueur],$B68,JournalActions[Action],$H$60,JournalActions[Mi-temps],H$61)=0,"",COUNTIFS(JournalActions[Joueur],$B68,JournalActions[Action],$H$60,JournalActions[Mi-temps],H$61))</f>
        <v/>
      </c>
      <c r="I68" s="64" t="str">
        <f>IF(COUNTIFS(JournalActions[Joueur],$B68,JournalActions[Action],$H$60,JournalActions[Mi-temps],I$61)=0,"",COUNTIFS(JournalActions[Joueur],$B68,JournalActions[Action],$H$60,JournalActions[Mi-temps],I$61))</f>
        <v/>
      </c>
      <c r="J68" s="63" t="str">
        <f>IF(COUNTIFS(JournalActions[Joueur],$B68,JournalActions[Action],$J$60,JournalActions[Mi-temps],J$61)=0,"",COUNTIFS(JournalActions[Joueur],$B68,JournalActions[Action],$J$60,JournalActions[Mi-temps],J$61))</f>
        <v/>
      </c>
      <c r="K68" s="6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63"/>
      <c r="C69" s="63" t="str">
        <f>IF(COUNTIFS(JournalActions[Joueur],$B69,JournalActions[Action],$C$60,JournalActions[Mi-temps],C$61)=0,"",COUNTIFS(JournalActions[Joueur],$B69,JournalActions[Action],$C$60,JournalActions[Mi-temps],C$61))</f>
        <v/>
      </c>
      <c r="D69" s="64" t="str">
        <f>IF(COUNTIFS(JournalActions[Joueur],$B69,JournalActions[Action],$C$60,JournalActions[Mi-temps],D$61)=0,"",COUNTIFS(JournalActions[Joueur],$B69,JournalActions[Action],$C$60,JournalActions[Mi-temps],D$61))</f>
        <v/>
      </c>
      <c r="E69" s="63" t="str">
        <f>IF(COUNTIFS(JournalActions[Joueur],$B69,JournalActions[Action],$E$60,JournalActions[Mi-temps],E$61)=0,"",COUNTIFS(JournalActions[Joueur],$B69,JournalActions[Action],$E$60,JournalActions[Mi-temps],E$61))</f>
        <v/>
      </c>
      <c r="F69" s="64" t="str">
        <f>IF(COUNTIFS(JournalActions[Joueur],$B69,JournalActions[Action],$E$60,JournalActions[Mi-temps],F$61)=0,"",COUNTIFS(JournalActions[Joueur],$B69,JournalActions[Action],$E$60,JournalActions[Mi-temps],F$61))</f>
        <v/>
      </c>
      <c r="H69" s="63" t="str">
        <f>IF(COUNTIFS(JournalActions[Joueur],$B69,JournalActions[Action],$H$60,JournalActions[Mi-temps],H$61)=0,"",COUNTIFS(JournalActions[Joueur],$B69,JournalActions[Action],$H$60,JournalActions[Mi-temps],H$61))</f>
        <v/>
      </c>
      <c r="I69" s="64" t="str">
        <f>IF(COUNTIFS(JournalActions[Joueur],$B69,JournalActions[Action],$H$60,JournalActions[Mi-temps],I$61)=0,"",COUNTIFS(JournalActions[Joueur],$B69,JournalActions[Action],$H$60,JournalActions[Mi-temps],I$61))</f>
        <v/>
      </c>
      <c r="J69" s="63" t="str">
        <f>IF(COUNTIFS(JournalActions[Joueur],$B69,JournalActions[Action],$J$60,JournalActions[Mi-temps],J$61)=0,"",COUNTIFS(JournalActions[Joueur],$B69,JournalActions[Action],$J$60,JournalActions[Mi-temps],J$61))</f>
        <v/>
      </c>
      <c r="K69" s="6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63"/>
      <c r="C70" s="63" t="str">
        <f>IF(COUNTIFS(JournalActions[Joueur],$B70,JournalActions[Action],$C$60,JournalActions[Mi-temps],C$61)=0,"",COUNTIFS(JournalActions[Joueur],$B70,JournalActions[Action],$C$60,JournalActions[Mi-temps],C$61))</f>
        <v/>
      </c>
      <c r="D70" s="64" t="str">
        <f>IF(COUNTIFS(JournalActions[Joueur],$B70,JournalActions[Action],$C$60,JournalActions[Mi-temps],D$61)=0,"",COUNTIFS(JournalActions[Joueur],$B70,JournalActions[Action],$C$60,JournalActions[Mi-temps],D$61))</f>
        <v/>
      </c>
      <c r="E70" s="63" t="str">
        <f>IF(COUNTIFS(JournalActions[Joueur],$B70,JournalActions[Action],$E$60,JournalActions[Mi-temps],E$61)=0,"",COUNTIFS(JournalActions[Joueur],$B70,JournalActions[Action],$E$60,JournalActions[Mi-temps],E$61))</f>
        <v/>
      </c>
      <c r="F70" s="64" t="str">
        <f>IF(COUNTIFS(JournalActions[Joueur],$B70,JournalActions[Action],$E$60,JournalActions[Mi-temps],F$61)=0,"",COUNTIFS(JournalActions[Joueur],$B70,JournalActions[Action],$E$60,JournalActions[Mi-temps],F$61))</f>
        <v/>
      </c>
      <c r="H70" s="63" t="str">
        <f>IF(COUNTIFS(JournalActions[Joueur],$B70,JournalActions[Action],$H$60,JournalActions[Mi-temps],H$61)=0,"",COUNTIFS(JournalActions[Joueur],$B70,JournalActions[Action],$H$60,JournalActions[Mi-temps],H$61))</f>
        <v/>
      </c>
      <c r="I70" s="64" t="str">
        <f>IF(COUNTIFS(JournalActions[Joueur],$B70,JournalActions[Action],$H$60,JournalActions[Mi-temps],I$61)=0,"",COUNTIFS(JournalActions[Joueur],$B70,JournalActions[Action],$H$60,JournalActions[Mi-temps],I$61))</f>
        <v/>
      </c>
      <c r="J70" s="63" t="str">
        <f>IF(COUNTIFS(JournalActions[Joueur],$B70,JournalActions[Action],$J$60,JournalActions[Mi-temps],J$61)=0,"",COUNTIFS(JournalActions[Joueur],$B70,JournalActions[Action],$J$60,JournalActions[Mi-temps],J$61))</f>
        <v/>
      </c>
      <c r="K70" s="6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63"/>
      <c r="C71" s="63" t="str">
        <f>IF(COUNTIFS(JournalActions[Joueur],$B71,JournalActions[Action],$C$60,JournalActions[Mi-temps],C$61)=0,"",COUNTIFS(JournalActions[Joueur],$B71,JournalActions[Action],$C$60,JournalActions[Mi-temps],C$61))</f>
        <v/>
      </c>
      <c r="D71" s="64" t="str">
        <f>IF(COUNTIFS(JournalActions[Joueur],$B71,JournalActions[Action],$C$60,JournalActions[Mi-temps],D$61)=0,"",COUNTIFS(JournalActions[Joueur],$B71,JournalActions[Action],$C$60,JournalActions[Mi-temps],D$61))</f>
        <v/>
      </c>
      <c r="E71" s="63" t="str">
        <f>IF(COUNTIFS(JournalActions[Joueur],$B71,JournalActions[Action],$E$60,JournalActions[Mi-temps],E$61)=0,"",COUNTIFS(JournalActions[Joueur],$B71,JournalActions[Action],$E$60,JournalActions[Mi-temps],E$61))</f>
        <v/>
      </c>
      <c r="F71" s="64" t="str">
        <f>IF(COUNTIFS(JournalActions[Joueur],$B71,JournalActions[Action],$E$60,JournalActions[Mi-temps],F$61)=0,"",COUNTIFS(JournalActions[Joueur],$B71,JournalActions[Action],$E$60,JournalActions[Mi-temps],F$61))</f>
        <v/>
      </c>
      <c r="H71" s="63" t="str">
        <f>IF(COUNTIFS(JournalActions[Joueur],$B71,JournalActions[Action],$H$60,JournalActions[Mi-temps],H$61)=0,"",COUNTIFS(JournalActions[Joueur],$B71,JournalActions[Action],$H$60,JournalActions[Mi-temps],H$61))</f>
        <v/>
      </c>
      <c r="I71" s="64" t="str">
        <f>IF(COUNTIFS(JournalActions[Joueur],$B71,JournalActions[Action],$H$60,JournalActions[Mi-temps],I$61)=0,"",COUNTIFS(JournalActions[Joueur],$B71,JournalActions[Action],$H$60,JournalActions[Mi-temps],I$61))</f>
        <v/>
      </c>
      <c r="J71" s="63" t="str">
        <f>IF(COUNTIFS(JournalActions[Joueur],$B71,JournalActions[Action],$J$60,JournalActions[Mi-temps],J$61)=0,"",COUNTIFS(JournalActions[Joueur],$B71,JournalActions[Action],$J$60,JournalActions[Mi-temps],J$61))</f>
        <v/>
      </c>
      <c r="K71" s="6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63"/>
      <c r="C72" s="63" t="str">
        <f>IF(COUNTIFS(JournalActions[Joueur],$B72,JournalActions[Action],$C$60,JournalActions[Mi-temps],C$61)=0,"",COUNTIFS(JournalActions[Joueur],$B72,JournalActions[Action],$C$60,JournalActions[Mi-temps],C$61))</f>
        <v/>
      </c>
      <c r="D72" s="64" t="str">
        <f>IF(COUNTIFS(JournalActions[Joueur],$B72,JournalActions[Action],$C$60,JournalActions[Mi-temps],D$61)=0,"",COUNTIFS(JournalActions[Joueur],$B72,JournalActions[Action],$C$60,JournalActions[Mi-temps],D$61))</f>
        <v/>
      </c>
      <c r="E72" s="63" t="str">
        <f>IF(COUNTIFS(JournalActions[Joueur],$B72,JournalActions[Action],$E$60,JournalActions[Mi-temps],E$61)=0,"",COUNTIFS(JournalActions[Joueur],$B72,JournalActions[Action],$E$60,JournalActions[Mi-temps],E$61))</f>
        <v/>
      </c>
      <c r="F72" s="64" t="str">
        <f>IF(COUNTIFS(JournalActions[Joueur],$B72,JournalActions[Action],$E$60,JournalActions[Mi-temps],F$61)=0,"",COUNTIFS(JournalActions[Joueur],$B72,JournalActions[Action],$E$60,JournalActions[Mi-temps],F$61))</f>
        <v/>
      </c>
      <c r="H72" s="63" t="str">
        <f>IF(COUNTIFS(JournalActions[Joueur],$B72,JournalActions[Action],$H$60,JournalActions[Mi-temps],H$61)=0,"",COUNTIFS(JournalActions[Joueur],$B72,JournalActions[Action],$H$60,JournalActions[Mi-temps],H$61))</f>
        <v/>
      </c>
      <c r="I72" s="64" t="str">
        <f>IF(COUNTIFS(JournalActions[Joueur],$B72,JournalActions[Action],$H$60,JournalActions[Mi-temps],I$61)=0,"",COUNTIFS(JournalActions[Joueur],$B72,JournalActions[Action],$H$60,JournalActions[Mi-temps],I$61))</f>
        <v/>
      </c>
      <c r="J72" s="63" t="str">
        <f>IF(COUNTIFS(JournalActions[Joueur],$B72,JournalActions[Action],$J$60,JournalActions[Mi-temps],J$61)=0,"",COUNTIFS(JournalActions[Joueur],$B72,JournalActions[Action],$J$60,JournalActions[Mi-temps],J$61))</f>
        <v/>
      </c>
      <c r="K72" s="6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63"/>
      <c r="C73" s="63" t="str">
        <f>IF(COUNTIFS(JournalActions[Joueur],$B73,JournalActions[Action],$C$60,JournalActions[Mi-temps],C$61)=0,"",COUNTIFS(JournalActions[Joueur],$B73,JournalActions[Action],$C$60,JournalActions[Mi-temps],C$61))</f>
        <v/>
      </c>
      <c r="D73" s="64" t="str">
        <f>IF(COUNTIFS(JournalActions[Joueur],$B73,JournalActions[Action],$C$60,JournalActions[Mi-temps],D$61)=0,"",COUNTIFS(JournalActions[Joueur],$B73,JournalActions[Action],$C$60,JournalActions[Mi-temps],D$61))</f>
        <v/>
      </c>
      <c r="E73" s="63" t="str">
        <f>IF(COUNTIFS(JournalActions[Joueur],$B73,JournalActions[Action],$E$60,JournalActions[Mi-temps],E$61)=0,"",COUNTIFS(JournalActions[Joueur],$B73,JournalActions[Action],$E$60,JournalActions[Mi-temps],E$61))</f>
        <v/>
      </c>
      <c r="F73" s="64" t="str">
        <f>IF(COUNTIFS(JournalActions[Joueur],$B73,JournalActions[Action],$E$60,JournalActions[Mi-temps],F$61)=0,"",COUNTIFS(JournalActions[Joueur],$B73,JournalActions[Action],$E$60,JournalActions[Mi-temps],F$61))</f>
        <v/>
      </c>
      <c r="H73" s="63" t="str">
        <f>IF(COUNTIFS(JournalActions[Joueur],$B73,JournalActions[Action],$H$60,JournalActions[Mi-temps],H$61)=0,"",COUNTIFS(JournalActions[Joueur],$B73,JournalActions[Action],$H$60,JournalActions[Mi-temps],H$61))</f>
        <v/>
      </c>
      <c r="I73" s="64" t="str">
        <f>IF(COUNTIFS(JournalActions[Joueur],$B73,JournalActions[Action],$H$60,JournalActions[Mi-temps],I$61)=0,"",COUNTIFS(JournalActions[Joueur],$B73,JournalActions[Action],$H$60,JournalActions[Mi-temps],I$61))</f>
        <v/>
      </c>
      <c r="J73" s="63" t="str">
        <f>IF(COUNTIFS(JournalActions[Joueur],$B73,JournalActions[Action],$J$60,JournalActions[Mi-temps],J$61)=0,"",COUNTIFS(JournalActions[Joueur],$B73,JournalActions[Action],$J$60,JournalActions[Mi-temps],J$61))</f>
        <v/>
      </c>
      <c r="K73" s="6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63"/>
      <c r="C74" s="63" t="str">
        <f>IF(COUNTIFS(JournalActions[Joueur],$B74,JournalActions[Action],$C$60,JournalActions[Mi-temps],C$61)=0,"",COUNTIFS(JournalActions[Joueur],$B74,JournalActions[Action],$C$60,JournalActions[Mi-temps],C$61))</f>
        <v/>
      </c>
      <c r="D74" s="64" t="str">
        <f>IF(COUNTIFS(JournalActions[Joueur],$B74,JournalActions[Action],$C$60,JournalActions[Mi-temps],D$61)=0,"",COUNTIFS(JournalActions[Joueur],$B74,JournalActions[Action],$C$60,JournalActions[Mi-temps],D$61))</f>
        <v/>
      </c>
      <c r="E74" s="63" t="str">
        <f>IF(COUNTIFS(JournalActions[Joueur],$B74,JournalActions[Action],$E$60,JournalActions[Mi-temps],E$61)=0,"",COUNTIFS(JournalActions[Joueur],$B74,JournalActions[Action],$E$60,JournalActions[Mi-temps],E$61))</f>
        <v/>
      </c>
      <c r="F74" s="64" t="str">
        <f>IF(COUNTIFS(JournalActions[Joueur],$B74,JournalActions[Action],$E$60,JournalActions[Mi-temps],F$61)=0,"",COUNTIFS(JournalActions[Joueur],$B74,JournalActions[Action],$E$60,JournalActions[Mi-temps],F$61))</f>
        <v/>
      </c>
      <c r="H74" s="63" t="str">
        <f>IF(COUNTIFS(JournalActions[Joueur],$B74,JournalActions[Action],$H$60,JournalActions[Mi-temps],H$61)=0,"",COUNTIFS(JournalActions[Joueur],$B74,JournalActions[Action],$H$60,JournalActions[Mi-temps],H$61))</f>
        <v/>
      </c>
      <c r="I74" s="64" t="str">
        <f>IF(COUNTIFS(JournalActions[Joueur],$B74,JournalActions[Action],$H$60,JournalActions[Mi-temps],I$61)=0,"",COUNTIFS(JournalActions[Joueur],$B74,JournalActions[Action],$H$60,JournalActions[Mi-temps],I$61))</f>
        <v/>
      </c>
      <c r="J74" s="63" t="str">
        <f>IF(COUNTIFS(JournalActions[Joueur],$B74,JournalActions[Action],$J$60,JournalActions[Mi-temps],J$61)=0,"",COUNTIFS(JournalActions[Joueur],$B74,JournalActions[Action],$J$60,JournalActions[Mi-temps],J$61))</f>
        <v/>
      </c>
      <c r="K74" s="6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63"/>
      <c r="C75" s="63" t="str">
        <f>IF(COUNTIFS(JournalActions[Joueur],$B75,JournalActions[Action],$C$60,JournalActions[Mi-temps],C$61)=0,"",COUNTIFS(JournalActions[Joueur],$B75,JournalActions[Action],$C$60,JournalActions[Mi-temps],C$61))</f>
        <v/>
      </c>
      <c r="D75" s="64" t="str">
        <f>IF(COUNTIFS(JournalActions[Joueur],$B75,JournalActions[Action],$C$60,JournalActions[Mi-temps],D$61)=0,"",COUNTIFS(JournalActions[Joueur],$B75,JournalActions[Action],$C$60,JournalActions[Mi-temps],D$61))</f>
        <v/>
      </c>
      <c r="E75" s="63" t="str">
        <f>IF(COUNTIFS(JournalActions[Joueur],$B75,JournalActions[Action],$E$60,JournalActions[Mi-temps],E$61)=0,"",COUNTIFS(JournalActions[Joueur],$B75,JournalActions[Action],$E$60,JournalActions[Mi-temps],E$61))</f>
        <v/>
      </c>
      <c r="F75" s="64" t="str">
        <f>IF(COUNTIFS(JournalActions[Joueur],$B75,JournalActions[Action],$E$60,JournalActions[Mi-temps],F$61)=0,"",COUNTIFS(JournalActions[Joueur],$B75,JournalActions[Action],$E$60,JournalActions[Mi-temps],F$61))</f>
        <v/>
      </c>
      <c r="H75" s="63" t="str">
        <f>IF(COUNTIFS(JournalActions[Joueur],$B75,JournalActions[Action],$H$60,JournalActions[Mi-temps],H$61)=0,"",COUNTIFS(JournalActions[Joueur],$B75,JournalActions[Action],$H$60,JournalActions[Mi-temps],H$61))</f>
        <v/>
      </c>
      <c r="I75" s="64" t="str">
        <f>IF(COUNTIFS(JournalActions[Joueur],$B75,JournalActions[Action],$H$60,JournalActions[Mi-temps],I$61)=0,"",COUNTIFS(JournalActions[Joueur],$B75,JournalActions[Action],$H$60,JournalActions[Mi-temps],I$61))</f>
        <v/>
      </c>
      <c r="J75" s="63" t="str">
        <f>IF(COUNTIFS(JournalActions[Joueur],$B75,JournalActions[Action],$J$60,JournalActions[Mi-temps],J$61)=0,"",COUNTIFS(JournalActions[Joueur],$B75,JournalActions[Action],$J$60,JournalActions[Mi-temps],J$61))</f>
        <v/>
      </c>
      <c r="K75" s="6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63"/>
      <c r="C76" s="63" t="str">
        <f>IF(COUNTIFS(JournalActions[Joueur],$B76,JournalActions[Action],$C$60,JournalActions[Mi-temps],C$61)=0,"",COUNTIFS(JournalActions[Joueur],$B76,JournalActions[Action],$C$60,JournalActions[Mi-temps],C$61))</f>
        <v/>
      </c>
      <c r="D76" s="64" t="str">
        <f>IF(COUNTIFS(JournalActions[Joueur],$B76,JournalActions[Action],$C$60,JournalActions[Mi-temps],D$61)=0,"",COUNTIFS(JournalActions[Joueur],$B76,JournalActions[Action],$C$60,JournalActions[Mi-temps],D$61))</f>
        <v/>
      </c>
      <c r="E76" s="63" t="str">
        <f>IF(COUNTIFS(JournalActions[Joueur],$B76,JournalActions[Action],$E$60,JournalActions[Mi-temps],E$61)=0,"",COUNTIFS(JournalActions[Joueur],$B76,JournalActions[Action],$E$60,JournalActions[Mi-temps],E$61))</f>
        <v/>
      </c>
      <c r="F76" s="64" t="str">
        <f>IF(COUNTIFS(JournalActions[Joueur],$B76,JournalActions[Action],$E$60,JournalActions[Mi-temps],F$61)=0,"",COUNTIFS(JournalActions[Joueur],$B76,JournalActions[Action],$E$60,JournalActions[Mi-temps],F$61))</f>
        <v/>
      </c>
      <c r="H76" s="63" t="str">
        <f>IF(COUNTIFS(JournalActions[Joueur],$B76,JournalActions[Action],$H$60,JournalActions[Mi-temps],H$61)=0,"",COUNTIFS(JournalActions[Joueur],$B76,JournalActions[Action],$H$60,JournalActions[Mi-temps],H$61))</f>
        <v/>
      </c>
      <c r="I76" s="64" t="str">
        <f>IF(COUNTIFS(JournalActions[Joueur],$B76,JournalActions[Action],$H$60,JournalActions[Mi-temps],I$61)=0,"",COUNTIFS(JournalActions[Joueur],$B76,JournalActions[Action],$H$60,JournalActions[Mi-temps],I$61))</f>
        <v/>
      </c>
      <c r="J76" s="63" t="str">
        <f>IF(COUNTIFS(JournalActions[Joueur],$B76,JournalActions[Action],$J$60,JournalActions[Mi-temps],J$61)=0,"",COUNTIFS(JournalActions[Joueur],$B76,JournalActions[Action],$J$60,JournalActions[Mi-temps],J$61))</f>
        <v/>
      </c>
      <c r="K76" s="6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63"/>
      <c r="C77" s="63" t="str">
        <f>IF(COUNTIFS(JournalActions[Joueur],$B77,JournalActions[Action],$C$60,JournalActions[Mi-temps],C$61)=0,"",COUNTIFS(JournalActions[Joueur],$B77,JournalActions[Action],$C$60,JournalActions[Mi-temps],C$61))</f>
        <v/>
      </c>
      <c r="D77" s="64" t="str">
        <f>IF(COUNTIFS(JournalActions[Joueur],$B77,JournalActions[Action],$C$60,JournalActions[Mi-temps],D$61)=0,"",COUNTIFS(JournalActions[Joueur],$B77,JournalActions[Action],$C$60,JournalActions[Mi-temps],D$61))</f>
        <v/>
      </c>
      <c r="E77" s="63" t="str">
        <f>IF(COUNTIFS(JournalActions[Joueur],$B77,JournalActions[Action],$E$60,JournalActions[Mi-temps],E$61)=0,"",COUNTIFS(JournalActions[Joueur],$B77,JournalActions[Action],$E$60,JournalActions[Mi-temps],E$61))</f>
        <v/>
      </c>
      <c r="F77" s="64" t="str">
        <f>IF(COUNTIFS(JournalActions[Joueur],$B77,JournalActions[Action],$E$60,JournalActions[Mi-temps],F$61)=0,"",COUNTIFS(JournalActions[Joueur],$B77,JournalActions[Action],$E$60,JournalActions[Mi-temps],F$61))</f>
        <v/>
      </c>
      <c r="H77" s="63" t="str">
        <f>IF(COUNTIFS(JournalActions[Joueur],$B77,JournalActions[Action],$H$60,JournalActions[Mi-temps],H$61)=0,"",COUNTIFS(JournalActions[Joueur],$B77,JournalActions[Action],$H$60,JournalActions[Mi-temps],H$61))</f>
        <v/>
      </c>
      <c r="I77" s="64" t="str">
        <f>IF(COUNTIFS(JournalActions[Joueur],$B77,JournalActions[Action],$H$60,JournalActions[Mi-temps],I$61)=0,"",COUNTIFS(JournalActions[Joueur],$B77,JournalActions[Action],$H$60,JournalActions[Mi-temps],I$61))</f>
        <v/>
      </c>
      <c r="J77" s="63" t="str">
        <f>IF(COUNTIFS(JournalActions[Joueur],$B77,JournalActions[Action],$J$60,JournalActions[Mi-temps],J$61)=0,"",COUNTIFS(JournalActions[Joueur],$B77,JournalActions[Action],$J$60,JournalActions[Mi-temps],J$61))</f>
        <v/>
      </c>
      <c r="K77" s="6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63"/>
      <c r="C78" s="63" t="str">
        <f>IF(COUNTIFS(JournalActions[Joueur],$B78,JournalActions[Action],$C$60,JournalActions[Mi-temps],C$61)=0,"",COUNTIFS(JournalActions[Joueur],$B78,JournalActions[Action],$C$60,JournalActions[Mi-temps],C$61))</f>
        <v/>
      </c>
      <c r="D78" s="64" t="str">
        <f>IF(COUNTIFS(JournalActions[Joueur],$B78,JournalActions[Action],$C$60,JournalActions[Mi-temps],D$61)=0,"",COUNTIFS(JournalActions[Joueur],$B78,JournalActions[Action],$C$60,JournalActions[Mi-temps],D$61))</f>
        <v/>
      </c>
      <c r="E78" s="63" t="str">
        <f>IF(COUNTIFS(JournalActions[Joueur],$B78,JournalActions[Action],$E$60,JournalActions[Mi-temps],E$61)=0,"",COUNTIFS(JournalActions[Joueur],$B78,JournalActions[Action],$E$60,JournalActions[Mi-temps],E$61))</f>
        <v/>
      </c>
      <c r="F78" s="64" t="str">
        <f>IF(COUNTIFS(JournalActions[Joueur],$B78,JournalActions[Action],$E$60,JournalActions[Mi-temps],F$61)=0,"",COUNTIFS(JournalActions[Joueur],$B78,JournalActions[Action],$E$60,JournalActions[Mi-temps],F$61))</f>
        <v/>
      </c>
      <c r="H78" s="63" t="str">
        <f>IF(COUNTIFS(JournalActions[Joueur],$B78,JournalActions[Action],$H$60,JournalActions[Mi-temps],H$61)=0,"",COUNTIFS(JournalActions[Joueur],$B78,JournalActions[Action],$H$60,JournalActions[Mi-temps],H$61))</f>
        <v/>
      </c>
      <c r="I78" s="64" t="str">
        <f>IF(COUNTIFS(JournalActions[Joueur],$B78,JournalActions[Action],$H$60,JournalActions[Mi-temps],I$61)=0,"",COUNTIFS(JournalActions[Joueur],$B78,JournalActions[Action],$H$60,JournalActions[Mi-temps],I$61))</f>
        <v/>
      </c>
      <c r="J78" s="63" t="str">
        <f>IF(COUNTIFS(JournalActions[Joueur],$B78,JournalActions[Action],$J$60,JournalActions[Mi-temps],J$61)=0,"",COUNTIFS(JournalActions[Joueur],$B78,JournalActions[Action],$J$60,JournalActions[Mi-temps],J$61))</f>
        <v/>
      </c>
      <c r="K78" s="6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63"/>
      <c r="C79" s="63" t="str">
        <f>IF(COUNTIFS(JournalActions[Joueur],$B79,JournalActions[Action],$C$60,JournalActions[Mi-temps],C$61)=0,"",COUNTIFS(JournalActions[Joueur],$B79,JournalActions[Action],$C$60,JournalActions[Mi-temps],C$61))</f>
        <v/>
      </c>
      <c r="D79" s="64" t="str">
        <f>IF(COUNTIFS(JournalActions[Joueur],$B79,JournalActions[Action],$C$60,JournalActions[Mi-temps],D$61)=0,"",COUNTIFS(JournalActions[Joueur],$B79,JournalActions[Action],$C$60,JournalActions[Mi-temps],D$61))</f>
        <v/>
      </c>
      <c r="E79" s="63" t="str">
        <f>IF(COUNTIFS(JournalActions[Joueur],$B79,JournalActions[Action],$E$60,JournalActions[Mi-temps],E$61)=0,"",COUNTIFS(JournalActions[Joueur],$B79,JournalActions[Action],$E$60,JournalActions[Mi-temps],E$61))</f>
        <v/>
      </c>
      <c r="F79" s="64" t="str">
        <f>IF(COUNTIFS(JournalActions[Joueur],$B79,JournalActions[Action],$E$60,JournalActions[Mi-temps],F$61)=0,"",COUNTIFS(JournalActions[Joueur],$B79,JournalActions[Action],$E$60,JournalActions[Mi-temps],F$61))</f>
        <v/>
      </c>
      <c r="H79" s="63" t="str">
        <f>IF(COUNTIFS(JournalActions[Joueur],$B79,JournalActions[Action],$H$60,JournalActions[Mi-temps],H$61)=0,"",COUNTIFS(JournalActions[Joueur],$B79,JournalActions[Action],$H$60,JournalActions[Mi-temps],H$61))</f>
        <v/>
      </c>
      <c r="I79" s="64" t="str">
        <f>IF(COUNTIFS(JournalActions[Joueur],$B79,JournalActions[Action],$H$60,JournalActions[Mi-temps],I$61)=0,"",COUNTIFS(JournalActions[Joueur],$B79,JournalActions[Action],$H$60,JournalActions[Mi-temps],I$61))</f>
        <v/>
      </c>
      <c r="J79" s="63" t="str">
        <f>IF(COUNTIFS(JournalActions[Joueur],$B79,JournalActions[Action],$J$60,JournalActions[Mi-temps],J$61)=0,"",COUNTIFS(JournalActions[Joueur],$B79,JournalActions[Action],$J$60,JournalActions[Mi-temps],J$61))</f>
        <v/>
      </c>
      <c r="K79" s="6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63"/>
      <c r="C80" s="63" t="str">
        <f>IF(COUNTIFS(JournalActions[Joueur],$B80,JournalActions[Action],$C$60,JournalActions[Mi-temps],C$61)=0,"",COUNTIFS(JournalActions[Joueur],$B80,JournalActions[Action],$C$60,JournalActions[Mi-temps],C$61))</f>
        <v/>
      </c>
      <c r="D80" s="64" t="str">
        <f>IF(COUNTIFS(JournalActions[Joueur],$B80,JournalActions[Action],$C$60,JournalActions[Mi-temps],D$61)=0,"",COUNTIFS(JournalActions[Joueur],$B80,JournalActions[Action],$C$60,JournalActions[Mi-temps],D$61))</f>
        <v/>
      </c>
      <c r="E80" s="63" t="str">
        <f>IF(COUNTIFS(JournalActions[Joueur],$B80,JournalActions[Action],$E$60,JournalActions[Mi-temps],E$61)=0,"",COUNTIFS(JournalActions[Joueur],$B80,JournalActions[Action],$E$60,JournalActions[Mi-temps],E$61))</f>
        <v/>
      </c>
      <c r="F80" s="64" t="str">
        <f>IF(COUNTIFS(JournalActions[Joueur],$B80,JournalActions[Action],$E$60,JournalActions[Mi-temps],F$61)=0,"",COUNTIFS(JournalActions[Joueur],$B80,JournalActions[Action],$E$60,JournalActions[Mi-temps],F$61))</f>
        <v/>
      </c>
      <c r="H80" s="63" t="str">
        <f>IF(COUNTIFS(JournalActions[Joueur],$B80,JournalActions[Action],$H$60,JournalActions[Mi-temps],H$61)=0,"",COUNTIFS(JournalActions[Joueur],$B80,JournalActions[Action],$H$60,JournalActions[Mi-temps],H$61))</f>
        <v/>
      </c>
      <c r="I80" s="64" t="str">
        <f>IF(COUNTIFS(JournalActions[Joueur],$B80,JournalActions[Action],$H$60,JournalActions[Mi-temps],I$61)=0,"",COUNTIFS(JournalActions[Joueur],$B80,JournalActions[Action],$H$60,JournalActions[Mi-temps],I$61))</f>
        <v/>
      </c>
      <c r="J80" s="63" t="str">
        <f>IF(COUNTIFS(JournalActions[Joueur],$B80,JournalActions[Action],$J$60,JournalActions[Mi-temps],J$61)=0,"",COUNTIFS(JournalActions[Joueur],$B80,JournalActions[Action],$J$60,JournalActions[Mi-temps],J$61))</f>
        <v/>
      </c>
      <c r="K80" s="6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63"/>
      <c r="C81" s="63" t="str">
        <f>IF(COUNTIFS(JournalActions[Joueur],$B81,JournalActions[Action],$C$60,JournalActions[Mi-temps],C$61)=0,"",COUNTIFS(JournalActions[Joueur],$B81,JournalActions[Action],$C$60,JournalActions[Mi-temps],C$61))</f>
        <v/>
      </c>
      <c r="D81" s="64" t="str">
        <f>IF(COUNTIFS(JournalActions[Joueur],$B81,JournalActions[Action],$C$60,JournalActions[Mi-temps],D$61)=0,"",COUNTIFS(JournalActions[Joueur],$B81,JournalActions[Action],$C$60,JournalActions[Mi-temps],D$61))</f>
        <v/>
      </c>
      <c r="E81" s="63" t="str">
        <f>IF(COUNTIFS(JournalActions[Joueur],$B81,JournalActions[Action],$E$60,JournalActions[Mi-temps],E$61)=0,"",COUNTIFS(JournalActions[Joueur],$B81,JournalActions[Action],$E$60,JournalActions[Mi-temps],E$61))</f>
        <v/>
      </c>
      <c r="F81" s="64" t="str">
        <f>IF(COUNTIFS(JournalActions[Joueur],$B81,JournalActions[Action],$E$60,JournalActions[Mi-temps],F$61)=0,"",COUNTIFS(JournalActions[Joueur],$B81,JournalActions[Action],$E$60,JournalActions[Mi-temps],F$61))</f>
        <v/>
      </c>
      <c r="H81" s="63" t="str">
        <f>IF(COUNTIFS(JournalActions[Joueur],$B81,JournalActions[Action],$H$60,JournalActions[Mi-temps],H$61)=0,"",COUNTIFS(JournalActions[Joueur],$B81,JournalActions[Action],$H$60,JournalActions[Mi-temps],H$61))</f>
        <v/>
      </c>
      <c r="I81" s="64" t="str">
        <f>IF(COUNTIFS(JournalActions[Joueur],$B81,JournalActions[Action],$H$60,JournalActions[Mi-temps],I$61)=0,"",COUNTIFS(JournalActions[Joueur],$B81,JournalActions[Action],$H$60,JournalActions[Mi-temps],I$61))</f>
        <v/>
      </c>
      <c r="J81" s="63" t="str">
        <f>IF(COUNTIFS(JournalActions[Joueur],$B81,JournalActions[Action],$J$60,JournalActions[Mi-temps],J$61)=0,"",COUNTIFS(JournalActions[Joueur],$B81,JournalActions[Action],$J$60,JournalActions[Mi-temps],J$61))</f>
        <v/>
      </c>
      <c r="K81" s="6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63"/>
      <c r="C82" s="63" t="str">
        <f>IF(COUNTIFS(JournalActions[Joueur],$B82,JournalActions[Action],$C$60,JournalActions[Mi-temps],C$61)=0,"",COUNTIFS(JournalActions[Joueur],$B82,JournalActions[Action],$C$60,JournalActions[Mi-temps],C$61))</f>
        <v/>
      </c>
      <c r="D82" s="64" t="str">
        <f>IF(COUNTIFS(JournalActions[Joueur],$B82,JournalActions[Action],$C$60,JournalActions[Mi-temps],D$61)=0,"",COUNTIFS(JournalActions[Joueur],$B82,JournalActions[Action],$C$60,JournalActions[Mi-temps],D$61))</f>
        <v/>
      </c>
      <c r="E82" s="63" t="str">
        <f>IF(COUNTIFS(JournalActions[Joueur],$B82,JournalActions[Action],$E$60,JournalActions[Mi-temps],E$61)=0,"",COUNTIFS(JournalActions[Joueur],$B82,JournalActions[Action],$E$60,JournalActions[Mi-temps],E$61))</f>
        <v/>
      </c>
      <c r="F82" s="64" t="str">
        <f>IF(COUNTIFS(JournalActions[Joueur],$B82,JournalActions[Action],$E$60,JournalActions[Mi-temps],F$61)=0,"",COUNTIFS(JournalActions[Joueur],$B82,JournalActions[Action],$E$60,JournalActions[Mi-temps],F$61))</f>
        <v/>
      </c>
      <c r="H82" s="63" t="str">
        <f>IF(COUNTIFS(JournalActions[Joueur],$B82,JournalActions[Action],$H$60,JournalActions[Mi-temps],H$61)=0,"",COUNTIFS(JournalActions[Joueur],$B82,JournalActions[Action],$H$60,JournalActions[Mi-temps],H$61))</f>
        <v/>
      </c>
      <c r="I82" s="64" t="str">
        <f>IF(COUNTIFS(JournalActions[Joueur],$B82,JournalActions[Action],$H$60,JournalActions[Mi-temps],I$61)=0,"",COUNTIFS(JournalActions[Joueur],$B82,JournalActions[Action],$H$60,JournalActions[Mi-temps],I$61))</f>
        <v/>
      </c>
      <c r="J82" s="63" t="str">
        <f>IF(COUNTIFS(JournalActions[Joueur],$B82,JournalActions[Action],$J$60,JournalActions[Mi-temps],J$61)=0,"",COUNTIFS(JournalActions[Joueur],$B82,JournalActions[Action],$J$60,JournalActions[Mi-temps],J$61))</f>
        <v/>
      </c>
      <c r="K82" s="6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63"/>
      <c r="C83" s="63" t="str">
        <f>IF(COUNTIFS(JournalActions[Joueur],$B83,JournalActions[Action],$C$60,JournalActions[Mi-temps],C$61)=0,"",COUNTIFS(JournalActions[Joueur],$B83,JournalActions[Action],$C$60,JournalActions[Mi-temps],C$61))</f>
        <v/>
      </c>
      <c r="D83" s="64" t="str">
        <f>IF(COUNTIFS(JournalActions[Joueur],$B83,JournalActions[Action],$C$60,JournalActions[Mi-temps],D$61)=0,"",COUNTIFS(JournalActions[Joueur],$B83,JournalActions[Action],$C$60,JournalActions[Mi-temps],D$61))</f>
        <v/>
      </c>
      <c r="E83" s="117" t="str">
        <f>IF(COUNTIFS(JournalActions[Joueur],$B83,JournalActions[Action],$E$60,JournalActions[Mi-temps],E$61)=0,"",COUNTIFS(JournalActions[Joueur],$B83,JournalActions[Action],$E$60,JournalActions[Mi-temps],E$61))</f>
        <v/>
      </c>
      <c r="F83" s="64" t="str">
        <f>IF(COUNTIFS(JournalActions[Joueur],$B83,JournalActions[Action],$E$60,JournalActions[Mi-temps],F$61)=0,"",COUNTIFS(JournalActions[Joueur],$B83,JournalActions[Action],$E$60,JournalActions[Mi-temps],F$61))</f>
        <v/>
      </c>
      <c r="H83" s="63" t="str">
        <f>IF(COUNTIFS(JournalActions[Joueur],$B83,JournalActions[Action],$H$60,JournalActions[Mi-temps],H$61)=0,"",COUNTIFS(JournalActions[Joueur],$B83,JournalActions[Action],$H$60,JournalActions[Mi-temps],H$61))</f>
        <v/>
      </c>
      <c r="I83" s="64" t="str">
        <f>IF(COUNTIFS(JournalActions[Joueur],$B83,JournalActions[Action],$H$60,JournalActions[Mi-temps],I$61)=0,"",COUNTIFS(JournalActions[Joueur],$B83,JournalActions[Action],$H$60,JournalActions[Mi-temps],I$61))</f>
        <v/>
      </c>
      <c r="J83" s="63" t="str">
        <f>IF(COUNTIFS(JournalActions[Joueur],$B83,JournalActions[Action],$J$60,JournalActions[Mi-temps],J$61)=0,"",COUNTIFS(JournalActions[Joueur],$B83,JournalActions[Action],$J$60,JournalActions[Mi-temps],J$61))</f>
        <v/>
      </c>
      <c r="K83" s="6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61" t="s">
        <v>92</v>
      </c>
      <c r="C84" s="63" t="str">
        <f>IF(COUNTIFS(JournalActions[Joueur],$B84,JournalActions[Action],$C$60,JournalActions[Mi-temps],C$61)=0,"",COUNTIFS(JournalActions[Joueur],$B84,JournalActions[Action],$C$60,JournalActions[Mi-temps],C$61))</f>
        <v/>
      </c>
      <c r="D84" s="64" t="str">
        <f>IF(COUNTIFS(JournalActions[Joueur],$B84,JournalActions[Action],$C$60,JournalActions[Mi-temps],D$61)=0,"",COUNTIFS(JournalActions[Joueur],$B84,JournalActions[Action],$C$60,JournalActions[Mi-temps],D$61))</f>
        <v/>
      </c>
      <c r="E84" s="63" t="str">
        <f>IF(COUNTIFS(JournalActions[Joueur],$B84,JournalActions[Action],$E$60,JournalActions[Mi-temps],E$61)=0,"",COUNTIFS(JournalActions[Joueur],$B84,JournalActions[Action],$E$60,JournalActions[Mi-temps],E$61))</f>
        <v/>
      </c>
      <c r="F84" s="64" t="str">
        <f>IF(COUNTIFS(JournalActions[Joueur],$B84,JournalActions[Action],$E$60,JournalActions[Mi-temps],F$61)=0,"",COUNTIFS(JournalActions[Joueur],$B84,JournalActions[Action],$E$60,JournalActions[Mi-temps],F$61))</f>
        <v/>
      </c>
      <c r="H84" s="63" t="str">
        <f>IF(COUNTIFS(JournalActions[Joueur],$B84,JournalActions[Action],$H$60,JournalActions[Mi-temps],H$61)=0,"",COUNTIFS(JournalActions[Joueur],$B84,JournalActions[Action],$H$60,JournalActions[Mi-temps],H$61))</f>
        <v/>
      </c>
      <c r="I84" s="64" t="str">
        <f>IF(COUNTIFS(JournalActions[Joueur],$B84,JournalActions[Action],$H$60,JournalActions[Mi-temps],I$61)=0,"",COUNTIFS(JournalActions[Joueur],$B84,JournalActions[Action],$H$60,JournalActions[Mi-temps],I$61))</f>
        <v/>
      </c>
      <c r="J84" s="63" t="str">
        <f>IF(COUNTIFS(JournalActions[Joueur],$B84,JournalActions[Action],$J$60,JournalActions[Mi-temps],J$61)=0,"",COUNTIFS(JournalActions[Joueur],$B84,JournalActions[Action],$J$60,JournalActions[Mi-temps],J$61))</f>
        <v/>
      </c>
      <c r="K84" s="6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62" t="s">
        <v>82</v>
      </c>
      <c r="C85" s="63" t="str">
        <f>IF(COUNTIFS(JournalActions[Joueur],$B85,JournalActions[Action],$C$60,JournalActions[Mi-temps],C$61)=0,"",COUNTIFS(JournalActions[Joueur],$B85,JournalActions[Action],$C$60,JournalActions[Mi-temps],C$61))</f>
        <v/>
      </c>
      <c r="D85" s="64" t="str">
        <f>IF(COUNTIFS(JournalActions[Joueur],$B85,JournalActions[Action],$C$60,JournalActions[Mi-temps],D$61)=0,"",COUNTIFS(JournalActions[Joueur],$B85,JournalActions[Action],$C$60,JournalActions[Mi-temps],D$61))</f>
        <v/>
      </c>
      <c r="E85" s="63" t="str">
        <f>IF(COUNTIFS(JournalActions[Joueur],$B85,JournalActions[Action],$E$60,JournalActions[Mi-temps],E$61)=0,"",COUNTIFS(JournalActions[Joueur],$B85,JournalActions[Action],$E$60,JournalActions[Mi-temps],E$61))</f>
        <v/>
      </c>
      <c r="F85" s="64" t="str">
        <f>IF(COUNTIFS(JournalActions[Joueur],$B85,JournalActions[Action],$E$60,JournalActions[Mi-temps],F$61)=0,"",COUNTIFS(JournalActions[Joueur],$B85,JournalActions[Action],$E$60,JournalActions[Mi-temps],F$61))</f>
        <v/>
      </c>
      <c r="H85" s="63" t="str">
        <f>IF(COUNTIFS(JournalActions[Joueur],$B85,JournalActions[Action],$H$60,JournalActions[Mi-temps],H$61)=0,"",COUNTIFS(JournalActions[Joueur],$B85,JournalActions[Action],$H$60,JournalActions[Mi-temps],H$61))</f>
        <v/>
      </c>
      <c r="I85" s="64" t="str">
        <f>IF(COUNTIFS(JournalActions[Joueur],$B85,JournalActions[Action],$H$60,JournalActions[Mi-temps],I$61)=0,"",COUNTIFS(JournalActions[Joueur],$B85,JournalActions[Action],$H$60,JournalActions[Mi-temps],I$61))</f>
        <v/>
      </c>
      <c r="J85" s="63" t="str">
        <f>IF(COUNTIFS(JournalActions[Joueur],$B85,JournalActions[Action],$J$60,JournalActions[Mi-temps],J$61)=0,"",COUNTIFS(JournalActions[Joueur],$B85,JournalActions[Action],$J$60,JournalActions[Mi-temps],J$61))</f>
        <v/>
      </c>
      <c r="K85" s="6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7" t="s">
        <v>269</v>
      </c>
      <c r="C86" s="88">
        <f>SUM(C62:C85)</f>
        <v>0</v>
      </c>
      <c r="D86" s="89">
        <f t="shared" ref="D86" si="5">SUM(D62:D85)</f>
        <v>0</v>
      </c>
      <c r="E86" s="88">
        <f>SUM(E62:E85)</f>
        <v>0</v>
      </c>
      <c r="F86" s="89">
        <f t="shared" ref="F86" si="6">SUM(F62:F85)</f>
        <v>0</v>
      </c>
      <c r="H86" s="109">
        <f>SUM(H62:H85)</f>
        <v>0</v>
      </c>
      <c r="I86" s="110">
        <f>SUM(I62:I85)</f>
        <v>0</v>
      </c>
      <c r="J86" s="109">
        <f>SUM(J62:J85)</f>
        <v>0</v>
      </c>
      <c r="K86" s="110">
        <f t="shared" ref="K86" si="7">SUM(K62:K85)</f>
        <v>0</v>
      </c>
    </row>
    <row r="87" spans="2:11" s="25" customFormat="1" ht="16">
      <c r="B87" s="90" t="s">
        <v>268</v>
      </c>
      <c r="C87" s="179">
        <f>C86+D86</f>
        <v>0</v>
      </c>
      <c r="D87" s="180"/>
      <c r="E87" s="179">
        <f>E86+F86</f>
        <v>0</v>
      </c>
      <c r="F87" s="180"/>
      <c r="H87" s="181">
        <f>H86+I86</f>
        <v>0</v>
      </c>
      <c r="I87" s="182"/>
      <c r="J87" s="181">
        <f>J86+K86</f>
        <v>0</v>
      </c>
      <c r="K87" s="182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8" t="s">
        <v>365</v>
      </c>
      <c r="C92" s="120" t="s">
        <v>116</v>
      </c>
      <c r="D92" s="121" t="s">
        <v>203</v>
      </c>
    </row>
    <row r="93" spans="2:11" s="25" customFormat="1" ht="16">
      <c r="B93" s="122" t="s">
        <v>360</v>
      </c>
      <c r="C93" s="119">
        <v>0</v>
      </c>
      <c r="D93" s="123">
        <v>0</v>
      </c>
    </row>
    <row r="94" spans="2:11" s="25" customFormat="1" ht="16">
      <c r="B94" s="122" t="s">
        <v>361</v>
      </c>
      <c r="C94" s="119">
        <v>0</v>
      </c>
      <c r="D94" s="123">
        <v>0</v>
      </c>
    </row>
    <row r="95" spans="2:11" s="25" customFormat="1" ht="16">
      <c r="B95" s="122" t="s">
        <v>362</v>
      </c>
      <c r="C95" s="119">
        <v>0</v>
      </c>
      <c r="D95" s="123">
        <v>0</v>
      </c>
    </row>
    <row r="96" spans="2:11" s="25" customFormat="1" ht="16">
      <c r="B96" s="122" t="s">
        <v>363</v>
      </c>
      <c r="C96" s="119">
        <v>0</v>
      </c>
      <c r="D96" s="123">
        <v>0</v>
      </c>
    </row>
    <row r="97" spans="2:4" s="25" customFormat="1" ht="17" thickBot="1">
      <c r="B97" s="124" t="s">
        <v>364</v>
      </c>
      <c r="C97" s="125">
        <v>0</v>
      </c>
      <c r="D97" s="126">
        <v>0</v>
      </c>
    </row>
    <row r="98" spans="2:4" s="25" customFormat="1" ht="14" thickTop="1"/>
    <row r="99" spans="2:4" s="25" customFormat="1"/>
    <row r="100" spans="2:4" s="25" customFormat="1"/>
    <row r="101" spans="2:4" s="25" customFormat="1"/>
    <row r="102" spans="2:4" s="25" customFormat="1"/>
    <row r="103" spans="2:4" s="25" customFormat="1"/>
    <row r="104" spans="2:4" s="25" customFormat="1"/>
    <row r="105" spans="2:4" s="25" customFormat="1"/>
    <row r="106" spans="2:4" s="25" customFormat="1"/>
    <row r="107" spans="2:4" s="25" customFormat="1"/>
    <row r="108" spans="2:4" s="25" customFormat="1"/>
    <row r="109" spans="2:4" s="25" customFormat="1"/>
    <row r="110" spans="2:4" s="25" customFormat="1"/>
    <row r="111" spans="2:4" s="25" customFormat="1"/>
    <row r="112" spans="2:4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43">
    <mergeCell ref="B3:N4"/>
    <mergeCell ref="B6:B7"/>
    <mergeCell ref="C6:D6"/>
    <mergeCell ref="E6:F6"/>
    <mergeCell ref="G6:H6"/>
    <mergeCell ref="I6:J6"/>
    <mergeCell ref="K6:L6"/>
    <mergeCell ref="M6:N6"/>
    <mergeCell ref="O6:T6"/>
    <mergeCell ref="O32:O33"/>
    <mergeCell ref="P32:P33"/>
    <mergeCell ref="Q32:Q33"/>
    <mergeCell ref="R32:R33"/>
    <mergeCell ref="S32:S33"/>
    <mergeCell ref="T32:T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</mergeCells>
  <conditionalFormatting sqref="J38:N38 B8:T31">
    <cfRule type="expression" dxfId="43" priority="6" stopIfTrue="1">
      <formula>ISEVEN(ROW())</formula>
    </cfRule>
  </conditionalFormatting>
  <conditionalFormatting sqref="B62:B85">
    <cfRule type="expression" dxfId="42" priority="5" stopIfTrue="1">
      <formula>ISEVEN(ROW())</formula>
    </cfRule>
  </conditionalFormatting>
  <conditionalFormatting sqref="C62:D85">
    <cfRule type="expression" dxfId="41" priority="4" stopIfTrue="1">
      <formula>ISEVEN(ROW())</formula>
    </cfRule>
  </conditionalFormatting>
  <conditionalFormatting sqref="H62:I85">
    <cfRule type="expression" dxfId="40" priority="3" stopIfTrue="1">
      <formula>ISEVEN(ROW())</formula>
    </cfRule>
  </conditionalFormatting>
  <conditionalFormatting sqref="J62:K85">
    <cfRule type="expression" dxfId="39" priority="2" stopIfTrue="1">
      <formula>ISEVEN(ROW())</formula>
    </cfRule>
  </conditionalFormatting>
  <conditionalFormatting sqref="E62:F85">
    <cfRule type="expression" dxfId="38" priority="1" stopIfTrue="1">
      <formula>ISEVEN(ROW())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/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9" width="10.83203125" style="25"/>
    <col min="10" max="10" width="17.5" style="25" bestFit="1" customWidth="1"/>
    <col min="11" max="859" width="10.83203125" style="25"/>
  </cols>
  <sheetData>
    <row r="1" spans="1:5">
      <c r="A1" t="s">
        <v>140</v>
      </c>
      <c r="B1" t="s">
        <v>141</v>
      </c>
      <c r="C1" t="s">
        <v>142</v>
      </c>
      <c r="D1" t="s">
        <v>143</v>
      </c>
      <c r="E1" t="s">
        <v>202</v>
      </c>
    </row>
    <row r="2" spans="1:5">
      <c r="A2">
        <v>1</v>
      </c>
      <c r="B2" t="s">
        <v>148</v>
      </c>
      <c r="C2" t="s">
        <v>147</v>
      </c>
      <c r="D2" t="str">
        <f>LstEffectif[[#This Row],[prenom]] &amp; " " &amp;LstEffectif[[#This Row],[nom]]</f>
        <v xml:space="preserve">Emeric ABADIE </v>
      </c>
      <c r="E2" t="str">
        <f>LstEffectif[[#This Row],[nom]]&amp; " " &amp;LstEffectif[[#This Row],[prenom]]</f>
        <v>ABADIE  Emeric</v>
      </c>
    </row>
    <row r="3" spans="1:5">
      <c r="A3">
        <v>2</v>
      </c>
      <c r="B3" t="s">
        <v>99</v>
      </c>
      <c r="C3" t="s">
        <v>152</v>
      </c>
      <c r="D3" t="str">
        <f>LstEffectif[[#This Row],[prenom]] &amp; " " &amp;LstEffectif[[#This Row],[nom]]</f>
        <v>Lucas BAQUE</v>
      </c>
      <c r="E3" t="str">
        <f>LstEffectif[[#This Row],[nom]]&amp; " " &amp;LstEffectif[[#This Row],[prenom]]</f>
        <v>BAQUE Lucas</v>
      </c>
    </row>
    <row r="4" spans="1:5">
      <c r="A4">
        <v>3</v>
      </c>
      <c r="B4" t="s">
        <v>108</v>
      </c>
      <c r="C4" t="s">
        <v>342</v>
      </c>
      <c r="D4" t="str">
        <f>LstEffectif[[#This Row],[prenom]] &amp; " " &amp;LstEffectif[[#This Row],[nom]]</f>
        <v>Julian BARATGIN</v>
      </c>
      <c r="E4" t="str">
        <f>LstEffectif[[#This Row],[nom]]&amp; " " &amp;LstEffectif[[#This Row],[prenom]]</f>
        <v>BARATGIN Julian</v>
      </c>
    </row>
    <row r="5" spans="1:5">
      <c r="A5">
        <v>4</v>
      </c>
      <c r="B5" t="s">
        <v>109</v>
      </c>
      <c r="C5" t="s">
        <v>160</v>
      </c>
      <c r="D5" t="str">
        <f>LstEffectif[[#This Row],[prenom]] &amp; " " &amp;LstEffectif[[#This Row],[nom]]</f>
        <v>Sébastien BARTHIE</v>
      </c>
      <c r="E5" t="str">
        <f>LstEffectif[[#This Row],[nom]]&amp; " " &amp;LstEffectif[[#This Row],[prenom]]</f>
        <v>BARTHIE Sébastien</v>
      </c>
    </row>
    <row r="6" spans="1:5">
      <c r="A6">
        <v>5</v>
      </c>
      <c r="B6" t="s">
        <v>106</v>
      </c>
      <c r="C6" t="s">
        <v>156</v>
      </c>
      <c r="D6" t="str">
        <f>LstEffectif[[#This Row],[prenom]] &amp; " " &amp;LstEffectif[[#This Row],[nom]]</f>
        <v>Bastien BAUP</v>
      </c>
      <c r="E6" t="str">
        <f>LstEffectif[[#This Row],[nom]]&amp; " " &amp;LstEffectif[[#This Row],[prenom]]</f>
        <v>BAUP Bastien</v>
      </c>
    </row>
    <row r="7" spans="1:5">
      <c r="A7">
        <v>6</v>
      </c>
      <c r="B7" t="s">
        <v>95</v>
      </c>
      <c r="C7" t="s">
        <v>149</v>
      </c>
      <c r="D7" t="str">
        <f>LstEffectif[[#This Row],[prenom]] &amp; " " &amp;LstEffectif[[#This Row],[nom]]</f>
        <v>Jean BAYLE</v>
      </c>
      <c r="E7" t="str">
        <f>LstEffectif[[#This Row],[nom]]&amp; " " &amp;LstEffectif[[#This Row],[prenom]]</f>
        <v>BAYLE Jean</v>
      </c>
    </row>
    <row r="8" spans="1:5">
      <c r="A8">
        <v>7</v>
      </c>
      <c r="B8" t="s">
        <v>100</v>
      </c>
      <c r="C8" t="s">
        <v>153</v>
      </c>
      <c r="D8" t="str">
        <f>LstEffectif[[#This Row],[prenom]] &amp; " " &amp;LstEffectif[[#This Row],[nom]]</f>
        <v>Anthony BOURREC</v>
      </c>
      <c r="E8" t="str">
        <f>LstEffectif[[#This Row],[nom]]&amp; " " &amp;LstEffectif[[#This Row],[prenom]]</f>
        <v>BOURREC Anthony</v>
      </c>
    </row>
    <row r="9" spans="1:5">
      <c r="A9">
        <v>8</v>
      </c>
      <c r="B9" t="s">
        <v>138</v>
      </c>
      <c r="C9" t="s">
        <v>161</v>
      </c>
      <c r="D9" t="str">
        <f>LstEffectif[[#This Row],[prenom]] &amp; " " &amp;LstEffectif[[#This Row],[nom]]</f>
        <v>Tom CASTERA</v>
      </c>
      <c r="E9" t="str">
        <f>LstEffectif[[#This Row],[nom]]&amp; " " &amp;LstEffectif[[#This Row],[prenom]]</f>
        <v>CASTERA Tom</v>
      </c>
    </row>
    <row r="10" spans="1:5">
      <c r="A10">
        <v>9</v>
      </c>
      <c r="B10" t="s">
        <v>139</v>
      </c>
      <c r="C10" t="s">
        <v>144</v>
      </c>
      <c r="D10" t="str">
        <f>LstEffectif[[#This Row],[prenom]] &amp; " " &amp;LstEffectif[[#This Row],[nom]]</f>
        <v>Jonah DALLA ROSA</v>
      </c>
      <c r="E10" t="str">
        <f>LstEffectif[[#This Row],[nom]]&amp; " " &amp;LstEffectif[[#This Row],[prenom]]</f>
        <v>DALLA ROSA Jonah</v>
      </c>
    </row>
    <row r="11" spans="1:5">
      <c r="A11">
        <v>10</v>
      </c>
      <c r="B11" t="s">
        <v>93</v>
      </c>
      <c r="C11" t="s">
        <v>146</v>
      </c>
      <c r="D11" t="str">
        <f>LstEffectif[[#This Row],[prenom]] &amp; " " &amp;LstEffectif[[#This Row],[nom]]</f>
        <v>Thomas DASTUGUE</v>
      </c>
      <c r="E11" t="str">
        <f>LstEffectif[[#This Row],[nom]]&amp; " " &amp;LstEffectif[[#This Row],[prenom]]</f>
        <v>DASTUGUE Thomas</v>
      </c>
    </row>
    <row r="12" spans="1:5">
      <c r="A12">
        <v>11</v>
      </c>
      <c r="B12" t="s">
        <v>101</v>
      </c>
      <c r="C12" t="s">
        <v>154</v>
      </c>
      <c r="D12" t="str">
        <f>LstEffectif[[#This Row],[prenom]] &amp; " " &amp;LstEffectif[[#This Row],[nom]]</f>
        <v>Marius FAULONG</v>
      </c>
      <c r="E12" t="str">
        <f>LstEffectif[[#This Row],[nom]]&amp; " " &amp;LstEffectif[[#This Row],[prenom]]</f>
        <v>FAULONG Marius</v>
      </c>
    </row>
    <row r="13" spans="1:5">
      <c r="A13">
        <v>12</v>
      </c>
      <c r="B13" t="s">
        <v>110</v>
      </c>
      <c r="C13" t="s">
        <v>162</v>
      </c>
      <c r="D13" t="str">
        <f>LstEffectif[[#This Row],[prenom]] &amp; " " &amp;LstEffectif[[#This Row],[nom]]</f>
        <v>Joris JOUNAUX</v>
      </c>
      <c r="E13" t="str">
        <f>LstEffectif[[#This Row],[nom]]&amp; " " &amp;LstEffectif[[#This Row],[prenom]]</f>
        <v>JOUNAUX Joris</v>
      </c>
    </row>
    <row r="14" spans="1:5">
      <c r="A14">
        <v>13</v>
      </c>
      <c r="B14" t="s">
        <v>103</v>
      </c>
      <c r="C14" t="s">
        <v>156</v>
      </c>
      <c r="D14" t="str">
        <f>LstEffectif[[#This Row],[prenom]] &amp; " " &amp;LstEffectif[[#This Row],[nom]]</f>
        <v>Bastien KAPFER</v>
      </c>
      <c r="E14" t="str">
        <f>LstEffectif[[#This Row],[nom]]&amp; " " &amp;LstEffectif[[#This Row],[prenom]]</f>
        <v>KAPFER Bastien</v>
      </c>
    </row>
    <row r="15" spans="1:5">
      <c r="A15">
        <v>14</v>
      </c>
      <c r="B15" t="s">
        <v>102</v>
      </c>
      <c r="C15" t="s">
        <v>155</v>
      </c>
      <c r="D15" t="str">
        <f>LstEffectif[[#This Row],[prenom]] &amp; " " &amp;LstEffectif[[#This Row],[nom]]</f>
        <v>Jean-Baptiste LAUDET</v>
      </c>
      <c r="E15" t="str">
        <f>LstEffectif[[#This Row],[nom]]&amp; " " &amp;LstEffectif[[#This Row],[prenom]]</f>
        <v>LAUDET Jean-Baptiste</v>
      </c>
    </row>
    <row r="16" spans="1:5">
      <c r="A16">
        <v>15</v>
      </c>
      <c r="B16" t="s">
        <v>94</v>
      </c>
      <c r="C16" t="s">
        <v>145</v>
      </c>
      <c r="D16" t="str">
        <f>LstEffectif[[#This Row],[prenom]] &amp; " " &amp;LstEffectif[[#This Row],[nom]]</f>
        <v>Paul MICHELIN</v>
      </c>
      <c r="E16" t="str">
        <f>LstEffectif[[#This Row],[nom]]&amp; " " &amp;LstEffectif[[#This Row],[prenom]]</f>
        <v>MICHELIN Paul</v>
      </c>
    </row>
    <row r="17" spans="1:5">
      <c r="A17">
        <v>16</v>
      </c>
      <c r="B17" t="s">
        <v>98</v>
      </c>
      <c r="C17" t="s">
        <v>151</v>
      </c>
      <c r="D17" t="str">
        <f>LstEffectif[[#This Row],[prenom]] &amp; " " &amp;LstEffectif[[#This Row],[nom]]</f>
        <v>Yohan MONLOR</v>
      </c>
      <c r="E17" t="str">
        <f>LstEffectif[[#This Row],[nom]]&amp; " " &amp;LstEffectif[[#This Row],[prenom]]</f>
        <v>MONLOR Yohan</v>
      </c>
    </row>
    <row r="18" spans="1:5">
      <c r="A18">
        <v>17</v>
      </c>
      <c r="B18" t="s">
        <v>97</v>
      </c>
      <c r="C18" t="s">
        <v>343</v>
      </c>
      <c r="D18" t="str">
        <f>LstEffectif[[#This Row],[prenom]] &amp; " " &amp;LstEffectif[[#This Row],[nom]]</f>
        <v>Maxime PIQUEMIL</v>
      </c>
      <c r="E18" t="str">
        <f>LstEffectif[[#This Row],[nom]]&amp; " " &amp;LstEffectif[[#This Row],[prenom]]</f>
        <v>PIQUEMIL Maxime</v>
      </c>
    </row>
    <row r="19" spans="1:5">
      <c r="A19">
        <v>18</v>
      </c>
      <c r="B19" t="s">
        <v>105</v>
      </c>
      <c r="C19" t="s">
        <v>158</v>
      </c>
      <c r="D19" t="str">
        <f>LstEffectif[[#This Row],[prenom]] &amp; " " &amp;LstEffectif[[#This Row],[nom]]</f>
        <v>Jimmy ROBERT</v>
      </c>
      <c r="E19" t="str">
        <f>LstEffectif[[#This Row],[nom]]&amp; " " &amp;LstEffectif[[#This Row],[prenom]]</f>
        <v>ROBERT Jimmy</v>
      </c>
    </row>
    <row r="20" spans="1:5">
      <c r="A20">
        <v>19</v>
      </c>
      <c r="B20" t="s">
        <v>96</v>
      </c>
      <c r="C20" t="s">
        <v>344</v>
      </c>
      <c r="D20" t="str">
        <f>LstEffectif[[#This Row],[prenom]] &amp; " " &amp;LstEffectif[[#This Row],[nom]]</f>
        <v>Mathis ROUSSEL</v>
      </c>
      <c r="E20" t="str">
        <f>LstEffectif[[#This Row],[nom]]&amp; " " &amp;LstEffectif[[#This Row],[prenom]]</f>
        <v>ROUSSEL Mathis</v>
      </c>
    </row>
    <row r="21" spans="1:5">
      <c r="A21">
        <v>20</v>
      </c>
      <c r="B21" t="s">
        <v>104</v>
      </c>
      <c r="C21" t="s">
        <v>157</v>
      </c>
      <c r="D21" t="str">
        <f>LstEffectif[[#This Row],[prenom]] &amp; " " &amp;LstEffectif[[#This Row],[nom]]</f>
        <v>Fabien SALLES</v>
      </c>
      <c r="E21" t="str">
        <f>LstEffectif[[#This Row],[nom]]&amp; " " &amp;LstEffectif[[#This Row],[prenom]]</f>
        <v>SALLES Fabien</v>
      </c>
    </row>
    <row r="22" spans="1:5">
      <c r="A22">
        <v>21</v>
      </c>
      <c r="B22" t="s">
        <v>104</v>
      </c>
      <c r="C22" t="s">
        <v>150</v>
      </c>
      <c r="D22" t="str">
        <f>LstEffectif[[#This Row],[prenom]] &amp; " " &amp;LstEffectif[[#This Row],[nom]]</f>
        <v>Dorian SALLES</v>
      </c>
      <c r="E22" t="str">
        <f>LstEffectif[[#This Row],[nom]]&amp; " " &amp;LstEffectif[[#This Row],[prenom]]</f>
        <v>SALLES Dorian</v>
      </c>
    </row>
    <row r="23" spans="1:5">
      <c r="A23">
        <v>22</v>
      </c>
      <c r="B23" t="s">
        <v>107</v>
      </c>
      <c r="C23" t="s">
        <v>159</v>
      </c>
      <c r="D23" t="str">
        <f>LstEffectif[[#This Row],[prenom]] &amp; " " &amp;LstEffectif[[#This Row],[nom]]</f>
        <v>Titouan STEFANI</v>
      </c>
      <c r="E23" t="str">
        <f>LstEffectif[[#This Row],[nom]]&amp; " " &amp;LstEffectif[[#This Row],[prenom]]</f>
        <v>STEFANI Titouan</v>
      </c>
    </row>
    <row r="24" spans="1:5">
      <c r="A24">
        <v>23</v>
      </c>
      <c r="B24" t="s">
        <v>148</v>
      </c>
      <c r="C24" t="s">
        <v>163</v>
      </c>
      <c r="D24" t="str">
        <f>LstEffectif[[#This Row],[prenom]] &amp; " " &amp;LstEffectif[[#This Row],[nom]]</f>
        <v xml:space="preserve">Quentin ABADIE </v>
      </c>
      <c r="E24" t="str">
        <f>LstEffectif[[#This Row],[nom]]&amp; " " &amp;LstEffectif[[#This Row],[prenom]]</f>
        <v>ABADIE  Quentin</v>
      </c>
    </row>
    <row r="25" spans="1:5">
      <c r="A25">
        <v>24</v>
      </c>
      <c r="B25" t="s">
        <v>320</v>
      </c>
      <c r="C25" t="s">
        <v>321</v>
      </c>
      <c r="D25" t="str">
        <f>LstEffectif[[#This Row],[prenom]] &amp; " " &amp;LstEffectif[[#This Row],[nom]]</f>
        <v xml:space="preserve">Julien BOUTAN </v>
      </c>
      <c r="E25" t="str">
        <f>LstEffectif[[#This Row],[nom]]&amp; " " &amp;LstEffectif[[#This Row],[prenom]]</f>
        <v>BOUTAN  Julien</v>
      </c>
    </row>
    <row r="26" spans="1:5" ht="12" customHeight="1">
      <c r="A26">
        <v>25</v>
      </c>
      <c r="B26" t="s">
        <v>322</v>
      </c>
      <c r="C26" t="s">
        <v>321</v>
      </c>
      <c r="D26" t="str">
        <f>LstEffectif[[#This Row],[prenom]] &amp; " " &amp;LstEffectif[[#This Row],[nom]]</f>
        <v>Julien POUYADOU</v>
      </c>
      <c r="E26" t="str">
        <f>LstEffectif[[#This Row],[nom]]&amp; " " &amp;LstEffectif[[#This Row],[prenom]]</f>
        <v>POUYADOU Julien</v>
      </c>
    </row>
    <row r="27" spans="1:5" s="25" customFormat="1">
      <c r="A27">
        <v>26</v>
      </c>
      <c r="B27" t="s">
        <v>345</v>
      </c>
      <c r="C27" t="s">
        <v>346</v>
      </c>
      <c r="D27" t="str">
        <f>LstEffectif[[#This Row],[prenom]] &amp; " " &amp;LstEffectif[[#This Row],[nom]]</f>
        <v>Martin MULLIER</v>
      </c>
      <c r="E27" t="str">
        <f>LstEffectif[[#This Row],[nom]]&amp; " " &amp;LstEffectif[[#This Row],[prenom]]</f>
        <v>MULLIER Martin</v>
      </c>
    </row>
    <row r="28" spans="1:5" s="25" customFormat="1">
      <c r="A28">
        <v>27</v>
      </c>
      <c r="B28" t="s">
        <v>347</v>
      </c>
      <c r="C28" t="s">
        <v>348</v>
      </c>
      <c r="D28" t="str">
        <f>LstEffectif[[#This Row],[prenom]] &amp; " " &amp;LstEffectif[[#This Row],[nom]]</f>
        <v>Gregory RICHIARDONNE</v>
      </c>
      <c r="E28" t="str">
        <f>LstEffectif[[#This Row],[nom]]&amp; " " &amp;LstEffectif[[#This Row],[prenom]]</f>
        <v>RICHIARDONNE Gregory</v>
      </c>
    </row>
    <row r="29" spans="1:5" s="25" customFormat="1">
      <c r="A29">
        <v>28</v>
      </c>
      <c r="B29" t="s">
        <v>349</v>
      </c>
      <c r="C29" t="s">
        <v>350</v>
      </c>
      <c r="D29" t="str">
        <f>LstEffectif[[#This Row],[prenom]] &amp; " " &amp;LstEffectif[[#This Row],[nom]]</f>
        <v>Antonio LOUREIRO LABAZUY</v>
      </c>
      <c r="E29" t="str">
        <f>LstEffectif[[#This Row],[nom]]&amp; " " &amp;LstEffectif[[#This Row],[prenom]]</f>
        <v>LOUREIRO LABAZUY Antonio</v>
      </c>
    </row>
    <row r="30" spans="1:5" s="25" customFormat="1">
      <c r="A30">
        <v>29</v>
      </c>
      <c r="B30" t="s">
        <v>351</v>
      </c>
      <c r="C30" t="s">
        <v>352</v>
      </c>
      <c r="D30" t="str">
        <f>LstEffectif[[#This Row],[prenom]] &amp; " " &amp;LstEffectif[[#This Row],[nom]]</f>
        <v>Alexis MOUDENS</v>
      </c>
      <c r="E30" t="str">
        <f>LstEffectif[[#This Row],[nom]]&amp; " " &amp;LstEffectif[[#This Row],[prenom]]</f>
        <v>MOUDENS Alexis</v>
      </c>
    </row>
    <row r="31" spans="1:5" s="25" customFormat="1">
      <c r="A31">
        <v>30</v>
      </c>
      <c r="B31" t="s">
        <v>353</v>
      </c>
      <c r="C31" t="s">
        <v>354</v>
      </c>
      <c r="D31" t="str">
        <f>LstEffectif[[#This Row],[prenom]] &amp; " " &amp;LstEffectif[[#This Row],[nom]]</f>
        <v>Romain BOUTELOUP</v>
      </c>
      <c r="E31" t="str">
        <f>LstEffectif[[#This Row],[nom]]&amp; " " &amp;LstEffectif[[#This Row],[prenom]]</f>
        <v>BOUTELOUP Romain</v>
      </c>
    </row>
    <row r="32" spans="1:5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280</v>
      </c>
      <c r="C1" s="47" t="s">
        <v>288</v>
      </c>
      <c r="D1" s="47"/>
      <c r="F1" s="54" t="s">
        <v>200</v>
      </c>
      <c r="G1" s="55" t="s">
        <v>201</v>
      </c>
      <c r="I1" s="59" t="s">
        <v>206</v>
      </c>
      <c r="K1" s="111" t="s">
        <v>204</v>
      </c>
      <c r="N1" t="s">
        <v>242</v>
      </c>
      <c r="Q1" s="59" t="s">
        <v>167</v>
      </c>
      <c r="R1" s="59" t="s">
        <v>207</v>
      </c>
    </row>
    <row r="2" spans="1:18" ht="30" customHeight="1">
      <c r="A2" t="s">
        <v>301</v>
      </c>
      <c r="C2" s="51" t="s">
        <v>270</v>
      </c>
      <c r="D2" s="51"/>
      <c r="F2" s="49" t="s">
        <v>190</v>
      </c>
      <c r="G2" s="35"/>
      <c r="I2" s="50" t="s">
        <v>116</v>
      </c>
      <c r="K2" s="116" t="s">
        <v>92</v>
      </c>
      <c r="N2" t="s">
        <v>243</v>
      </c>
      <c r="Q2" s="50" t="s">
        <v>168</v>
      </c>
      <c r="R2" s="50" t="s">
        <v>58</v>
      </c>
    </row>
    <row r="3" spans="1:18" ht="30" customHeight="1">
      <c r="A3" t="s">
        <v>281</v>
      </c>
      <c r="C3" s="51" t="s">
        <v>279</v>
      </c>
      <c r="D3" s="51"/>
      <c r="F3" s="52" t="s">
        <v>191</v>
      </c>
      <c r="G3" s="28"/>
      <c r="I3" s="60" t="s">
        <v>203</v>
      </c>
      <c r="K3" s="116" t="s">
        <v>82</v>
      </c>
      <c r="N3" t="s">
        <v>261</v>
      </c>
      <c r="Q3" s="53" t="s">
        <v>169</v>
      </c>
      <c r="R3" s="53" t="s">
        <v>126</v>
      </c>
    </row>
    <row r="4" spans="1:18" ht="30" customHeight="1">
      <c r="A4" t="s">
        <v>282</v>
      </c>
      <c r="C4" s="51" t="s">
        <v>289</v>
      </c>
      <c r="D4" s="51"/>
      <c r="F4" s="49" t="s">
        <v>192</v>
      </c>
      <c r="G4" s="29"/>
      <c r="Q4" s="50" t="s">
        <v>170</v>
      </c>
      <c r="R4" s="50" t="s">
        <v>59</v>
      </c>
    </row>
    <row r="5" spans="1:18" ht="30" customHeight="1">
      <c r="A5" t="s">
        <v>283</v>
      </c>
      <c r="C5" s="51"/>
      <c r="D5" s="51"/>
      <c r="F5" s="52" t="s">
        <v>193</v>
      </c>
      <c r="G5" s="30"/>
      <c r="I5" s="59" t="s">
        <v>205</v>
      </c>
      <c r="Q5" s="53" t="s">
        <v>171</v>
      </c>
      <c r="R5" s="53" t="s">
        <v>172</v>
      </c>
    </row>
    <row r="6" spans="1:18" ht="30" customHeight="1">
      <c r="A6" t="s">
        <v>284</v>
      </c>
      <c r="C6" s="51" t="s">
        <v>290</v>
      </c>
      <c r="D6" s="51"/>
      <c r="F6" s="49" t="s">
        <v>195</v>
      </c>
      <c r="G6" s="31"/>
      <c r="I6" s="50" t="s">
        <v>115</v>
      </c>
      <c r="Q6" s="50" t="s">
        <v>173</v>
      </c>
      <c r="R6" s="50" t="s">
        <v>174</v>
      </c>
    </row>
    <row r="7" spans="1:18" ht="30" customHeight="1">
      <c r="A7" t="s">
        <v>285</v>
      </c>
      <c r="C7" s="51" t="s">
        <v>271</v>
      </c>
      <c r="D7" s="51"/>
      <c r="F7" s="52" t="s">
        <v>194</v>
      </c>
      <c r="G7" s="46"/>
      <c r="I7" s="60" t="s">
        <v>112</v>
      </c>
      <c r="Q7" s="53" t="s">
        <v>175</v>
      </c>
      <c r="R7" s="53" t="s">
        <v>129</v>
      </c>
    </row>
    <row r="8" spans="1:18" ht="30" customHeight="1">
      <c r="A8" s="47" t="s">
        <v>286</v>
      </c>
      <c r="C8" s="51" t="s">
        <v>291</v>
      </c>
      <c r="D8" s="51"/>
      <c r="F8" s="49" t="s">
        <v>196</v>
      </c>
      <c r="G8" s="24"/>
      <c r="Q8" s="50" t="s">
        <v>176</v>
      </c>
      <c r="R8" s="50" t="s">
        <v>127</v>
      </c>
    </row>
    <row r="9" spans="1:18" s="47" customFormat="1" ht="30" customHeight="1">
      <c r="A9" t="s">
        <v>287</v>
      </c>
      <c r="C9" s="51" t="s">
        <v>292</v>
      </c>
      <c r="D9" s="51"/>
      <c r="F9" s="52" t="s">
        <v>197</v>
      </c>
      <c r="G9" s="32"/>
      <c r="K9"/>
      <c r="Q9" s="53" t="s">
        <v>177</v>
      </c>
      <c r="R9" s="53" t="s">
        <v>130</v>
      </c>
    </row>
    <row r="10" spans="1:18" ht="30" customHeight="1">
      <c r="A10" t="s">
        <v>358</v>
      </c>
      <c r="C10" s="51"/>
      <c r="D10" s="51"/>
      <c r="F10" s="49" t="s">
        <v>198</v>
      </c>
      <c r="G10" s="33"/>
      <c r="I10" s="80" t="s">
        <v>316</v>
      </c>
      <c r="Q10" s="50" t="s">
        <v>178</v>
      </c>
      <c r="R10" s="50" t="s">
        <v>128</v>
      </c>
    </row>
    <row r="11" spans="1:18" s="47" customFormat="1" ht="30" customHeight="1">
      <c r="C11" s="51" t="s">
        <v>293</v>
      </c>
      <c r="D11" s="51"/>
      <c r="F11" s="52" t="s">
        <v>368</v>
      </c>
      <c r="G11" s="128"/>
      <c r="K11"/>
      <c r="Q11" s="53" t="s">
        <v>179</v>
      </c>
      <c r="R11" s="53" t="s">
        <v>131</v>
      </c>
    </row>
    <row r="12" spans="1:18" ht="30" customHeight="1">
      <c r="C12" s="51" t="s">
        <v>272</v>
      </c>
      <c r="D12" s="51"/>
      <c r="F12" s="49" t="s">
        <v>369</v>
      </c>
      <c r="G12" s="129"/>
      <c r="Q12" s="53" t="s">
        <v>326</v>
      </c>
      <c r="R12" s="53" t="s">
        <v>327</v>
      </c>
    </row>
    <row r="13" spans="1:18" s="47" customFormat="1" ht="30" customHeight="1">
      <c r="C13" s="51" t="s">
        <v>294</v>
      </c>
      <c r="D13" s="51"/>
      <c r="F13" s="52" t="s">
        <v>370</v>
      </c>
      <c r="G13" s="130"/>
      <c r="K13"/>
      <c r="Q13" s="52" t="s">
        <v>267</v>
      </c>
      <c r="R13" s="100" t="s">
        <v>252</v>
      </c>
    </row>
    <row r="14" spans="1:18" ht="30" customHeight="1">
      <c r="C14" s="51" t="s">
        <v>295</v>
      </c>
      <c r="D14" s="51"/>
      <c r="F14" s="52"/>
      <c r="G14" s="47"/>
      <c r="I14" s="48" t="s">
        <v>213</v>
      </c>
      <c r="Q14" s="52" t="s">
        <v>266</v>
      </c>
      <c r="R14" s="100" t="s">
        <v>253</v>
      </c>
    </row>
    <row r="15" spans="1:18" s="47" customFormat="1" ht="30" customHeight="1">
      <c r="C15" s="51"/>
      <c r="D15" s="51"/>
      <c r="F15" s="49" t="s">
        <v>199</v>
      </c>
      <c r="G15" s="34"/>
      <c r="I15" s="47" t="s">
        <v>209</v>
      </c>
      <c r="K15"/>
      <c r="Q15" s="52" t="s">
        <v>180</v>
      </c>
      <c r="R15" s="100" t="s">
        <v>121</v>
      </c>
    </row>
    <row r="16" spans="1:18" ht="30" customHeight="1">
      <c r="C16" s="51" t="s">
        <v>304</v>
      </c>
      <c r="D16" s="51"/>
      <c r="I16" s="47" t="s">
        <v>210</v>
      </c>
      <c r="Q16" s="52" t="s">
        <v>181</v>
      </c>
      <c r="R16" s="100" t="s">
        <v>132</v>
      </c>
    </row>
    <row r="17" spans="3:18" s="47" customFormat="1" ht="30" customHeight="1">
      <c r="C17" s="51" t="s">
        <v>305</v>
      </c>
      <c r="D17" s="51"/>
      <c r="I17" s="47" t="s">
        <v>211</v>
      </c>
      <c r="K17"/>
      <c r="Q17" s="52" t="s">
        <v>182</v>
      </c>
      <c r="R17" s="100" t="s">
        <v>133</v>
      </c>
    </row>
    <row r="18" spans="3:18" ht="30" customHeight="1">
      <c r="C18" s="51" t="s">
        <v>306</v>
      </c>
      <c r="D18" s="51"/>
      <c r="I18" s="47" t="s">
        <v>212</v>
      </c>
      <c r="Q18" s="52" t="s">
        <v>183</v>
      </c>
      <c r="R18" s="100" t="s">
        <v>134</v>
      </c>
    </row>
    <row r="19" spans="3:18" ht="30" customHeight="1">
      <c r="C19" s="51" t="s">
        <v>307</v>
      </c>
      <c r="D19" s="51"/>
      <c r="I19" s="47" t="s">
        <v>318</v>
      </c>
      <c r="Q19" s="52" t="s">
        <v>184</v>
      </c>
      <c r="R19" s="100" t="s">
        <v>125</v>
      </c>
    </row>
    <row r="20" spans="3:18" ht="30" customHeight="1">
      <c r="C20" s="51" t="s">
        <v>308</v>
      </c>
      <c r="D20" s="51"/>
      <c r="I20" s="47" t="s">
        <v>319</v>
      </c>
      <c r="Q20" s="52" t="s">
        <v>185</v>
      </c>
      <c r="R20" s="100" t="s">
        <v>122</v>
      </c>
    </row>
    <row r="21" spans="3:18" ht="30" customHeight="1">
      <c r="C21" s="51"/>
      <c r="D21" s="51"/>
      <c r="Q21" s="52" t="s">
        <v>186</v>
      </c>
      <c r="R21" s="100" t="s">
        <v>123</v>
      </c>
    </row>
    <row r="22" spans="3:18" ht="30" customHeight="1">
      <c r="C22" s="51"/>
      <c r="D22" s="51"/>
      <c r="Q22" s="52" t="s">
        <v>187</v>
      </c>
      <c r="R22" s="100" t="s">
        <v>118</v>
      </c>
    </row>
    <row r="23" spans="3:18" ht="30" customHeight="1">
      <c r="C23" s="51"/>
      <c r="D23" s="51"/>
      <c r="Q23" s="52" t="s">
        <v>188</v>
      </c>
      <c r="R23" s="100" t="s">
        <v>119</v>
      </c>
    </row>
    <row r="24" spans="3:18" ht="30" customHeight="1">
      <c r="C24" s="51"/>
      <c r="D24" s="51"/>
      <c r="Q24" s="52" t="s">
        <v>189</v>
      </c>
      <c r="R24" s="100" t="s">
        <v>87</v>
      </c>
    </row>
    <row r="25" spans="3:18" ht="30" customHeight="1">
      <c r="Q25" s="52" t="s">
        <v>220</v>
      </c>
      <c r="R25" s="100" t="s">
        <v>222</v>
      </c>
    </row>
    <row r="26" spans="3:18" ht="30" customHeight="1">
      <c r="Q26" s="52" t="s">
        <v>221</v>
      </c>
      <c r="R26" s="100" t="s">
        <v>223</v>
      </c>
    </row>
    <row r="27" spans="3:18" ht="30" customHeight="1">
      <c r="Q27" s="52" t="s">
        <v>224</v>
      </c>
      <c r="R27" s="100" t="s">
        <v>225</v>
      </c>
    </row>
    <row r="28" spans="3:18" ht="30" customHeight="1">
      <c r="Q28" s="52" t="s">
        <v>226</v>
      </c>
      <c r="R28" s="100" t="s">
        <v>227</v>
      </c>
    </row>
    <row r="29" spans="3:18" ht="30" customHeight="1">
      <c r="Q29" s="52" t="s">
        <v>228</v>
      </c>
      <c r="R29" s="100" t="s">
        <v>60</v>
      </c>
    </row>
    <row r="30" spans="3:18" ht="30" customHeight="1">
      <c r="Q30" s="52" t="s">
        <v>229</v>
      </c>
      <c r="R30" s="100" t="s">
        <v>230</v>
      </c>
    </row>
    <row r="31" spans="3:18" ht="30" customHeight="1">
      <c r="Q31" s="52" t="s">
        <v>251</v>
      </c>
      <c r="R31" s="100" t="s">
        <v>245</v>
      </c>
    </row>
    <row r="32" spans="3:18" ht="30" customHeight="1">
      <c r="Q32" s="52" t="s">
        <v>254</v>
      </c>
      <c r="R32" s="100" t="s">
        <v>246</v>
      </c>
    </row>
    <row r="33" spans="17:18" ht="30" customHeight="1">
      <c r="Q33" s="52" t="s">
        <v>255</v>
      </c>
      <c r="R33" s="100" t="s">
        <v>247</v>
      </c>
    </row>
    <row r="34" spans="17:18" ht="30" customHeight="1">
      <c r="Q34" s="52" t="s">
        <v>256</v>
      </c>
      <c r="R34" s="100" t="s">
        <v>172</v>
      </c>
    </row>
    <row r="35" spans="17:18" ht="30" customHeight="1">
      <c r="Q35" s="52" t="s">
        <v>257</v>
      </c>
      <c r="R35" s="100" t="s">
        <v>174</v>
      </c>
    </row>
    <row r="36" spans="17:18" ht="30" customHeight="1">
      <c r="Q36" s="52" t="s">
        <v>260</v>
      </c>
      <c r="R36" s="100" t="s">
        <v>82</v>
      </c>
    </row>
    <row r="37" spans="17:18" ht="30" customHeight="1">
      <c r="Q37" s="60" t="s">
        <v>324</v>
      </c>
      <c r="R37" s="60" t="s">
        <v>325</v>
      </c>
    </row>
    <row r="38" spans="17:18" ht="30" customHeight="1">
      <c r="Q38" s="53" t="s">
        <v>330</v>
      </c>
      <c r="R38" s="53" t="s">
        <v>331</v>
      </c>
    </row>
    <row r="39" spans="17:18" ht="30" customHeight="1">
      <c r="Q39" s="53" t="s">
        <v>332</v>
      </c>
      <c r="R39" s="53" t="s">
        <v>333</v>
      </c>
    </row>
    <row r="40" spans="17:18" ht="30" customHeight="1">
      <c r="Q40" s="53" t="s">
        <v>334</v>
      </c>
      <c r="R40" s="53" t="s">
        <v>335</v>
      </c>
    </row>
    <row r="41" spans="17:18" ht="30" customHeight="1">
      <c r="Q41" s="60" t="s">
        <v>336</v>
      </c>
      <c r="R41" s="60" t="s">
        <v>337</v>
      </c>
    </row>
    <row r="42" spans="17:18" ht="30" customHeight="1">
      <c r="Q42" s="60" t="s">
        <v>371</v>
      </c>
      <c r="R42" s="60" t="s">
        <v>372</v>
      </c>
    </row>
    <row r="43" spans="17:18" ht="30" customHeight="1">
      <c r="Q43" s="60" t="s">
        <v>373</v>
      </c>
      <c r="R43" s="60" t="s">
        <v>374</v>
      </c>
    </row>
    <row r="44" spans="17:18" ht="30" customHeight="1">
      <c r="Q44" s="60" t="s">
        <v>375</v>
      </c>
      <c r="R44" s="60" t="s">
        <v>376</v>
      </c>
    </row>
    <row r="45" spans="17:18" ht="30" customHeight="1">
      <c r="Q45" s="60" t="s">
        <v>377</v>
      </c>
      <c r="R45" s="60" t="s">
        <v>383</v>
      </c>
    </row>
    <row r="46" spans="17:18" ht="30" customHeight="1">
      <c r="Q46" s="60" t="s">
        <v>378</v>
      </c>
      <c r="R46" s="60" t="s">
        <v>384</v>
      </c>
    </row>
    <row r="47" spans="17:18" ht="30" customHeight="1">
      <c r="Q47" s="60" t="s">
        <v>379</v>
      </c>
      <c r="R47" s="60" t="s">
        <v>385</v>
      </c>
    </row>
    <row r="48" spans="17:18" ht="30" customHeight="1">
      <c r="Q48" s="60" t="s">
        <v>380</v>
      </c>
      <c r="R48" s="60" t="s">
        <v>386</v>
      </c>
    </row>
    <row r="49" spans="17:18" ht="30" customHeight="1">
      <c r="Q49" s="60" t="s">
        <v>381</v>
      </c>
      <c r="R49" s="60" t="s">
        <v>387</v>
      </c>
    </row>
    <row r="50" spans="17:18" ht="30" customHeight="1">
      <c r="Q50" s="60" t="s">
        <v>382</v>
      </c>
      <c r="R50" s="60" t="s">
        <v>388</v>
      </c>
    </row>
    <row r="51" spans="17:18" ht="30" customHeight="1"/>
    <row r="52" spans="17:18" ht="30" customHeight="1"/>
    <row r="53" spans="17:18" ht="30" customHeight="1"/>
    <row r="54" spans="17:18" ht="30" customHeight="1"/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ColWidth="10.83203125" defaultRowHeight="13"/>
  <cols>
    <col min="1" max="8" width="10.83203125" style="25"/>
    <col min="9" max="9" width="27" style="25" customWidth="1"/>
    <col min="10" max="10" width="4.5" style="25" customWidth="1"/>
    <col min="11" max="16384" width="10.83203125" style="25"/>
  </cols>
  <sheetData>
    <row r="24" spans="8:11">
      <c r="H24" s="25" t="s">
        <v>166</v>
      </c>
    </row>
    <row r="26" spans="8:11">
      <c r="H26" s="36"/>
      <c r="I26" s="37"/>
      <c r="J26" s="37"/>
      <c r="K26" s="38"/>
    </row>
    <row r="27" spans="8:11">
      <c r="H27" s="39"/>
      <c r="K27" s="40"/>
    </row>
    <row r="28" spans="8:11">
      <c r="H28" s="45" t="s">
        <v>164</v>
      </c>
      <c r="I28" s="44"/>
      <c r="K28" s="40"/>
    </row>
    <row r="29" spans="8:11">
      <c r="H29" s="45"/>
      <c r="K29" s="40"/>
    </row>
    <row r="30" spans="8:11">
      <c r="H30" s="45" t="s">
        <v>165</v>
      </c>
      <c r="I30" s="44"/>
      <c r="K30" s="40"/>
    </row>
    <row r="31" spans="8:11">
      <c r="H31" s="39"/>
      <c r="K31" s="40"/>
    </row>
    <row r="32" spans="8:11">
      <c r="H32" s="41"/>
      <c r="I32" s="42"/>
      <c r="J32" s="42"/>
      <c r="K32" s="43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184</vt:i4>
      </vt:variant>
    </vt:vector>
  </HeadingPairs>
  <TitlesOfParts>
    <vt:vector size="191" baseType="lpstr">
      <vt:lpstr>Compo</vt:lpstr>
      <vt:lpstr>Saisie vidéo</vt:lpstr>
      <vt:lpstr>Journal actions</vt:lpstr>
      <vt:lpstr>Stats match</vt:lpstr>
      <vt:lpstr>Listes</vt:lpstr>
      <vt:lpstr>Paramètres</vt:lpstr>
      <vt:lpstr>Popup</vt:lpstr>
      <vt:lpstr>ACT_ARRACHAGE</vt:lpstr>
      <vt:lpstr>ACT_ARRET_DU_JEU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2026-08-11T16:47:05Z</dcterms:modified>
</cp:coreProperties>
</file>