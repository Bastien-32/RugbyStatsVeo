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92FF9DB3-E10C-EE4C-8060-951541DD1024}" xr6:coauthVersionLast="47" xr6:coauthVersionMax="47" xr10:uidLastSave="{00000000-0000-0000-0000-000000000000}"/>
  <bookViews>
    <workbookView xWindow="17640" yWindow="660" windowWidth="16300" windowHeight="16840" activeTab="2" xr2:uid="{E8B4549D-000B-E146-8407-25E0270EAA41}"/>
    <workbookView xWindow="14440" yWindow="15340" windowWidth="20120" windowHeight="7000" activeTab="3" xr2:uid="{24624F61-BF27-154E-B466-D46D35A5A73D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  <sheet name="Touches Melees" sheetId="18" r:id="rId9"/>
    <sheet name="Popup touche" sheetId="19" state="hidden" r:id="rId10"/>
    <sheet name="Popup melee" sheetId="20" state="hidden" r:id="rId11"/>
    <sheet name="Popup penalite" sheetId="21" r:id="rId12"/>
    <sheet name="Feuil2" sheetId="22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penalite'!$B$29</definedName>
    <definedName name="PEN_CONTEXTE">'Popup penalite'!$E$4:$E$6</definedName>
    <definedName name="PEN_JOUEURS">'Popup penalite'!$K$7:$U$28</definedName>
    <definedName name="PEN_MOTIFS">'Popup penalite'!$B$7:$I$28</definedName>
    <definedName name="PEN_VALIDER">'Popup penalite'!$E$29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8" l="1"/>
  <c r="M7" i="18"/>
  <c r="N6" i="18"/>
  <c r="M6" i="18"/>
  <c r="D7" i="18"/>
  <c r="C7" i="18"/>
  <c r="B7" i="18"/>
  <c r="D6" i="18"/>
  <c r="C6" i="18"/>
  <c r="B6" i="18"/>
  <c r="E38" i="12"/>
  <c r="E37" i="12"/>
  <c r="E42" i="12"/>
  <c r="D42" i="12"/>
  <c r="E41" i="12"/>
  <c r="F70" i="3"/>
  <c r="E70" i="3"/>
  <c r="F7" i="3" l="1"/>
  <c r="E7" i="3"/>
  <c r="S6" i="12"/>
  <c r="Q6" i="12"/>
  <c r="R31" i="12" s="1"/>
  <c r="O6" i="12"/>
  <c r="H42" i="12"/>
  <c r="H41" i="12"/>
  <c r="H38" i="12"/>
  <c r="H37" i="12"/>
  <c r="C1" i="2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<sst xmlns="http://schemas.openxmlformats.org/spreadsheetml/2006/main" count="875" uniqueCount="602">
  <si>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</si>
  <si>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</si>
  <si>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</si>
  <si>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</si>
  <si>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</si>
  <si>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</si>
  <si>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</si>
  <si>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</si>
  <si>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</si>
  <si>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</si>
  <si>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</si>
  <si>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</si>
  <si>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</si>
  <si>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</si>
  <si>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</si>
  <si>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</si>
  <si>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</si>
  <si>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</si>
  <si>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</si>
  <si>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</si>
  <si>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</si>
  <si>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</si>
  <si>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</si>
  <si>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</si>
  <si>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</si>
  <si>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</si>
  <si>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</si>
  <si>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</si>
  <si>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</si>
  <si>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</si>
  <si>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</si>
  <si>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</si>
  <si>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</si>
  <si>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</si>
  <si>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</si>
  <si>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</si>
  <si>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</si>
  <si>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</si>
  <si>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</si>
  <si>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</si>
  <si>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</si>
  <si>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</si>
  <si>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</si>
  <si>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</si>
  <si>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</si>
  <si>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</si>
  <si>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</si>
  <si>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</si>
  <si>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</si>
  <si>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</si>
  <si>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</si>
  <si>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</si>
  <si>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</si>
  <si>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</si>
  <si>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</si>
  <si>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</si>
  <si>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</si>
  <si>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</si>
  <si>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</si>
  <si>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</si>
  <si>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</si>
  <si>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</si>
  <si>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</si>
  <si>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</si>
  <si>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</si>
  <si>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</si>
  <si>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</si>
  <si>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</si>
  <si>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</si>
  <si>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</si>
  <si>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</si>
  <si>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</si>
  <si>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</si>
  <si>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</si>
  <si>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</si>
  <si>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</si>
  <si>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</si>
  <si>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</si>
  <si>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</si>
  <si>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</si>
  <si>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</si>
  <si>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</si>
  <si>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</si>
  <si>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</si>
  <si>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</si>
  <si>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</si>
  <si>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</si>
  <si>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</si>
  <si>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</si>
  <si>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</si>
  <si>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</si>
  <si>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</si>
  <si>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</si>
  <si>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</si>
  <si>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</si>
  <si>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</si>
  <si>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</si>
  <si>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</si>
  <si>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</si>
  <si>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</si>
  <si>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</si>
  <si>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</si>
  <si>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</si>
  <si>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</si>
  <si>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</si>
  <si>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</si>
  <si>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</si>
  <si>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</si>
  <si>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</si>
  <si>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</si>
  <si>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</si>
  <si>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</si>
  <si>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</si>
  <si>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</si>
  <si>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</si>
  <si>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</si>
  <si>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</si>
  <si>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</si>
  <si>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</si>
  <si>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</si>
  <si>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</si>
  <si>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</si>
  <si>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</si>
  <si>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</si>
  <si>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</si>
  <si>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</si>
  <si>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</si>
  <si>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</si>
  <si>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</si>
  <si>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</si>
  <si>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</si>
  <si>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</si>
  <si>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</si>
  <si>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</si>
  <si>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</si>
  <si>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</si>
  <si>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</si>
  <si>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</si>
  <si>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</si>
  <si>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</si>
  <si>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</si>
  <si>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</si>
  <si>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</si>
  <si>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</si>
  <si>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</si>
  <si>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</si>
  <si>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</si>
  <si>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</si>
  <si>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</si>
  <si>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</si>
  <si>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</si>
  <si>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</si>
  <si>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</si>
  <si>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</si>
  <si>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</si>
  <si>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</si>
  <si>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</si>
  <si>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</si>
  <si>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</si>
  <si>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</si>
  <si>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</si>
  <si>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</si>
  <si>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</si>
  <si>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</si>
  <si>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</si>
  <si>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</si>
  <si>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</si>
  <si>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</si>
  <si>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</si>
  <si>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</si>
  <si>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</si>
  <si>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</si>
  <si>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</si>
  <si>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</si>
  <si>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</si>
  <si>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</si>
  <si>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</si>
  <si>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</si>
  <si>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</si>
  <si>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</si>
  <si>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</si>
  <si>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</si>
  <si>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</si>
  <si>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</si>
  <si>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</si>
  <si>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</si>
  <si>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</si>
  <si>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</si>
  <si>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</si>
  <si>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</si>
  <si>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</si>
  <si>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</si>
  <si>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</si>
  <si>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</si>
  <si>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</si>
  <si>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</si>
  <si>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</si>
  <si>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</si>
  <si>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</si>
  <si>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</si>
  <si>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</si>
  <si>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</si>
  <si>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</si>
  <si>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</si>
  <si>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</si>
  <si>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</si>
  <si>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</si>
  <si>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</si>
  <si>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</si>
  <si>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</si>
  <si>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</si>
  <si>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</si>
  <si>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</si>
  <si>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</si>
  <si>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</si>
  <si>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</si>
  <si>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</si>
  <si>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</si>
  <si>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</si>
  <si>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</si>
  <si>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</si>
  <si>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</si>
  <si>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</si>
  <si>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</si>
  <si>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</si>
  <si>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</si>
  <si>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</si>
  <si>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</si>
  <si>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</si>
  <si>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</si>
  <si>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</si>
  <si>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</si>
  <si>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</si>
  <si>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</si>
  <si>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</si>
  <si>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</si>
  <si>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</si>
  <si>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</si>
  <si>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</si>
  <si>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</si>
  <si>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</si>
  <si>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</si>
  <si>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</si>
  <si>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</si>
  <si>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</si>
  <si>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</si>
  <si>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</si>
  <si>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</si>
  <si>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</si>
  <si>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</si>
  <si>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</si>
  <si>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</si>
  <si>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</si>
  <si>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</si>
  <si>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</si>
  <si>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</si>
  <si>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</si>
  <si>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</si>
  <si>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</si>
  <si>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</si>
  <si>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</si>
  <si>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</si>
  <si>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</si>
  <si>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</si>
  <si>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</si>
  <si>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</si>
  <si>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</si>
  <si>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</si>
  <si>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</si>
  <si>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</si>
  <si>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</si>
  <si>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</si>
  <si>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</si>
  <si>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</si>
  <si>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</si>
  <si>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</si>
  <si>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</si>
  <si>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</si>
  <si>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</si>
  <si>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</si>
  <si>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</si>
  <si>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</si>
  <si>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</si>
  <si>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</si>
  <si>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</si>
  <si>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</si>
  <si>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</si>
  <si>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</si>
  <si>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</si>
  <si>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</si>
  <si>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</si>
  <si>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</si>
  <si>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</si>
  <si>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</si>
  <si>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</si>
  <si>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</si>
  <si>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</si>
  <si>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</si>
  <si>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</si>
  <si>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</si>
  <si>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</si>
  <si>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</si>
  <si>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</si>
  <si>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</si>
  <si>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</si>
  <si>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</si>
  <si>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</si>
  <si>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</si>
  <si>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</si>
  <si>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</si>
  <si>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</si>
  <si>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</si>
  <si>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</si>
  <si>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</si>
  <si>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</si>
  <si>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</si>
  <si>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</si>
  <si>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</si>
  <si>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</si>
  <si>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</si>
  <si>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</si>
  <si>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</si>
  <si>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</si>
  <si>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</si>
  <si>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</si>
  <si>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</si>
  <si>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</si>
  <si>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</si>
  <si>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</si>
  <si>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</si>
  <si>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</si>
  <si>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</si>
  <si>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</si>
  <si>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</si>
  <si>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</si>
  <si>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</si>
  <si>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</si>
  <si>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</si>
  <si>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</si>
  <si>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</si>
  <si>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</si>
  <si>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</si>
  <si>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</si>
  <si>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</si>
  <si>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</si>
  <si>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</si>
  <si>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</si>
  <si>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</si>
  <si>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</si>
  <si>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</si>
  <si>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</si>
  <si>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</si>
  <si>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</si>
  <si>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</si>
  <si>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</si>
  <si>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</si>
  <si>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</si>
  <si>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</si>
  <si>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</si>
  <si>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</si>
  <si>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</si>
  <si>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</si>
  <si>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</si>
  <si>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</si>
  <si>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</si>
  <si>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</si>
  <si>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</si>
  <si>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</si>
  <si>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</si>
  <si>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</si>
  <si>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</si>
  <si>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</si>
  <si>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</si>
  <si>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</si>
  <si>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</si>
  <si>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</si>
  <si>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</si>
  <si>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</si>
  <si>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</si>
  <si>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</si>
  <si>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</si>
  <si>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</si>
  <si>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</si>
  <si>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</si>
  <si>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</si>
  <si>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</si>
  <si>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</si>
  <si>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</si>
  <si>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</si>
  <si>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</si>
  <si>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</si>
  <si>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</si>
  <si>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</si>
  <si>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</si>
  <si>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</si>
  <si>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</si>
  <si>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</si>
  <si>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</si>
  <si>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</si>
  <si>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</si>
  <si>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</si>
  <si>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</si>
  <si>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</si>
  <si>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</si>
  <si>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</si>
  <si>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</si>
  <si>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</si>
  <si>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</si>
  <si>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</si>
  <si>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</si>
  <si>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</si>
  <si>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</si>
  <si>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</si>
  <si>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</si>
  <si>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</si>
  <si>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</si>
  <si>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</si>
  <si>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</si>
  <si>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</si>
  <si>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</si>
  <si>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</si>
  <si>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</si>
  <si>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</si>
  <si>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</si>
  <si>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</si>
  <si>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</si>
  <si>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</si>
  <si>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</si>
  <si>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</si>
  <si>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</si>
  <si>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</si>
  <si>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</si>
  <si>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</si>
  <si>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</si>
  <si>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</si>
  <si>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</si>
  <si>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</si>
  <si>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</si>
  <si>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</si>
  <si>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</si>
  <si>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</si>
  <si>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</si>
  <si>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</si>
  <si>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</si>
  <si>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</si>
  <si>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</si>
  <si>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</si>
  <si>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</si>
  <si>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</si>
  <si>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</si>
  <si>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</si>
  <si>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</si>
  <si>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</si>
  <si>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</si>
  <si>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</si>
  <si>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</si>
  <si>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</si>
  <si>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</si>
  <si>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</si>
  <si>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</si>
  <si>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</si>
  <si>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</si>
  <si>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</si>
  <si>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</si>
  <si>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</si>
  <si>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</si>
  <si>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</si>
  <si>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</si>
  <si>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</si>
  <si>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</si>
  <si>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</si>
  <si>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</si>
  <si>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</si>
  <si>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</si>
  <si>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</si>
  <si>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</si>
  <si>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</si>
  <si>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</si>
  <si>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</si>
  <si>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</si>
  <si>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</si>
  <si>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</si>
  <si>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</si>
  <si>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</si>
  <si>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</si>
  <si>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</si>
  <si>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</si>
  <si>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</si>
  <si>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</si>
  <si>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</si>
  <si>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</si>
  <si>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</si>
  <si>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</si>
  <si>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</si>
  <si>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</si>
  <si>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</si>
  <si>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</si>
  <si>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</si>
  <si>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</si>
  <si>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</si>
  <si>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</si>
  <si>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</si>
  <si>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</si>
  <si>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</si>
  <si>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</si>
  <si>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</si>
  <si>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</si>
  <si>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</si>
  <si>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</si>
  <si>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</si>
  <si>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</si>
  <si>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</si>
  <si>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</si>
  <si>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</si>
  <si>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</si>
  <si>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</si>
  <si>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</si>
  <si>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</si>
  <si>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</si>
  <si>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</si>
  <si>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</si>
  <si>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</si>
  <si>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</si>
  <si>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</si>
  <si>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</si>
  <si>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</si>
  <si>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</si>
  <si>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</si>
  <si>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</si>
  <si>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</si>
  <si>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</si>
  <si>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</si>
  <si>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</si>
  <si>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</si>
  <si>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Perdue</t>
  </si>
  <si>
    <t>Pas droites</t>
  </si>
  <si>
    <t>Melees</t>
  </si>
  <si>
    <t>PENALITE</t>
  </si>
  <si>
    <t>Contre</t>
  </si>
  <si>
    <t>VALIDER  (Entree)</t>
  </si>
  <si>
    <t>Plaquage sans ballon</t>
  </si>
  <si>
    <t>Plaquage à retardement</t>
  </si>
  <si>
    <t>Talonnage à la main</t>
  </si>
  <si>
    <t>Parle arbitre</t>
  </si>
  <si>
    <t>Brutalité</t>
  </si>
  <si>
    <t>Retard soutient</t>
  </si>
  <si>
    <t>Soutient va au-delà</t>
  </si>
  <si>
    <t>Soutient couché sur porteur</t>
  </si>
  <si>
    <t>4 appuis</t>
  </si>
  <si>
    <t>En-avant volontaire</t>
  </si>
  <si>
    <t>Plaqueur qui ne sort pas</t>
  </si>
  <si>
    <t>Hors-jeu - départ devant botteur</t>
  </si>
  <si>
    <t>Garde le ballon au sol</t>
  </si>
  <si>
    <t>Melee poussee avant introduction</t>
  </si>
  <si>
    <t>Maul écroulé</t>
  </si>
  <si>
    <t>Entrer sur le côté maul</t>
  </si>
  <si>
    <t>STYLE_BTN_JOUEUR_ACTIF</t>
  </si>
  <si>
    <t>STYLE_BTN_JOUEUR_INACTIF</t>
  </si>
  <si>
    <t>LOUREIRO LABAZUY Antonio</t>
  </si>
  <si>
    <r>
      <t xml:space="preserve">6
</t>
    </r>
    <r>
      <rPr>
        <sz val="9"/>
        <color rgb="FF000000"/>
        <rFont val="Arial"/>
        <family val="2"/>
      </rPr>
      <t>LOUREIRO LABAZUY</t>
    </r>
  </si>
  <si>
    <t>ABADIE Quentin</t>
  </si>
  <si>
    <r>
      <t xml:space="preserve">1
</t>
    </r>
    <r>
      <rPr>
        <sz val="9"/>
        <color rgb="FF000000"/>
        <rFont val="Arial"/>
        <family val="2"/>
      </rPr>
      <t>ABADIE</t>
    </r>
  </si>
  <si>
    <t>DALLA ROSA Jonah</t>
  </si>
  <si>
    <r>
      <t xml:space="preserve">2
</t>
    </r>
    <r>
      <rPr>
        <sz val="9"/>
        <color rgb="FF000000"/>
        <rFont val="Arial"/>
        <family val="2"/>
      </rPr>
      <t>DALLA ROSA</t>
    </r>
  </si>
  <si>
    <t>BAUP Bastien</t>
  </si>
  <si>
    <r>
      <t xml:space="preserve">3
</t>
    </r>
    <r>
      <rPr>
        <sz val="9"/>
        <color rgb="FF000000"/>
        <rFont val="Arial"/>
        <family val="2"/>
      </rPr>
      <t>BAUP</t>
    </r>
  </si>
  <si>
    <t>ABADIE Emeric</t>
  </si>
  <si>
    <r>
      <t xml:space="preserve">4
</t>
    </r>
    <r>
      <rPr>
        <sz val="9"/>
        <color rgb="FF000000"/>
        <rFont val="Arial"/>
        <family val="2"/>
      </rPr>
      <t>ABADIE</t>
    </r>
  </si>
  <si>
    <t>MICHELIN Paul</t>
  </si>
  <si>
    <r>
      <t xml:space="preserve">5
</t>
    </r>
    <r>
      <rPr>
        <sz val="9"/>
        <color rgb="FF000000"/>
        <rFont val="Arial"/>
        <family val="2"/>
      </rPr>
      <t>MICHELIN</t>
    </r>
  </si>
  <si>
    <t>BARATGIN Julian</t>
  </si>
  <si>
    <r>
      <t xml:space="preserve">7
</t>
    </r>
    <r>
      <rPr>
        <sz val="9"/>
        <color rgb="FF000000"/>
        <rFont val="Arial"/>
        <family val="2"/>
      </rPr>
      <t>BARATGIN</t>
    </r>
  </si>
  <si>
    <t>BAYLE Jean</t>
  </si>
  <si>
    <r>
      <t xml:space="preserve">8
</t>
    </r>
    <r>
      <rPr>
        <sz val="9"/>
        <color rgb="FF000000"/>
        <rFont val="Arial"/>
        <family val="2"/>
      </rPr>
      <t>BAYLE</t>
    </r>
  </si>
  <si>
    <t>MOUDENS Alexis</t>
  </si>
  <si>
    <r>
      <t xml:space="preserve">9
</t>
    </r>
    <r>
      <rPr>
        <sz val="9"/>
        <color rgb="FF000000"/>
        <rFont val="Arial"/>
        <family val="2"/>
      </rPr>
      <t>MOUDENS</t>
    </r>
  </si>
  <si>
    <t>COURREGES Romain</t>
  </si>
  <si>
    <r>
      <t xml:space="preserve">10
</t>
    </r>
    <r>
      <rPr>
        <sz val="9"/>
        <color rgb="FF000000"/>
        <rFont val="Arial"/>
        <family val="2"/>
      </rPr>
      <t>COURREGES</t>
    </r>
  </si>
  <si>
    <t>BOURREC Anthony</t>
  </si>
  <si>
    <r>
      <t xml:space="preserve">11
</t>
    </r>
    <r>
      <rPr>
        <sz val="9"/>
        <color rgb="FF000000"/>
        <rFont val="Arial"/>
        <family val="2"/>
      </rPr>
      <t>BOURREC</t>
    </r>
  </si>
  <si>
    <t>LAUDET Jean Baptiste</t>
  </si>
  <si>
    <r>
      <t xml:space="preserve">12
</t>
    </r>
    <r>
      <rPr>
        <sz val="9"/>
        <color rgb="FF000000"/>
        <rFont val="Arial"/>
        <family val="2"/>
      </rPr>
      <t>LAUDET</t>
    </r>
  </si>
  <si>
    <t>KAPFER Bastien</t>
  </si>
  <si>
    <r>
      <t xml:space="preserve">13
</t>
    </r>
    <r>
      <rPr>
        <sz val="9"/>
        <color rgb="FF000000"/>
        <rFont val="Arial"/>
        <family val="2"/>
      </rPr>
      <t>KAPFER</t>
    </r>
  </si>
  <si>
    <t>JOUNAUX Joris</t>
  </si>
  <si>
    <r>
      <t xml:space="preserve">14
</t>
    </r>
    <r>
      <rPr>
        <sz val="9"/>
        <color rgb="FF000000"/>
        <rFont val="Arial"/>
        <family val="2"/>
      </rPr>
      <t>JOUNAUX</t>
    </r>
  </si>
  <si>
    <t>SALLES Fabien</t>
  </si>
  <si>
    <r>
      <t xml:space="preserve">15
</t>
    </r>
    <r>
      <rPr>
        <sz val="9"/>
        <color rgb="FF000000"/>
        <rFont val="Arial"/>
        <family val="2"/>
      </rPr>
      <t>SALLES</t>
    </r>
  </si>
  <si>
    <t>RICHIARDONNE Gregory</t>
  </si>
  <si>
    <r>
      <t xml:space="preserve">16
</t>
    </r>
    <r>
      <rPr>
        <sz val="9"/>
        <color rgb="FF000000"/>
        <rFont val="Arial"/>
        <family val="2"/>
      </rPr>
      <t>RICHIARDONNE</t>
    </r>
  </si>
  <si>
    <t>ROBERT Jimmy</t>
  </si>
  <si>
    <r>
      <t xml:space="preserve">17
</t>
    </r>
    <r>
      <rPr>
        <sz val="9"/>
        <color rgb="FF000000"/>
        <rFont val="Arial"/>
        <family val="2"/>
      </rPr>
      <t>ROBERT</t>
    </r>
  </si>
  <si>
    <t>BIFFI Pierre</t>
  </si>
  <si>
    <r>
      <t xml:space="preserve">18
</t>
    </r>
    <r>
      <rPr>
        <sz val="9"/>
        <color rgb="FF000000"/>
        <rFont val="Arial"/>
        <family val="2"/>
      </rPr>
      <t>BIFFI</t>
    </r>
  </si>
  <si>
    <t>ROUSSEL Mathis</t>
  </si>
  <si>
    <r>
      <t xml:space="preserve">19
</t>
    </r>
    <r>
      <rPr>
        <sz val="9"/>
        <color rgb="FF000000"/>
        <rFont val="Arial"/>
        <family val="2"/>
      </rPr>
      <t>ROUSSEL</t>
    </r>
  </si>
  <si>
    <t>CESCA Sacha</t>
  </si>
  <si>
    <r>
      <t xml:space="preserve">20
</t>
    </r>
    <r>
      <rPr>
        <sz val="9"/>
        <color rgb="FF000000"/>
        <rFont val="Arial"/>
        <family val="2"/>
      </rPr>
      <t>CESCA</t>
    </r>
  </si>
  <si>
    <t>ABADIE Thomas</t>
  </si>
  <si>
    <r>
      <t xml:space="preserve">21
</t>
    </r>
    <r>
      <rPr>
        <sz val="9"/>
        <color rgb="FF000000"/>
        <rFont val="Arial"/>
        <family val="2"/>
      </rPr>
      <t>ABADIE</t>
    </r>
  </si>
  <si>
    <t>BAQUE Lucas</t>
  </si>
  <si>
    <r>
      <t xml:space="preserve">22
</t>
    </r>
    <r>
      <rPr>
        <sz val="9"/>
        <color rgb="FF000000"/>
        <rFont val="Arial"/>
        <family val="2"/>
      </rPr>
      <t>BAQUE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</si>
</sst>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FF0000"/>
      <name val="Arial"/>
      <family val="2"/>
    </font>
    <font>
      <sz val="9"/>
      <color rgb="FF00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theme="7" tint="0.79998168889431442"/>
        <bgColor indexed="64"/>
      </patternFill>
    </fill>
  </fills>
  <borders count="10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69696"/>
      </left>
      <right/>
      <top style="thin">
        <color rgb="FF969696"/>
      </top>
      <bottom style="thin">
        <color rgb="FF969696"/>
      </bottom>
      <diagonal/>
    </border>
    <border>
      <left/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10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42" fillId="0" borderId="0" xfId="0" applyFont="1" applyAlignment="1">
      <alignment wrapText="1"/>
    </xf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90" xfId="0" applyFill="1" applyBorder="1" applyAlignment="1">
      <alignment horizontal="right"/>
    </xf>
    <xf numFmtId="0" fontId="0" fillId="17" borderId="92" xfId="0" applyFill="1" applyBorder="1"/>
    <xf numFmtId="0" fontId="0" fillId="17" borderId="93" xfId="0" applyFill="1" applyBorder="1"/>
    <xf numFmtId="0" fontId="0" fillId="17" borderId="94" xfId="0" applyFill="1" applyBorder="1"/>
    <xf numFmtId="0" fontId="0" fillId="17" borderId="45" xfId="0" applyFill="1" applyBorder="1"/>
    <xf numFmtId="0" fontId="0" fillId="0" borderId="25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3" xfId="0" applyBorder="1"/>
    <xf numFmtId="0" fontId="0" fillId="0" borderId="6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56" xfId="0" applyFont="1" applyFill="1" applyBorder="1" applyAlignment="1">
      <alignment horizontal="center" vertical="center" wrapText="1"/>
    </xf>
    <xf numFmtId="0" fontId="0" fillId="0" borderId="99" xfId="0" applyBorder="1"/>
    <xf numFmtId="0" fontId="0" fillId="17" borderId="80" xfId="0" applyFill="1" applyBorder="1"/>
    <xf numFmtId="0" fontId="0" fillId="17" borderId="98" xfId="0" applyFill="1" applyBorder="1"/>
    <xf numFmtId="0" fontId="0" fillId="0" borderId="53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4" xfId="0" applyBorder="1"/>
    <xf numFmtId="0" fontId="0" fillId="0" borderId="68" xfId="0" applyBorder="1"/>
    <xf numFmtId="0" fontId="8" fillId="10" borderId="0" xfId="0" applyFont="1" applyFill="1" applyAlignment="1">
      <alignment horizontal="center" vertical="center" wrapText="1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19" fillId="10" borderId="0" xfId="0" applyFont="1" applyFill="1" applyAlignment="1">
      <alignment horizontal="center" vertical="center" wrapText="1"/>
    </xf>
    <xf numFmtId="0" fontId="0" fillId="0" borderId="70" xfId="0" applyBorder="1"/>
    <xf numFmtId="0" fontId="0" fillId="0" borderId="101" xfId="0" applyBorder="1"/>
    <xf numFmtId="0" fontId="0" fillId="0" borderId="100" xfId="0" applyBorder="1"/>
    <xf numFmtId="0" fontId="0" fillId="0" borderId="85" xfId="0" applyBorder="1"/>
    <xf numFmtId="0" fontId="39" fillId="16" borderId="0" xfId="0" applyFont="1" applyFill="1" applyAlignment="1">
      <alignment horizontal="left" vertical="center"/>
    </xf>
    <xf numFmtId="0" fontId="0" fillId="0" borderId="86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17" borderId="0" xfId="0" applyNumberFormat="1" applyFill="1"/>
    <xf numFmtId="0" fontId="44" fillId="0" borderId="0" xfId="0" applyFont="1"/>
    <xf numFmtId="16" fontId="0" fillId="0" borderId="0" xfId="0" applyNumberFormat="1"/>
    <xf numFmtId="0" fontId="45" fillId="16" borderId="0" xfId="0" applyFont="1" applyFill="1"/>
    <xf numFmtId="0" fontId="46" fillId="16" borderId="0" xfId="0" applyFont="1" applyFill="1"/>
    <xf numFmtId="0" fontId="47" fillId="16" borderId="0" xfId="0" applyFont="1" applyFill="1"/>
    <xf numFmtId="0" fontId="48" fillId="33" borderId="0" xfId="0" applyFont="1" applyFill="1" applyAlignment="1">
      <alignment horizontal="center"/>
    </xf>
    <xf numFmtId="0" fontId="46" fillId="16" borderId="102" xfId="0" applyFont="1" applyFill="1" applyBorder="1" applyAlignment="1">
      <alignment horizontal="center"/>
    </xf>
    <xf numFmtId="0" fontId="49" fillId="35" borderId="0" xfId="0" applyFont="1" applyFill="1" applyAlignment="1">
      <alignment horizontal="center" vertical="center"/>
    </xf>
    <xf numFmtId="0" fontId="49" fillId="34" borderId="0" xfId="0" applyFont="1" applyFill="1" applyAlignment="1">
      <alignment horizontal="center" vertical="center"/>
    </xf>
    <xf numFmtId="20" fontId="48" fillId="33" borderId="0" xfId="0" applyNumberFormat="1" applyFont="1" applyFill="1" applyAlignment="1">
      <alignment horizontal="center"/>
    </xf>
    <xf numFmtId="20" fontId="0" fillId="0" borderId="0" xfId="0" applyNumberFormat="1"/>
    <xf numFmtId="45" fontId="0" fillId="0" borderId="0" xfId="0" applyNumberFormat="1"/>
    <xf numFmtId="0" fontId="0" fillId="25" borderId="0" xfId="0" applyFill="1"/>
    <xf numFmtId="0" fontId="0" fillId="17" borderId="21" xfId="0" applyFill="1" applyBorder="1"/>
    <xf numFmtId="0" fontId="26" fillId="24" borderId="10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5" fillId="29" borderId="95" xfId="0" applyFont="1" applyFill="1" applyBorder="1" applyAlignment="1">
      <alignment horizontal="center" vertical="center"/>
    </xf>
    <xf numFmtId="0" fontId="35" fillId="29" borderId="96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18" fillId="17" borderId="0" xfId="0" applyFont="1" applyFill="1" applyAlignment="1">
      <alignment horizontal="center"/>
    </xf>
    <xf numFmtId="0" fontId="49" fillId="34" borderId="0" xfId="0" applyFont="1" applyFill="1" applyAlignment="1">
      <alignment horizontal="center" vertical="center"/>
    </xf>
    <xf numFmtId="0" fontId="46" fillId="14" borderId="102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39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50" fillId="40" borderId="104" xfId="0" applyFont="1" applyFill="1" applyBorder="1" applyAlignment="1">
      <alignment horizontal="center" vertical="center"/>
    </xf>
    <xf numFmtId="0" fontId="50" fillId="40" borderId="105" xfId="0" applyFont="1" applyFill="1" applyBorder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30" fillId="39" borderId="45" xfId="0" applyFont="1" applyFill="1" applyBorder="1" applyAlignment="1">
      <alignment horizontal="center" vertical="center"/>
    </xf>
    <xf numFmtId="0" fontId="30" fillId="41" borderId="45" xfId="0" applyFont="1" applyFill="1" applyBorder="1" applyAlignment="1">
      <alignment horizontal="center" vertical="center"/>
    </xf>
    <xf numFmtId="0" fontId="34" fillId="13" borderId="11" xfId="0" applyFont="1" applyFill="1" applyBorder="1" applyAlignment="1">
      <alignment horizontal="center" vertical="center"/>
    </xf>
    <xf numFmtId="0" fontId="51" fillId="32" borderId="45" xfId="0" applyFont="1" applyFill="1" applyBorder="1" applyAlignment="1">
      <alignment horizontal="center" vertical="center" wrapText="1"/>
    </xf>
    <xf numFmtId="0" fontId="48" fillId="33" borderId="0" xfId="0" applyFont="1" applyFill="1" applyAlignment="1">
      <alignment horizontal="center"/>
    </xf>
    <xf numFmtId="0" fontId="46" fillId="37" borderId="102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center" vertical="center"/>
    </xf>
    <xf numFmtId="0" fontId="25" fillId="0" borderId="0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8"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m/d/yy"/>
    </dxf>
    <dxf>
      <numFmt numFmtId="27" formatCode="m/d/yy\ 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0" totalsRowShown="0" headerRowDxfId="64" dataDxfId="63">
  <autoFilter ref="A1:F70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62"/>
    <tableColumn id="2" xr3:uid="{0C1B8A30-A3B8-DA4D-B893-C4C99FF33E90}" name="nom" dataDxfId="61"/>
    <tableColumn id="3" xr3:uid="{8AE5AF32-0026-9B41-8B0B-16B9ED0F3727}" name="prenom" dataDxfId="60"/>
    <tableColumn id="6" xr3:uid="{D5D3A7D0-7C7D-684B-8AA7-DABBCC7051CF}" name="1ère ligne" dataDxfId="59"/>
    <tableColumn id="4" xr3:uid="{4CE41A86-7158-6B42-B932-A5275F10AB48}" name="prenom NOM" dataDxfId="58">
      <calculatedColumnFormula>LstEffectif[[#This Row],[prenom]] &amp; " " &amp; LstEffectif[[#This Row],[nom]]</calculatedColumnFormula>
    </tableColumn>
    <tableColumn id="5" xr3:uid="{EB017694-E6D2-7440-91BF-61113926AB7D}" name="NOM Prénom" dataDxfId="57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56" dataDxfId="55">
  <autoFilter ref="J1:J11" xr:uid="{037D6424-D1EC-894D-B963-D36ABCA682C4}"/>
  <tableColumns count="1">
    <tableColumn id="1" xr3:uid="{63806632-B9ED-294D-800A-F2FDB2EC48D2}" name="EQUIPES_A_AFFRONTER" dataDxfId="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53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6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6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65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52" dataDxfId="50" headerRowBorderDxfId="51" tableBorderDxfId="49" totalsRowBorderDxfId="48">
  <autoFilter ref="Q1:R54" xr:uid="{6D1F5F0A-5FD5-AC4E-A195-33A78A5E0E58}"/>
  <tableColumns count="2">
    <tableColumn id="1" xr3:uid="{8A0D5429-5616-B849-BD27-167A576FE99E}" name="Nom de cellule à créer" dataDxfId="47"/>
    <tableColumn id="2" xr3:uid="{19545507-672A-9F40-8818-E4C9060AA52B}" name="Libellé" dataDxfId="4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5" headerRowBorderDxfId="44" tableBorderDxfId="43" totalsRowBorderDxfId="4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1" headerRowBorderDxfId="40" tableBorderDxfId="39" totalsRowBorderDxfId="3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7" dataDxfId="36">
  <autoFilter ref="I14:I20" xr:uid="{CC940AF9-E81A-F746-8EAD-392809C3CFBE}"/>
  <tableColumns count="1">
    <tableColumn id="1" xr3:uid="{816CA1DF-3681-2948-A622-26353E2B9A97}" name="LISTE_LECTEUR_VIDEO" dataDxfId="3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4" dataDxfId="33">
  <autoFilter ref="C1:C4" xr:uid="{61FC7709-08E5-D048-A38B-441B18CF5D35}"/>
  <tableColumns count="1">
    <tableColumn id="1" xr3:uid="{C41B523D-40DA-AF48-A2C2-015B04960B0A}" name="LIEU_MATCH" dataDxfId="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1" dataDxfId="30">
  <autoFilter ref="C6:C10" xr:uid="{86EA01CF-5567-6445-9906-AD2B60CA0A8A}"/>
  <tableColumns count="1">
    <tableColumn id="1" xr3:uid="{B57F8324-6F25-7B40-9B20-1BFDF9708631}" name="PHASE" dataDxfId="2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8" dataDxfId="27">
  <autoFilter ref="C12:C15" xr:uid="{DAA9B017-78F0-D447-B788-CF8333AEAC38}"/>
  <tableColumns count="1">
    <tableColumn id="1" xr3:uid="{C5E86C3D-762A-054E-B864-5A67DBB9A8CA}" name="RESULTAT" dataDxfId="2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5" dataDxfId="24">
  <autoFilter ref="C17:C21" xr:uid="{F661D9E2-619C-DA44-92C5-8A09E8E281AC}"/>
  <tableColumns count="1">
    <tableColumn id="1" xr3:uid="{ADD3AF05-089E-D149-9728-7C2A6F62FA22}" name="EQUIPE_NIV" dataDxfId="2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2" dataDxfId="20" headerRowBorderDxfId="21" tableBorderDxfId="19" totalsRowBorderDxfId="18">
  <autoFilter ref="K1:K25" xr:uid="{391966D0-8F83-3948-82BB-835638F7D3FE}"/>
  <tableColumns count="1">
    <tableColumn id="1" xr3:uid="{F45BF991-6668-F741-B07C-7905B99AC752}" name="LISTE_JOUEURS_JOURNAL" dataDxfId="1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6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insertRow="1" totalsRowShown="0">
  <autoFilter ref="L2:U3" xr:uid="{A1FE138B-7A57-FD4E-B0BC-4BF4203BE379}"/>
  <tableColumns count="10">
    <tableColumn id="1" xr3:uid="{9154875D-F6A2-FD43-A363-B5D480E2C8C9}" name="Temps video" dataDxfId="15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14"/>
    <tableColumn id="8" xr3:uid="{D9175B18-6528-4648-B15C-FF2CC25EEBE4}" name="Jeu 3/4" dataDxfId="13"/>
    <tableColumn id="9" xr3:uid="{CAE0CE17-6518-8346-8125-3B7CA02D88C1}" name="Jeu pied" dataDxfId="12"/>
    <tableColumn id="10" xr3:uid="{9D4C3BED-381E-2945-8DDD-9AF72C0A70C5}" name="Observation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201" t="s">
        <v>121</v>
      </c>
      <c r="C1" s="201" t="s">
        <v>122</v>
      </c>
      <c r="D1" s="201" t="s">
        <v>464</v>
      </c>
      <c r="E1" s="201" t="s">
        <v>123</v>
      </c>
      <c r="F1" s="201" t="s">
        <v>163</v>
      </c>
      <c r="J1" t="s">
        <v>442</v>
      </c>
    </row>
    <row r="2" spans="1:10" ht="14">
      <c r="A2">
        <v>1</v>
      </c>
      <c r="B2" s="151" t="s">
        <v>324</v>
      </c>
      <c r="C2" s="151" t="s">
        <v>325</v>
      </c>
      <c r="D2" s="151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433</v>
      </c>
    </row>
    <row r="3" spans="1:10" ht="14">
      <c r="A3">
        <v>2</v>
      </c>
      <c r="B3" s="151" t="s">
        <v>324</v>
      </c>
      <c r="C3" s="151" t="s">
        <v>326</v>
      </c>
      <c r="D3" s="151" t="s">
        <v>466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434</v>
      </c>
    </row>
    <row r="4" spans="1:10" ht="14">
      <c r="A4">
        <v>3</v>
      </c>
      <c r="B4" s="151" t="s">
        <v>324</v>
      </c>
      <c r="C4" s="151" t="s">
        <v>124</v>
      </c>
      <c r="D4" s="151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435</v>
      </c>
    </row>
    <row r="5" spans="1:10" ht="14">
      <c r="A5">
        <v>4</v>
      </c>
      <c r="B5" s="151" t="s">
        <v>327</v>
      </c>
      <c r="C5" s="151" t="s">
        <v>328</v>
      </c>
      <c r="D5" s="151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436</v>
      </c>
    </row>
    <row r="6" spans="1:10" ht="14">
      <c r="A6">
        <v>5</v>
      </c>
      <c r="B6" s="151" t="s">
        <v>329</v>
      </c>
      <c r="C6" s="151" t="s">
        <v>330</v>
      </c>
      <c r="D6" s="151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437</v>
      </c>
    </row>
    <row r="7" spans="1:10" ht="14">
      <c r="A7">
        <v>68</v>
      </c>
      <c r="B7" s="151" t="s">
        <v>329</v>
      </c>
      <c r="C7" s="151" t="s">
        <v>469</v>
      </c>
      <c r="D7" s="151" t="s">
        <v>466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438</v>
      </c>
    </row>
    <row r="8" spans="1:10" ht="14">
      <c r="A8">
        <v>6</v>
      </c>
      <c r="B8" s="151" t="s">
        <v>331</v>
      </c>
      <c r="C8" s="151" t="s">
        <v>332</v>
      </c>
      <c r="D8" s="151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40" t="s">
        <v>439</v>
      </c>
    </row>
    <row r="9" spans="1:10" ht="14">
      <c r="A9">
        <v>7</v>
      </c>
      <c r="B9" s="151" t="s">
        <v>333</v>
      </c>
      <c r="C9" s="151" t="s">
        <v>334</v>
      </c>
      <c r="D9" s="151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440</v>
      </c>
    </row>
    <row r="10" spans="1:10" ht="14">
      <c r="A10">
        <v>8</v>
      </c>
      <c r="B10" s="151" t="s">
        <v>335</v>
      </c>
      <c r="C10" s="151" t="s">
        <v>336</v>
      </c>
      <c r="D10" s="151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441</v>
      </c>
    </row>
    <row r="11" spans="1:10" ht="14">
      <c r="A11">
        <v>9</v>
      </c>
      <c r="B11" s="151" t="s">
        <v>337</v>
      </c>
      <c r="C11" s="151" t="s">
        <v>338</v>
      </c>
      <c r="D11" s="151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443</v>
      </c>
    </row>
    <row r="12" spans="1:10" ht="14">
      <c r="A12">
        <v>10</v>
      </c>
      <c r="B12" s="151" t="s">
        <v>339</v>
      </c>
      <c r="C12" s="151" t="s">
        <v>340</v>
      </c>
      <c r="D12" s="151" t="s">
        <v>466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51" t="s">
        <v>341</v>
      </c>
      <c r="C13" s="151" t="s">
        <v>342</v>
      </c>
      <c r="D13" s="151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51" t="s">
        <v>343</v>
      </c>
      <c r="C14" s="151" t="s">
        <v>344</v>
      </c>
      <c r="D14" s="151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13</v>
      </c>
      <c r="B15" s="151" t="s">
        <v>345</v>
      </c>
      <c r="C15" s="151" t="s">
        <v>346</v>
      </c>
      <c r="D15" s="151"/>
      <c r="E15" t="str">
        <f>LstEffectif[[#This Row],[prenom]] &amp; " " &amp; LstEffectif[[#This Row],[nom]]</f>
        <v>Clement BLANCHARD</v>
      </c>
      <c r="F15" t="str">
        <f>LstEffectif[[#This Row],[nom]] &amp; " " &amp; LstEffectif[[#This Row],[prenom]]</f>
        <v>BLANCHARD Clement</v>
      </c>
    </row>
    <row r="16" spans="1:10" ht="14">
      <c r="A16">
        <v>14</v>
      </c>
      <c r="B16" s="151" t="s">
        <v>347</v>
      </c>
      <c r="C16" s="151" t="s">
        <v>348</v>
      </c>
      <c r="D16" s="151"/>
      <c r="E16" t="str">
        <f>LstEffectif[[#This Row],[prenom]] &amp; " " &amp; LstEffectif[[#This Row],[nom]]</f>
        <v>Paul BOISVIN</v>
      </c>
      <c r="F16" t="str">
        <f>LstEffectif[[#This Row],[nom]] &amp; " " &amp; LstEffectif[[#This Row],[prenom]]</f>
        <v>BOISVIN Paul</v>
      </c>
    </row>
    <row r="17" spans="1:6" ht="14">
      <c r="A17">
        <v>15</v>
      </c>
      <c r="B17" s="151" t="s">
        <v>349</v>
      </c>
      <c r="C17" s="151" t="s">
        <v>350</v>
      </c>
      <c r="D17" s="151"/>
      <c r="E17" t="str">
        <f>LstEffectif[[#This Row],[prenom]] &amp; " " &amp; LstEffectif[[#This Row],[nom]]</f>
        <v>Anthony BOURREC</v>
      </c>
      <c r="F17" t="str">
        <f>LstEffectif[[#This Row],[nom]] &amp; " " &amp; LstEffectif[[#This Row],[prenom]]</f>
        <v>BOURREC Anthony</v>
      </c>
    </row>
    <row r="18" spans="1:6" ht="14">
      <c r="A18">
        <v>16</v>
      </c>
      <c r="B18" s="151" t="s">
        <v>349</v>
      </c>
      <c r="C18" s="151" t="s">
        <v>351</v>
      </c>
      <c r="D18" s="151"/>
      <c r="E18" t="str">
        <f>LstEffectif[[#This Row],[prenom]] &amp; " " &amp; LstEffectif[[#This Row],[nom]]</f>
        <v>Dorian BOURREC</v>
      </c>
      <c r="F18" t="str">
        <f>LstEffectif[[#This Row],[nom]] &amp; " " &amp; LstEffectif[[#This Row],[prenom]]</f>
        <v>BOURREC Dorian</v>
      </c>
    </row>
    <row r="19" spans="1:6" ht="14">
      <c r="A19">
        <v>17</v>
      </c>
      <c r="B19" s="151" t="s">
        <v>352</v>
      </c>
      <c r="C19" s="151" t="s">
        <v>353</v>
      </c>
      <c r="D19" s="151"/>
      <c r="E19" t="str">
        <f>LstEffectif[[#This Row],[prenom]] &amp; " " &amp; LstEffectif[[#This Row],[nom]]</f>
        <v>Julien BOUTAN</v>
      </c>
      <c r="F19" t="str">
        <f>LstEffectif[[#This Row],[nom]] &amp; " " &amp; LstEffectif[[#This Row],[prenom]]</f>
        <v>BOUTAN Julien</v>
      </c>
    </row>
    <row r="20" spans="1:6" ht="14">
      <c r="A20">
        <v>18</v>
      </c>
      <c r="B20" s="151" t="s">
        <v>354</v>
      </c>
      <c r="C20" s="151" t="s">
        <v>355</v>
      </c>
      <c r="D20" s="151" t="s">
        <v>466</v>
      </c>
      <c r="E20" t="str">
        <f>LstEffectif[[#This Row],[prenom]] &amp; " " &amp; LstEffectif[[#This Row],[nom]]</f>
        <v>Romain BOUTELOUP</v>
      </c>
      <c r="F20" t="str">
        <f>LstEffectif[[#This Row],[nom]] &amp; " " &amp; LstEffectif[[#This Row],[prenom]]</f>
        <v>BOUTELOUP Romain</v>
      </c>
    </row>
    <row r="21" spans="1:6" ht="14">
      <c r="A21">
        <v>19</v>
      </c>
      <c r="B21" s="151" t="s">
        <v>356</v>
      </c>
      <c r="C21" s="151" t="s">
        <v>355</v>
      </c>
      <c r="D21" s="151"/>
      <c r="E21" t="str">
        <f>LstEffectif[[#This Row],[prenom]] &amp; " " &amp; LstEffectif[[#This Row],[nom]]</f>
        <v>Romain BREIL</v>
      </c>
      <c r="F21" t="str">
        <f>LstEffectif[[#This Row],[nom]] &amp; " " &amp; LstEffectif[[#This Row],[prenom]]</f>
        <v>BREIL Romain</v>
      </c>
    </row>
    <row r="22" spans="1:6" ht="14">
      <c r="A22">
        <v>20</v>
      </c>
      <c r="B22" s="151" t="s">
        <v>357</v>
      </c>
      <c r="C22" s="151" t="s">
        <v>358</v>
      </c>
      <c r="D22" s="151"/>
      <c r="E22" t="str">
        <f>LstEffectif[[#This Row],[prenom]] &amp; " " &amp; LstEffectif[[#This Row],[nom]]</f>
        <v>Ludovic CARRAU</v>
      </c>
      <c r="F22" t="str">
        <f>LstEffectif[[#This Row],[nom]] &amp; " " &amp; LstEffectif[[#This Row],[prenom]]</f>
        <v>CARRAU Ludovic</v>
      </c>
    </row>
    <row r="23" spans="1:6" ht="14">
      <c r="A23">
        <v>21</v>
      </c>
      <c r="B23" s="151" t="s">
        <v>359</v>
      </c>
      <c r="C23" s="151" t="s">
        <v>360</v>
      </c>
      <c r="D23" s="151"/>
      <c r="E23" t="str">
        <f>LstEffectif[[#This Row],[prenom]] &amp; " " &amp; LstEffectif[[#This Row],[nom]]</f>
        <v>Tom CASTERA</v>
      </c>
      <c r="F23" t="str">
        <f>LstEffectif[[#This Row],[nom]] &amp; " " &amp; LstEffectif[[#This Row],[prenom]]</f>
        <v>CASTERA Tom</v>
      </c>
    </row>
    <row r="24" spans="1:6" ht="14">
      <c r="A24">
        <v>22</v>
      </c>
      <c r="B24" s="151" t="s">
        <v>361</v>
      </c>
      <c r="C24" s="151" t="s">
        <v>362</v>
      </c>
      <c r="D24" s="151"/>
      <c r="E24" t="str">
        <f>LstEffectif[[#This Row],[prenom]] &amp; " " &amp; LstEffectif[[#This Row],[nom]]</f>
        <v>Sacha CESCA</v>
      </c>
      <c r="F24" t="str">
        <f>LstEffectif[[#This Row],[nom]] &amp; " " &amp; LstEffectif[[#This Row],[prenom]]</f>
        <v>CESCA Sacha</v>
      </c>
    </row>
    <row r="25" spans="1:6" ht="14">
      <c r="A25">
        <v>23</v>
      </c>
      <c r="B25" s="151" t="s">
        <v>361</v>
      </c>
      <c r="C25" s="151" t="s">
        <v>363</v>
      </c>
      <c r="D25" s="151"/>
      <c r="E25" t="str">
        <f>LstEffectif[[#This Row],[prenom]] &amp; " " &amp; LstEffectif[[#This Row],[nom]]</f>
        <v>Simon CESCA</v>
      </c>
      <c r="F25" t="str">
        <f>LstEffectif[[#This Row],[nom]] &amp; " " &amp; LstEffectif[[#This Row],[prenom]]</f>
        <v>CESCA Simon</v>
      </c>
    </row>
    <row r="26" spans="1:6" ht="12" customHeight="1">
      <c r="A26">
        <v>24</v>
      </c>
      <c r="B26" s="151" t="s">
        <v>364</v>
      </c>
      <c r="C26" s="151" t="s">
        <v>365</v>
      </c>
      <c r="D26" s="151"/>
      <c r="E26" t="str">
        <f>LstEffectif[[#This Row],[prenom]] &amp; " " &amp; LstEffectif[[#This Row],[nom]]</f>
        <v>Baptiste CORREGER</v>
      </c>
      <c r="F26" t="str">
        <f>LstEffectif[[#This Row],[nom]] &amp; " " &amp; LstEffectif[[#This Row],[prenom]]</f>
        <v>CORREGER Baptiste</v>
      </c>
    </row>
    <row r="27" spans="1:6" s="25" customFormat="1" ht="14">
      <c r="A27">
        <v>25</v>
      </c>
      <c r="B27" s="151" t="s">
        <v>366</v>
      </c>
      <c r="C27" s="151" t="s">
        <v>355</v>
      </c>
      <c r="D27" s="151"/>
      <c r="E27" t="str">
        <f>LstEffectif[[#This Row],[prenom]] &amp; " " &amp; LstEffectif[[#This Row],[nom]]</f>
        <v>Romain COURREGES</v>
      </c>
      <c r="F27" t="str">
        <f>LstEffectif[[#This Row],[nom]] &amp; " " &amp; LstEffectif[[#This Row],[prenom]]</f>
        <v>COURREGES Romain</v>
      </c>
    </row>
    <row r="28" spans="1:6" s="25" customFormat="1" ht="14">
      <c r="A28">
        <v>26</v>
      </c>
      <c r="B28" s="151" t="s">
        <v>367</v>
      </c>
      <c r="C28" s="151" t="s">
        <v>368</v>
      </c>
      <c r="D28" s="151" t="s">
        <v>466</v>
      </c>
      <c r="E28" t="str">
        <f>LstEffectif[[#This Row],[prenom]] &amp; " " &amp; LstEffectif[[#This Row],[nom]]</f>
        <v>Jonah DALLA ROSA</v>
      </c>
      <c r="F28" t="str">
        <f>LstEffectif[[#This Row],[nom]] &amp; " " &amp; LstEffectif[[#This Row],[prenom]]</f>
        <v>DALLA ROSA Jonah</v>
      </c>
    </row>
    <row r="29" spans="1:6" s="25" customFormat="1" ht="14">
      <c r="A29">
        <v>27</v>
      </c>
      <c r="B29" s="151" t="s">
        <v>369</v>
      </c>
      <c r="C29" s="151" t="s">
        <v>124</v>
      </c>
      <c r="D29" s="151"/>
      <c r="E29" t="str">
        <f>LstEffectif[[#This Row],[prenom]] &amp; " " &amp; LstEffectif[[#This Row],[nom]]</f>
        <v>Thomas DUTREY</v>
      </c>
      <c r="F29" t="str">
        <f>LstEffectif[[#This Row],[nom]] &amp; " " &amp; LstEffectif[[#This Row],[prenom]]</f>
        <v>DUTREY Thomas</v>
      </c>
    </row>
    <row r="30" spans="1:6" s="25" customFormat="1" ht="14">
      <c r="A30">
        <v>28</v>
      </c>
      <c r="B30" s="151" t="s">
        <v>370</v>
      </c>
      <c r="C30" s="151" t="s">
        <v>371</v>
      </c>
      <c r="D30" s="151"/>
      <c r="E30" t="str">
        <f>LstEffectif[[#This Row],[prenom]] &amp; " " &amp; LstEffectif[[#This Row],[nom]]</f>
        <v>Maël FITAN</v>
      </c>
      <c r="F30" t="str">
        <f>LstEffectif[[#This Row],[nom]] &amp; " " &amp; LstEffectif[[#This Row],[prenom]]</f>
        <v>FITAN Maël</v>
      </c>
    </row>
    <row r="31" spans="1:6" s="25" customFormat="1" ht="14">
      <c r="A31">
        <v>29</v>
      </c>
      <c r="B31" s="151" t="s">
        <v>372</v>
      </c>
      <c r="C31" s="151" t="s">
        <v>373</v>
      </c>
      <c r="D31" s="151"/>
      <c r="E31" t="str">
        <f>LstEffectif[[#This Row],[prenom]] &amp; " " &amp; LstEffectif[[#This Row],[nom]]</f>
        <v>Neot GABRELLE</v>
      </c>
      <c r="F31" t="str">
        <f>LstEffectif[[#This Row],[nom]] &amp; " " &amp; LstEffectif[[#This Row],[prenom]]</f>
        <v>GABRELLE Neot</v>
      </c>
    </row>
    <row r="32" spans="1:6" s="25" customFormat="1" ht="14">
      <c r="A32">
        <v>30</v>
      </c>
      <c r="B32" s="151" t="s">
        <v>374</v>
      </c>
      <c r="C32" s="151" t="s">
        <v>375</v>
      </c>
      <c r="D32" s="151" t="s">
        <v>466</v>
      </c>
      <c r="E32" t="str">
        <f>LstEffectif[[#This Row],[prenom]] &amp; " " &amp; LstEffectif[[#This Row],[nom]]</f>
        <v>Pierrick GALLINARO</v>
      </c>
      <c r="F32" t="str">
        <f>LstEffectif[[#This Row],[nom]] &amp; " " &amp; LstEffectif[[#This Row],[prenom]]</f>
        <v>GALLINARO Pierrick</v>
      </c>
    </row>
    <row r="33" spans="1:6" s="25" customFormat="1" ht="14">
      <c r="A33">
        <v>31</v>
      </c>
      <c r="B33" s="151" t="s">
        <v>376</v>
      </c>
      <c r="C33" s="151" t="s">
        <v>338</v>
      </c>
      <c r="D33" s="151"/>
      <c r="E33" t="str">
        <f>LstEffectif[[#This Row],[prenom]] &amp; " " &amp; LstEffectif[[#This Row],[nom]]</f>
        <v>Sebastien GARROS</v>
      </c>
      <c r="F33" t="str">
        <f>LstEffectif[[#This Row],[nom]] &amp; " " &amp; LstEffectif[[#This Row],[prenom]]</f>
        <v>GARROS Sebastien</v>
      </c>
    </row>
    <row r="34" spans="1:6" s="25" customFormat="1" ht="14">
      <c r="A34">
        <v>32</v>
      </c>
      <c r="B34" s="151" t="s">
        <v>377</v>
      </c>
      <c r="C34" s="151" t="s">
        <v>322</v>
      </c>
      <c r="D34" s="151" t="s">
        <v>466</v>
      </c>
      <c r="E34" t="str">
        <f>LstEffectif[[#This Row],[prenom]] &amp; " " &amp; LstEffectif[[#This Row],[nom]]</f>
        <v>Nicolas GODEMARD</v>
      </c>
      <c r="F34" t="str">
        <f>LstEffectif[[#This Row],[nom]] &amp; " " &amp; LstEffectif[[#This Row],[prenom]]</f>
        <v>GODEMARD Nicolas</v>
      </c>
    </row>
    <row r="35" spans="1:6" s="25" customFormat="1" ht="14">
      <c r="A35">
        <v>33</v>
      </c>
      <c r="B35" s="151" t="s">
        <v>378</v>
      </c>
      <c r="C35" s="151" t="s">
        <v>379</v>
      </c>
      <c r="D35" s="151"/>
      <c r="E35" t="str">
        <f>LstEffectif[[#This Row],[prenom]] &amp; " " &amp; LstEffectif[[#This Row],[nom]]</f>
        <v>Kevin HENNI</v>
      </c>
      <c r="F35" t="str">
        <f>LstEffectif[[#This Row],[nom]] &amp; " " &amp; LstEffectif[[#This Row],[prenom]]</f>
        <v>HENNI Kevin</v>
      </c>
    </row>
    <row r="36" spans="1:6" s="25" customFormat="1" ht="14">
      <c r="A36">
        <v>34</v>
      </c>
      <c r="B36" s="151" t="s">
        <v>380</v>
      </c>
      <c r="C36" s="151" t="s">
        <v>381</v>
      </c>
      <c r="D36" s="151"/>
      <c r="E36" t="str">
        <f>LstEffectif[[#This Row],[prenom]] &amp; " " &amp; LstEffectif[[#This Row],[nom]]</f>
        <v>Joris JOUNAUX</v>
      </c>
      <c r="F36" t="str">
        <f>LstEffectif[[#This Row],[nom]] &amp; " " &amp; LstEffectif[[#This Row],[prenom]]</f>
        <v>JOUNAUX Joris</v>
      </c>
    </row>
    <row r="37" spans="1:6" s="25" customFormat="1" ht="14">
      <c r="A37">
        <v>35</v>
      </c>
      <c r="B37" s="151" t="s">
        <v>380</v>
      </c>
      <c r="C37" s="151" t="s">
        <v>382</v>
      </c>
      <c r="D37" s="151"/>
      <c r="E37" t="str">
        <f>LstEffectif[[#This Row],[prenom]] &amp; " " &amp; LstEffectif[[#This Row],[nom]]</f>
        <v>Charline JOUNAUX</v>
      </c>
      <c r="F37" t="str">
        <f>LstEffectif[[#This Row],[nom]] &amp; " " &amp; LstEffectif[[#This Row],[prenom]]</f>
        <v>JOUNAUX Charline</v>
      </c>
    </row>
    <row r="38" spans="1:6" s="25" customFormat="1" ht="14">
      <c r="A38">
        <v>36</v>
      </c>
      <c r="B38" s="151" t="s">
        <v>383</v>
      </c>
      <c r="C38" s="151" t="s">
        <v>340</v>
      </c>
      <c r="D38" s="151"/>
      <c r="E38" t="str">
        <f>LstEffectif[[#This Row],[prenom]] &amp; " " &amp; LstEffectif[[#This Row],[nom]]</f>
        <v>Bastien KAPFER</v>
      </c>
      <c r="F38" t="str">
        <f>LstEffectif[[#This Row],[nom]] &amp; " " &amp; LstEffectif[[#This Row],[prenom]]</f>
        <v>KAPFER Bastien</v>
      </c>
    </row>
    <row r="39" spans="1:6" s="25" customFormat="1" ht="14">
      <c r="A39">
        <v>37</v>
      </c>
      <c r="B39" s="151" t="s">
        <v>384</v>
      </c>
      <c r="C39" s="151" t="s">
        <v>353</v>
      </c>
      <c r="D39" s="151"/>
      <c r="E39" t="str">
        <f>LstEffectif[[#This Row],[prenom]] &amp; " " &amp; LstEffectif[[#This Row],[nom]]</f>
        <v>Julien LACOMBE</v>
      </c>
      <c r="F39" t="str">
        <f>LstEffectif[[#This Row],[nom]] &amp; " " &amp; LstEffectif[[#This Row],[prenom]]</f>
        <v>LACOMBE Julien</v>
      </c>
    </row>
    <row r="40" spans="1:6" s="25" customFormat="1" ht="14">
      <c r="A40">
        <v>38</v>
      </c>
      <c r="B40" s="151" t="s">
        <v>385</v>
      </c>
      <c r="C40" s="151" t="s">
        <v>386</v>
      </c>
      <c r="D40" s="151"/>
      <c r="E40" t="str">
        <f>LstEffectif[[#This Row],[prenom]] &amp; " " &amp; LstEffectif[[#This Row],[nom]]</f>
        <v>Jean Baptiste LAUDET</v>
      </c>
      <c r="F40" t="str">
        <f>LstEffectif[[#This Row],[nom]] &amp; " " &amp; LstEffectif[[#This Row],[prenom]]</f>
        <v>LAUDET Jean Baptiste</v>
      </c>
    </row>
    <row r="41" spans="1:6" s="25" customFormat="1" ht="14">
      <c r="A41">
        <v>39</v>
      </c>
      <c r="B41" s="151" t="s">
        <v>387</v>
      </c>
      <c r="C41" s="151" t="s">
        <v>330</v>
      </c>
      <c r="D41" s="151"/>
      <c r="E41" t="str">
        <f>LstEffectif[[#This Row],[prenom]] &amp; " " &amp; LstEffectif[[#This Row],[nom]]</f>
        <v>Lucas LESPINASSE</v>
      </c>
      <c r="F41" t="str">
        <f>LstEffectif[[#This Row],[nom]] &amp; " " &amp; LstEffectif[[#This Row],[prenom]]</f>
        <v>LESPINASSE Lucas</v>
      </c>
    </row>
    <row r="42" spans="1:6" s="25" customFormat="1" ht="14">
      <c r="A42">
        <v>40</v>
      </c>
      <c r="B42" s="151" t="s">
        <v>388</v>
      </c>
      <c r="C42" s="151" t="s">
        <v>389</v>
      </c>
      <c r="D42" s="151"/>
      <c r="E42" t="str">
        <f>LstEffectif[[#This Row],[prenom]] &amp; " " &amp; LstEffectif[[#This Row],[nom]]</f>
        <v>Antonio LOUREIRO LABAZUY</v>
      </c>
      <c r="F42" t="str">
        <f>LstEffectif[[#This Row],[nom]] &amp; " " &amp; LstEffectif[[#This Row],[prenom]]</f>
        <v>LOUREIRO LABAZUY Antonio</v>
      </c>
    </row>
    <row r="43" spans="1:6" s="25" customFormat="1" ht="14">
      <c r="A43">
        <v>41</v>
      </c>
      <c r="B43" s="151" t="s">
        <v>390</v>
      </c>
      <c r="C43" s="151" t="s">
        <v>348</v>
      </c>
      <c r="D43" s="151" t="s">
        <v>466</v>
      </c>
      <c r="E43" t="str">
        <f>LstEffectif[[#This Row],[prenom]] &amp; " " &amp; LstEffectif[[#This Row],[nom]]</f>
        <v>Paul MICHELIN</v>
      </c>
      <c r="F43" t="str">
        <f>LstEffectif[[#This Row],[nom]] &amp; " " &amp; LstEffectif[[#This Row],[prenom]]</f>
        <v>MICHELIN Paul</v>
      </c>
    </row>
    <row r="44" spans="1:6" s="25" customFormat="1" ht="14">
      <c r="A44">
        <v>42</v>
      </c>
      <c r="B44" s="151" t="s">
        <v>391</v>
      </c>
      <c r="C44" s="151" t="s">
        <v>392</v>
      </c>
      <c r="D44" s="151"/>
      <c r="E44" t="str">
        <f>LstEffectif[[#This Row],[prenom]] &amp; " " &amp; LstEffectif[[#This Row],[nom]]</f>
        <v>Leo Paul MORANT</v>
      </c>
      <c r="F44" t="str">
        <f>LstEffectif[[#This Row],[nom]] &amp; " " &amp; LstEffectif[[#This Row],[prenom]]</f>
        <v>MORANT Leo Paul</v>
      </c>
    </row>
    <row r="45" spans="1:6" s="25" customFormat="1" ht="14">
      <c r="A45">
        <v>43</v>
      </c>
      <c r="B45" s="151" t="s">
        <v>393</v>
      </c>
      <c r="C45" s="151" t="s">
        <v>394</v>
      </c>
      <c r="D45" s="151"/>
      <c r="E45" t="str">
        <f>LstEffectif[[#This Row],[prenom]] &amp; " " &amp; LstEffectif[[#This Row],[nom]]</f>
        <v>Alexis MOUDENS</v>
      </c>
      <c r="F45" t="str">
        <f>LstEffectif[[#This Row],[nom]] &amp; " " &amp; LstEffectif[[#This Row],[prenom]]</f>
        <v>MOUDENS Alexis</v>
      </c>
    </row>
    <row r="46" spans="1:6" s="25" customFormat="1" ht="14">
      <c r="A46">
        <v>44</v>
      </c>
      <c r="B46" s="151" t="s">
        <v>395</v>
      </c>
      <c r="C46" s="151" t="s">
        <v>396</v>
      </c>
      <c r="D46" s="151"/>
      <c r="E46" t="str">
        <f>LstEffectif[[#This Row],[prenom]] &amp; " " &amp; LstEffectif[[#This Row],[nom]]</f>
        <v>Antton MOURGUES</v>
      </c>
      <c r="F46" t="str">
        <f>LstEffectif[[#This Row],[nom]] &amp; " " &amp; LstEffectif[[#This Row],[prenom]]</f>
        <v>MOURGUES Antton</v>
      </c>
    </row>
    <row r="47" spans="1:6" s="25" customFormat="1" ht="14">
      <c r="A47">
        <v>45</v>
      </c>
      <c r="B47" s="151" t="s">
        <v>397</v>
      </c>
      <c r="C47" s="151" t="s">
        <v>398</v>
      </c>
      <c r="D47" s="151"/>
      <c r="E47" t="str">
        <f>LstEffectif[[#This Row],[prenom]] &amp; " " &amp; LstEffectif[[#This Row],[nom]]</f>
        <v>Thibaud MOURLAN</v>
      </c>
      <c r="F47" t="str">
        <f>LstEffectif[[#This Row],[nom]] &amp; " " &amp; LstEffectif[[#This Row],[prenom]]</f>
        <v>MOURLAN Thibaud</v>
      </c>
    </row>
    <row r="48" spans="1:6" s="25" customFormat="1" ht="14">
      <c r="A48">
        <v>46</v>
      </c>
      <c r="B48" s="151" t="s">
        <v>399</v>
      </c>
      <c r="C48" s="151" t="s">
        <v>400</v>
      </c>
      <c r="D48" s="151" t="s">
        <v>466</v>
      </c>
      <c r="E48" t="str">
        <f>LstEffectif[[#This Row],[prenom]] &amp; " " &amp; LstEffectif[[#This Row],[nom]]</f>
        <v>Martin MULLIER</v>
      </c>
      <c r="F48" t="str">
        <f>LstEffectif[[#This Row],[nom]] &amp; " " &amp; LstEffectif[[#This Row],[prenom]]</f>
        <v>MULLIER Martin</v>
      </c>
    </row>
    <row r="49" spans="1:6" s="25" customFormat="1" ht="14">
      <c r="A49">
        <v>47</v>
      </c>
      <c r="B49" s="151" t="s">
        <v>399</v>
      </c>
      <c r="C49" s="151" t="s">
        <v>401</v>
      </c>
      <c r="D49" s="151"/>
      <c r="E49" t="str">
        <f>LstEffectif[[#This Row],[prenom]] &amp; " " &amp; LstEffectif[[#This Row],[nom]]</f>
        <v>Victor MULLIER</v>
      </c>
      <c r="F49" t="str">
        <f>LstEffectif[[#This Row],[nom]] &amp; " " &amp; LstEffectif[[#This Row],[prenom]]</f>
        <v>MULLIER Victor</v>
      </c>
    </row>
    <row r="50" spans="1:6" s="25" customFormat="1" ht="14">
      <c r="A50">
        <v>48</v>
      </c>
      <c r="B50" s="151" t="s">
        <v>402</v>
      </c>
      <c r="C50" s="151" t="s">
        <v>403</v>
      </c>
      <c r="D50" s="151"/>
      <c r="E50" t="str">
        <f>LstEffectif[[#This Row],[prenom]] &amp; " " &amp; LstEffectif[[#This Row],[nom]]</f>
        <v>Tomy Lee NGUYEN</v>
      </c>
      <c r="F50" t="str">
        <f>LstEffectif[[#This Row],[nom]] &amp; " " &amp; LstEffectif[[#This Row],[prenom]]</f>
        <v>NGUYEN Tomy Lee</v>
      </c>
    </row>
    <row r="51" spans="1:6" s="25" customFormat="1" ht="14">
      <c r="A51">
        <v>49</v>
      </c>
      <c r="B51" s="151" t="s">
        <v>404</v>
      </c>
      <c r="C51" s="151" t="s">
        <v>405</v>
      </c>
      <c r="D51" s="151"/>
      <c r="E51" t="str">
        <f>LstEffectif[[#This Row],[prenom]] &amp; " " &amp; LstEffectif[[#This Row],[nom]]</f>
        <v>Alys NOILHAN</v>
      </c>
      <c r="F51" t="str">
        <f>LstEffectif[[#This Row],[nom]] &amp; " " &amp; LstEffectif[[#This Row],[prenom]]</f>
        <v>NOILHAN Alys</v>
      </c>
    </row>
    <row r="52" spans="1:6" s="25" customFormat="1" ht="14">
      <c r="A52">
        <v>50</v>
      </c>
      <c r="B52" s="151" t="s">
        <v>406</v>
      </c>
      <c r="C52" s="151" t="s">
        <v>379</v>
      </c>
      <c r="D52" s="151"/>
      <c r="E52" t="str">
        <f>LstEffectif[[#This Row],[prenom]] &amp; " " &amp; LstEffectif[[#This Row],[nom]]</f>
        <v>Kevin OLIVERA</v>
      </c>
      <c r="F52" t="str">
        <f>LstEffectif[[#This Row],[nom]] &amp; " " &amp; LstEffectif[[#This Row],[prenom]]</f>
        <v>OLIVERA Kevin</v>
      </c>
    </row>
    <row r="53" spans="1:6" s="25" customFormat="1" ht="14">
      <c r="A53">
        <v>51</v>
      </c>
      <c r="B53" s="151" t="s">
        <v>407</v>
      </c>
      <c r="C53" s="151" t="s">
        <v>408</v>
      </c>
      <c r="D53" s="151"/>
      <c r="E53" t="str">
        <f>LstEffectif[[#This Row],[prenom]] &amp; " " &amp; LstEffectif[[#This Row],[nom]]</f>
        <v>Maxime PIQUEMIL</v>
      </c>
      <c r="F53" t="str">
        <f>LstEffectif[[#This Row],[nom]] &amp; " " &amp; LstEffectif[[#This Row],[prenom]]</f>
        <v>PIQUEMIL Maxime</v>
      </c>
    </row>
    <row r="54" spans="1:6" s="25" customFormat="1" ht="14">
      <c r="A54">
        <v>52</v>
      </c>
      <c r="B54" s="151" t="s">
        <v>409</v>
      </c>
      <c r="C54" s="151" t="s">
        <v>353</v>
      </c>
      <c r="D54" s="151" t="s">
        <v>466</v>
      </c>
      <c r="E54" t="str">
        <f>LstEffectif[[#This Row],[prenom]] &amp; " " &amp; LstEffectif[[#This Row],[nom]]</f>
        <v>Julien POUYADOU</v>
      </c>
      <c r="F54" t="str">
        <f>LstEffectif[[#This Row],[nom]] &amp; " " &amp; LstEffectif[[#This Row],[prenom]]</f>
        <v>POUYADOU Julien</v>
      </c>
    </row>
    <row r="55" spans="1:6" s="25" customFormat="1" ht="14">
      <c r="A55">
        <v>53</v>
      </c>
      <c r="B55" s="151" t="s">
        <v>410</v>
      </c>
      <c r="C55" s="151" t="s">
        <v>323</v>
      </c>
      <c r="D55" s="151"/>
      <c r="E55" t="str">
        <f>LstEffectif[[#This Row],[prenom]] &amp; " " &amp; LstEffectif[[#This Row],[nom]]</f>
        <v>Louis RECURT</v>
      </c>
      <c r="F55" t="str">
        <f>LstEffectif[[#This Row],[nom]] &amp; " " &amp; LstEffectif[[#This Row],[prenom]]</f>
        <v>RECURT Louis</v>
      </c>
    </row>
    <row r="56" spans="1:6" s="25" customFormat="1" ht="14">
      <c r="A56">
        <v>54</v>
      </c>
      <c r="B56" s="151" t="s">
        <v>411</v>
      </c>
      <c r="C56" s="151" t="s">
        <v>412</v>
      </c>
      <c r="D56" s="151" t="s">
        <v>466</v>
      </c>
      <c r="E56" t="str">
        <f>LstEffectif[[#This Row],[prenom]] &amp; " " &amp; LstEffectif[[#This Row],[nom]]</f>
        <v>Damien RICHARD</v>
      </c>
      <c r="F56" t="str">
        <f>LstEffectif[[#This Row],[nom]] &amp; " " &amp; LstEffectif[[#This Row],[prenom]]</f>
        <v>RICHARD Damien</v>
      </c>
    </row>
    <row r="57" spans="1:6" s="25" customFormat="1" ht="14">
      <c r="A57">
        <v>55</v>
      </c>
      <c r="B57" s="151" t="s">
        <v>413</v>
      </c>
      <c r="C57" s="151" t="s">
        <v>290</v>
      </c>
      <c r="D57" s="151" t="s">
        <v>466</v>
      </c>
      <c r="E57" t="str">
        <f>LstEffectif[[#This Row],[prenom]] &amp; " " &amp; LstEffectif[[#This Row],[nom]]</f>
        <v>Gregory RICHIARDONNE</v>
      </c>
      <c r="F57" t="str">
        <f>LstEffectif[[#This Row],[nom]] &amp; " " &amp; LstEffectif[[#This Row],[prenom]]</f>
        <v>RICHIARDONNE Gregory</v>
      </c>
    </row>
    <row r="58" spans="1:6" s="25" customFormat="1" ht="14">
      <c r="A58">
        <v>56</v>
      </c>
      <c r="B58" s="151" t="s">
        <v>414</v>
      </c>
      <c r="C58" s="151" t="s">
        <v>415</v>
      </c>
      <c r="D58" s="151" t="s">
        <v>466</v>
      </c>
      <c r="E58" t="str">
        <f>LstEffectif[[#This Row],[prenom]] &amp; " " &amp; LstEffectif[[#This Row],[nom]]</f>
        <v>Jimmy ROBERT</v>
      </c>
      <c r="F58" t="str">
        <f>LstEffectif[[#This Row],[nom]] &amp; " " &amp; LstEffectif[[#This Row],[prenom]]</f>
        <v>ROBERT Jimmy</v>
      </c>
    </row>
    <row r="59" spans="1:6" s="25" customFormat="1" ht="14">
      <c r="A59">
        <v>57</v>
      </c>
      <c r="B59" s="151" t="s">
        <v>416</v>
      </c>
      <c r="C59" s="151" t="s">
        <v>417</v>
      </c>
      <c r="D59" s="151"/>
      <c r="E59" t="str">
        <f>LstEffectif[[#This Row],[prenom]] &amp; " " &amp; LstEffectif[[#This Row],[nom]]</f>
        <v>Mathis ROUSSEL</v>
      </c>
      <c r="F59" t="str">
        <f>LstEffectif[[#This Row],[nom]] &amp; " " &amp; LstEffectif[[#This Row],[prenom]]</f>
        <v>ROUSSEL Mathis</v>
      </c>
    </row>
    <row r="60" spans="1:6" s="25" customFormat="1" ht="14">
      <c r="A60">
        <v>58</v>
      </c>
      <c r="B60" s="151" t="s">
        <v>418</v>
      </c>
      <c r="C60" s="151" t="s">
        <v>419</v>
      </c>
      <c r="D60" s="151"/>
      <c r="E60" t="str">
        <f>LstEffectif[[#This Row],[prenom]] &amp; " " &amp; LstEffectif[[#This Row],[nom]]</f>
        <v>Fabien SALLES</v>
      </c>
      <c r="F60" t="str">
        <f>LstEffectif[[#This Row],[nom]] &amp; " " &amp; LstEffectif[[#This Row],[prenom]]</f>
        <v>SALLES Fabien</v>
      </c>
    </row>
    <row r="61" spans="1:6" s="25" customFormat="1" ht="14">
      <c r="A61">
        <v>59</v>
      </c>
      <c r="B61" s="151" t="s">
        <v>418</v>
      </c>
      <c r="C61" s="151" t="s">
        <v>351</v>
      </c>
      <c r="D61" s="151"/>
      <c r="E61" t="str">
        <f>LstEffectif[[#This Row],[prenom]] &amp; " " &amp; LstEffectif[[#This Row],[nom]]</f>
        <v>Dorian SALLES</v>
      </c>
      <c r="F61" t="str">
        <f>LstEffectif[[#This Row],[nom]] &amp; " " &amp; LstEffectif[[#This Row],[prenom]]</f>
        <v>SALLES Dorian</v>
      </c>
    </row>
    <row r="62" spans="1:6" s="25" customFormat="1" ht="14">
      <c r="A62">
        <v>60</v>
      </c>
      <c r="B62" s="151" t="s">
        <v>420</v>
      </c>
      <c r="C62" s="151" t="s">
        <v>421</v>
      </c>
      <c r="D62" s="151"/>
      <c r="E62" t="str">
        <f>LstEffectif[[#This Row],[prenom]] &amp; " " &amp; LstEffectif[[#This Row],[nom]]</f>
        <v>Dylan SIMOES</v>
      </c>
      <c r="F62" t="str">
        <f>LstEffectif[[#This Row],[nom]] &amp; " " &amp; LstEffectif[[#This Row],[prenom]]</f>
        <v>SIMOES Dylan</v>
      </c>
    </row>
    <row r="63" spans="1:6" s="25" customFormat="1" ht="14">
      <c r="A63">
        <v>61</v>
      </c>
      <c r="B63" s="151" t="s">
        <v>422</v>
      </c>
      <c r="C63" s="151" t="s">
        <v>326</v>
      </c>
      <c r="D63" s="151" t="s">
        <v>466</v>
      </c>
      <c r="E63" t="str">
        <f>LstEffectif[[#This Row],[prenom]] &amp; " " &amp; LstEffectif[[#This Row],[nom]]</f>
        <v>Quentin SOUVILLE</v>
      </c>
      <c r="F63" t="str">
        <f>LstEffectif[[#This Row],[nom]] &amp; " " &amp; LstEffectif[[#This Row],[prenom]]</f>
        <v>SOUVILLE Quentin</v>
      </c>
    </row>
    <row r="64" spans="1:6" s="25" customFormat="1" ht="14">
      <c r="A64">
        <v>62</v>
      </c>
      <c r="B64" s="151" t="s">
        <v>423</v>
      </c>
      <c r="C64" s="151" t="s">
        <v>424</v>
      </c>
      <c r="D64" s="151"/>
      <c r="E64" t="str">
        <f>LstEffectif[[#This Row],[prenom]] &amp; " " &amp; LstEffectif[[#This Row],[nom]]</f>
        <v>Gatien SUSPENE</v>
      </c>
      <c r="F64" t="str">
        <f>LstEffectif[[#This Row],[nom]] &amp; " " &amp; LstEffectif[[#This Row],[prenom]]</f>
        <v>SUSPENE Gatien</v>
      </c>
    </row>
    <row r="65" spans="1:6" s="25" customFormat="1" ht="14">
      <c r="A65">
        <v>63</v>
      </c>
      <c r="B65" s="151" t="s">
        <v>425</v>
      </c>
      <c r="C65" s="151" t="s">
        <v>426</v>
      </c>
      <c r="D65" s="151"/>
      <c r="E65" t="str">
        <f>LstEffectif[[#This Row],[prenom]] &amp; " " &amp; LstEffectif[[#This Row],[nom]]</f>
        <v>Faid TABTI</v>
      </c>
      <c r="F65" t="str">
        <f>LstEffectif[[#This Row],[nom]] &amp; " " &amp; LstEffectif[[#This Row],[prenom]]</f>
        <v>TABTI Faid</v>
      </c>
    </row>
    <row r="66" spans="1:6" s="25" customFormat="1" ht="14">
      <c r="A66">
        <v>64</v>
      </c>
      <c r="B66" s="151" t="s">
        <v>427</v>
      </c>
      <c r="C66" s="151" t="s">
        <v>351</v>
      </c>
      <c r="D66" s="151"/>
      <c r="E66" t="str">
        <f>LstEffectif[[#This Row],[prenom]] &amp; " " &amp; LstEffectif[[#This Row],[nom]]</f>
        <v>Dorian TOUVAT</v>
      </c>
      <c r="F66" t="str">
        <f>LstEffectif[[#This Row],[nom]] &amp; " " &amp; LstEffectif[[#This Row],[prenom]]</f>
        <v>TOUVAT Dorian</v>
      </c>
    </row>
    <row r="67" spans="1:6" s="25" customFormat="1" ht="14">
      <c r="A67">
        <v>65</v>
      </c>
      <c r="B67" s="151" t="s">
        <v>428</v>
      </c>
      <c r="C67" s="151" t="s">
        <v>429</v>
      </c>
      <c r="D67" s="151"/>
      <c r="E67" t="str">
        <f>LstEffectif[[#This Row],[prenom]] &amp; " " &amp; LstEffectif[[#This Row],[nom]]</f>
        <v>Aymeric VANDEKERKOF</v>
      </c>
      <c r="F67" t="str">
        <f>LstEffectif[[#This Row],[nom]] &amp; " " &amp; LstEffectif[[#This Row],[prenom]]</f>
        <v>VANDEKERKOF Aymeric</v>
      </c>
    </row>
    <row r="68" spans="1:6" s="25" customFormat="1" ht="14">
      <c r="A68">
        <v>66</v>
      </c>
      <c r="B68" s="151" t="s">
        <v>430</v>
      </c>
      <c r="C68" s="151" t="s">
        <v>338</v>
      </c>
      <c r="D68" s="151"/>
      <c r="E68" t="str">
        <f>LstEffectif[[#This Row],[prenom]] &amp; " " &amp; LstEffectif[[#This Row],[nom]]</f>
        <v>Sebastien VINCENT</v>
      </c>
      <c r="F68" t="str">
        <f>LstEffectif[[#This Row],[nom]] &amp; " " &amp; LstEffectif[[#This Row],[prenom]]</f>
        <v>VINCENT Sebastien</v>
      </c>
    </row>
    <row r="69" spans="1:6" s="25" customFormat="1" ht="14">
      <c r="A69">
        <v>67</v>
      </c>
      <c r="B69" s="151" t="s">
        <v>431</v>
      </c>
      <c r="C69" s="151" t="s">
        <v>432</v>
      </c>
      <c r="D69" s="151"/>
      <c r="E69" t="str">
        <f>LstEffectif[[#This Row],[prenom]] &amp; " " &amp; LstEffectif[[#This Row],[nom]]</f>
        <v>Fritz Lane ZIGI MBITTA</v>
      </c>
      <c r="F69" t="str">
        <f>LstEffectif[[#This Row],[nom]] &amp; " " &amp; LstEffectif[[#This Row],[prenom]]</f>
        <v>ZIGI MBITTA Fritz Lane</v>
      </c>
    </row>
    <row r="70" spans="1:6" s="25" customFormat="1" ht="14">
      <c r="A70">
        <v>69</v>
      </c>
      <c r="B70" s="151" t="s">
        <v>383</v>
      </c>
      <c r="C70" s="151" t="s">
        <v>358</v>
      </c>
      <c r="D70" s="151"/>
      <c r="E70" t="str">
        <f>LstEffectif[[#This Row],[prenom]] &amp; " " &amp; LstEffectif[[#This Row],[nom]]</f>
        <v>Ludovic KAPFER</v>
      </c>
      <c r="F70" t="str">
        <f>LstEffectif[[#This Row],[nom]] &amp; " " &amp; LstEffectif[[#This Row],[prenom]]</f>
        <v>KAPFER Ludovic</v>
      </c>
    </row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/>
    <row r="297" spans="1:6" s="25" customFormat="1"/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0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F35" sqref="F35"/>
    </sheetView>
    <sheetView workbookViewId="1"/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9" width="10.83203125" style="25"/>
    <col min="10" max="11" width="4.1640625" style="25" bestFit="1" customWidth="1"/>
    <col min="12" max="12" width="4" style="25" bestFit="1" customWidth="1"/>
    <col min="13" max="26" width="10.83203125" style="25"/>
    <col min="27" max="27" width="0" style="25" hidden="1" customWidth="1"/>
    <col min="28" max="417" width="10.83203125" style="25"/>
  </cols>
  <sheetData>
    <row r="1" spans="1:27" s="25" customFormat="1" ht="14" thickBot="1">
      <c r="A1" s="91"/>
      <c r="D1" s="91"/>
      <c r="AA1" s="25" t="s">
        <v>92</v>
      </c>
    </row>
    <row r="2" spans="1:27" ht="19" customHeight="1">
      <c r="B2" s="230" t="s">
        <v>254</v>
      </c>
      <c r="C2" s="230"/>
      <c r="E2" s="231" t="s">
        <v>255</v>
      </c>
      <c r="F2" s="232"/>
      <c r="G2" s="232"/>
      <c r="H2" s="233"/>
      <c r="AA2" s="25" t="s">
        <v>82</v>
      </c>
    </row>
    <row r="3" spans="1:27" ht="19" customHeight="1">
      <c r="B3" s="230"/>
      <c r="C3" s="230"/>
      <c r="E3" s="234"/>
      <c r="F3" s="235"/>
      <c r="G3" s="235"/>
      <c r="H3" s="236"/>
    </row>
    <row r="4" spans="1:27" ht="19" customHeight="1" thickBot="1">
      <c r="B4" s="230"/>
      <c r="C4" s="230"/>
      <c r="E4" s="237"/>
      <c r="F4" s="238"/>
      <c r="G4" s="238"/>
      <c r="H4" s="239"/>
    </row>
    <row r="5" spans="1:27" s="25" customFormat="1">
      <c r="A5" s="91"/>
      <c r="D5" s="91"/>
    </row>
    <row r="6" spans="1:27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27">
      <c r="B7" s="25"/>
      <c r="C7" s="25"/>
      <c r="E7">
        <v>1</v>
      </c>
      <c r="F7" t="s">
        <v>560</v>
      </c>
      <c r="G7" t="s">
        <v>204</v>
      </c>
    </row>
    <row r="8" spans="1:27">
      <c r="B8" s="70" t="s">
        <v>263</v>
      </c>
      <c r="C8" s="71">
        <v>46285</v>
      </c>
      <c r="E8">
        <v>2</v>
      </c>
      <c r="F8" t="s">
        <v>562</v>
      </c>
      <c r="G8" t="s">
        <v>204</v>
      </c>
    </row>
    <row r="9" spans="1:27">
      <c r="B9" s="25"/>
      <c r="C9" s="25"/>
      <c r="E9">
        <v>3</v>
      </c>
      <c r="F9" t="s">
        <v>564</v>
      </c>
      <c r="G9" t="s">
        <v>204</v>
      </c>
    </row>
    <row r="10" spans="1:27">
      <c r="B10" s="70" t="s">
        <v>235</v>
      </c>
      <c r="C10" s="71" t="s">
        <v>439</v>
      </c>
      <c r="E10">
        <v>4</v>
      </c>
      <c r="F10" t="s">
        <v>566</v>
      </c>
      <c r="G10" t="s">
        <v>204</v>
      </c>
    </row>
    <row r="11" spans="1:27">
      <c r="B11" s="25"/>
      <c r="C11" s="25"/>
      <c r="E11">
        <v>5</v>
      </c>
      <c r="F11" t="s">
        <v>568</v>
      </c>
      <c r="G11" t="s">
        <v>204</v>
      </c>
    </row>
    <row r="12" spans="1:27">
      <c r="B12" s="70" t="s">
        <v>262</v>
      </c>
      <c r="C12" s="71" t="s">
        <v>231</v>
      </c>
      <c r="E12">
        <v>6</v>
      </c>
      <c r="F12" t="s">
        <v>558</v>
      </c>
      <c r="G12" t="s">
        <v>204</v>
      </c>
    </row>
    <row r="13" spans="1:27">
      <c r="B13" s="25"/>
      <c r="C13" s="25"/>
      <c r="E13">
        <v>7</v>
      </c>
      <c r="F13" t="s">
        <v>570</v>
      </c>
      <c r="G13" t="s">
        <v>204</v>
      </c>
    </row>
    <row r="14" spans="1:27">
      <c r="B14" s="70" t="s">
        <v>236</v>
      </c>
      <c r="C14" s="71" t="s">
        <v>232</v>
      </c>
      <c r="E14">
        <v>8</v>
      </c>
      <c r="F14" t="s">
        <v>572</v>
      </c>
      <c r="G14" t="s">
        <v>204</v>
      </c>
    </row>
    <row r="15" spans="1:27">
      <c r="B15" s="25"/>
      <c r="C15" s="92"/>
      <c r="E15" s="63">
        <v>9</v>
      </c>
      <c r="F15" s="63" t="s">
        <v>574</v>
      </c>
      <c r="G15" s="63" t="s">
        <v>222</v>
      </c>
      <c r="H15" s="63"/>
    </row>
    <row r="16" spans="1:27">
      <c r="B16" s="70" t="s">
        <v>237</v>
      </c>
      <c r="C16" s="72">
        <v>1</v>
      </c>
      <c r="E16">
        <v>10</v>
      </c>
      <c r="F16" t="s">
        <v>576</v>
      </c>
      <c r="G16" t="s">
        <v>222</v>
      </c>
    </row>
    <row r="17" spans="1:8">
      <c r="B17" s="25"/>
      <c r="C17" s="25"/>
      <c r="E17">
        <v>11</v>
      </c>
      <c r="F17" t="s">
        <v>578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F18" t="s">
        <v>580</v>
      </c>
      <c r="G18" t="s">
        <v>222</v>
      </c>
    </row>
    <row r="19" spans="1:8">
      <c r="B19" s="25"/>
      <c r="C19" s="92"/>
      <c r="E19">
        <v>13</v>
      </c>
      <c r="F19" t="s">
        <v>582</v>
      </c>
      <c r="G19" t="s">
        <v>222</v>
      </c>
    </row>
    <row r="20" spans="1:8">
      <c r="B20" s="70" t="s">
        <v>261</v>
      </c>
      <c r="C20" s="71" t="s">
        <v>258</v>
      </c>
      <c r="E20">
        <v>14</v>
      </c>
      <c r="F20" t="s">
        <v>584</v>
      </c>
      <c r="G20" t="s">
        <v>222</v>
      </c>
    </row>
    <row r="21" spans="1:8">
      <c r="B21" s="25"/>
      <c r="C21" s="25"/>
      <c r="E21" s="58">
        <v>15</v>
      </c>
      <c r="F21" s="58" t="s">
        <v>586</v>
      </c>
      <c r="G21" s="58" t="s">
        <v>222</v>
      </c>
      <c r="H21" s="58"/>
    </row>
    <row r="22" spans="1:8">
      <c r="B22" s="25"/>
      <c r="C22" s="25"/>
      <c r="E22">
        <v>16</v>
      </c>
      <c r="F22" t="s">
        <v>588</v>
      </c>
      <c r="G22" t="s">
        <v>204</v>
      </c>
    </row>
    <row r="23" spans="1:8">
      <c r="B23" s="25"/>
      <c r="C23" s="25"/>
      <c r="E23">
        <v>17</v>
      </c>
      <c r="F23" t="s">
        <v>590</v>
      </c>
      <c r="G23" t="s">
        <v>204</v>
      </c>
    </row>
    <row r="24" spans="1:8">
      <c r="B24" s="25"/>
      <c r="C24" s="25"/>
      <c r="E24">
        <v>18</v>
      </c>
      <c r="F24" t="s">
        <v>592</v>
      </c>
      <c r="G24" t="s">
        <v>204</v>
      </c>
    </row>
    <row r="25" spans="1:8">
      <c r="B25" s="25"/>
      <c r="C25" s="25"/>
      <c r="E25">
        <v>19</v>
      </c>
      <c r="F25" t="s">
        <v>594</v>
      </c>
      <c r="G25" t="s">
        <v>204</v>
      </c>
    </row>
    <row r="26" spans="1:8">
      <c r="B26" s="25"/>
      <c r="C26" s="25"/>
      <c r="E26">
        <v>20</v>
      </c>
      <c r="F26" t="s">
        <v>596</v>
      </c>
      <c r="G26" t="s">
        <v>222</v>
      </c>
    </row>
    <row r="27" spans="1:8">
      <c r="B27" s="25"/>
      <c r="C27" s="25"/>
      <c r="E27">
        <v>21</v>
      </c>
      <c r="F27" t="s">
        <v>598</v>
      </c>
      <c r="G27" t="s">
        <v>222</v>
      </c>
    </row>
    <row r="28" spans="1:8">
      <c r="B28" s="25"/>
      <c r="C28" s="25"/>
      <c r="E28">
        <v>22</v>
      </c>
      <c r="F28" t="s">
        <v>600</v>
      </c>
      <c r="G28" t="s">
        <v>222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6" s="25" customFormat="1">
      <c r="A33" s="91"/>
      <c r="D33" s="91"/>
    </row>
    <row r="34" spans="1:6" s="25" customFormat="1">
      <c r="A34" s="91"/>
      <c r="D34" s="91"/>
      <c r="F34" s="202"/>
    </row>
    <row r="35" spans="1:6" s="25" customFormat="1">
      <c r="A35" s="91"/>
      <c r="D35" s="91"/>
    </row>
    <row r="36" spans="1:6" s="25" customFormat="1">
      <c r="A36" s="91"/>
      <c r="D36" s="91"/>
      <c r="F36" s="25" t="s">
        <v>117</v>
      </c>
    </row>
    <row r="37" spans="1:6" s="25" customFormat="1">
      <c r="A37" s="91"/>
      <c r="D37" s="91"/>
    </row>
    <row r="38" spans="1:6" s="25" customFormat="1">
      <c r="A38" s="91"/>
      <c r="D38" s="91"/>
    </row>
    <row r="39" spans="1:6" s="25" customFormat="1">
      <c r="A39" s="91"/>
      <c r="D39" s="91"/>
    </row>
    <row r="40" spans="1:6" s="25" customFormat="1">
      <c r="A40" s="91"/>
      <c r="D40" s="91"/>
    </row>
    <row r="41" spans="1:6" s="25" customFormat="1">
      <c r="A41" s="91"/>
      <c r="D41" s="91"/>
    </row>
    <row r="42" spans="1:6" s="25" customFormat="1">
      <c r="A42" s="91"/>
      <c r="D42" s="91"/>
    </row>
    <row r="43" spans="1:6" s="25" customFormat="1">
      <c r="A43" s="91"/>
      <c r="D43" s="91"/>
    </row>
    <row r="44" spans="1:6" s="25" customFormat="1">
      <c r="A44" s="91"/>
      <c r="D44" s="91"/>
    </row>
    <row r="45" spans="1:6" s="25" customFormat="1">
      <c r="A45" s="91"/>
      <c r="D45" s="91"/>
    </row>
    <row r="46" spans="1:6" s="25" customFormat="1">
      <c r="A46" s="91"/>
      <c r="D46" s="91"/>
    </row>
    <row r="47" spans="1:6" s="25" customFormat="1">
      <c r="A47" s="91"/>
      <c r="D47" s="91"/>
    </row>
    <row r="48" spans="1:6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468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workbookViewId="0">
      <selection activeCell="T28" sqref="T28"/>
    </sheetView>
    <sheetView workbookViewId="1"/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49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5"/>
      <c r="AZ1" s="176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4"/>
      <c r="E3" s="124"/>
      <c r="F3" s="123"/>
      <c r="G3" s="125"/>
      <c r="H3" s="123"/>
      <c r="I3" s="125"/>
      <c r="J3" s="125"/>
      <c r="K3" s="125"/>
      <c r="L3" s="123"/>
      <c r="M3" s="125"/>
      <c r="N3" s="123"/>
      <c r="O3" s="136"/>
      <c r="P3" s="148"/>
      <c r="Q3" s="162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4"/>
      <c r="AD3" s="171"/>
      <c r="AE3" s="167"/>
      <c r="AF3" s="167"/>
      <c r="AG3" s="167"/>
      <c r="AH3" s="167"/>
      <c r="AI3" s="170"/>
    </row>
    <row r="4" spans="1:52" ht="42" customHeight="1">
      <c r="A4" s="25"/>
      <c r="B4" s="25"/>
      <c r="C4" s="126"/>
      <c r="D4" s="250" t="s">
        <v>175</v>
      </c>
      <c r="E4" s="251"/>
      <c r="F4" s="35" t="s">
        <v>89</v>
      </c>
      <c r="G4" s="127"/>
      <c r="H4" s="35" t="s">
        <v>106</v>
      </c>
      <c r="I4" s="128"/>
      <c r="J4" s="129"/>
      <c r="K4" s="130"/>
      <c r="L4" s="28" t="s">
        <v>93</v>
      </c>
      <c r="M4" s="131"/>
      <c r="N4" s="28" t="s">
        <v>94</v>
      </c>
      <c r="O4" s="149"/>
      <c r="P4" s="148"/>
      <c r="Q4" s="165"/>
      <c r="R4" s="176" t="s">
        <v>88</v>
      </c>
      <c r="S4" s="171"/>
      <c r="T4" s="39" t="s">
        <v>79</v>
      </c>
      <c r="U4" s="171"/>
      <c r="V4" s="39" t="s">
        <v>102</v>
      </c>
      <c r="W4" s="171"/>
      <c r="X4" s="39" t="s">
        <v>192</v>
      </c>
      <c r="Y4" s="171"/>
      <c r="Z4" s="39" t="s">
        <v>80</v>
      </c>
      <c r="AA4" s="171"/>
      <c r="AB4" s="39" t="s">
        <v>81</v>
      </c>
      <c r="AC4" s="174"/>
      <c r="AD4" s="171"/>
      <c r="AE4" s="167"/>
      <c r="AF4" s="167"/>
      <c r="AG4" s="167"/>
      <c r="AH4" s="167"/>
      <c r="AI4" s="170"/>
    </row>
    <row r="5" spans="1:52" ht="10" customHeight="1" thickBot="1">
      <c r="A5" s="25"/>
      <c r="B5" s="25"/>
      <c r="C5" s="126"/>
      <c r="D5" s="132"/>
      <c r="E5" s="132"/>
      <c r="F5" s="133"/>
      <c r="G5" s="134"/>
      <c r="H5" s="133"/>
      <c r="I5" s="134"/>
      <c r="J5" s="134"/>
      <c r="K5" s="134"/>
      <c r="L5" s="133"/>
      <c r="M5" s="134"/>
      <c r="N5" s="135"/>
      <c r="O5" s="49"/>
      <c r="P5" s="148"/>
      <c r="Q5" s="168"/>
      <c r="R5" s="173"/>
      <c r="S5" s="169"/>
      <c r="T5" s="173"/>
      <c r="U5" s="169"/>
      <c r="V5" s="173"/>
      <c r="W5" s="169"/>
      <c r="X5" s="173"/>
      <c r="Y5" s="169"/>
      <c r="Z5" s="173"/>
      <c r="AA5" s="169"/>
      <c r="AB5" s="173"/>
      <c r="AC5" s="175"/>
      <c r="AD5" s="171"/>
      <c r="AE5" s="167"/>
      <c r="AF5" s="167"/>
      <c r="AG5" s="167"/>
      <c r="AH5" s="167"/>
      <c r="AI5" s="170"/>
    </row>
    <row r="6" spans="1:52" ht="10" customHeight="1" thickTop="1" thickBot="1">
      <c r="A6" s="25"/>
      <c r="B6" s="25"/>
      <c r="C6" s="136"/>
      <c r="D6" s="124"/>
      <c r="E6" s="124"/>
      <c r="F6" s="125"/>
      <c r="G6" s="125"/>
      <c r="H6" s="125"/>
      <c r="I6" s="125"/>
      <c r="J6" s="125"/>
      <c r="K6" s="125"/>
      <c r="L6" s="125"/>
      <c r="M6" s="125"/>
      <c r="N6" s="125"/>
      <c r="O6" s="136"/>
      <c r="P6" s="150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67"/>
      <c r="AE6" s="167"/>
      <c r="AF6" s="167"/>
      <c r="AG6" s="167"/>
      <c r="AH6" s="167"/>
      <c r="AI6" s="170"/>
    </row>
    <row r="7" spans="1:52" ht="10" customHeight="1" thickTop="1">
      <c r="A7" s="25"/>
      <c r="B7" s="25"/>
      <c r="C7" s="51"/>
      <c r="D7" s="138"/>
      <c r="E7" s="139"/>
      <c r="F7" s="137"/>
      <c r="G7" s="139"/>
      <c r="H7" s="137"/>
      <c r="I7" s="139"/>
      <c r="J7" s="137"/>
      <c r="K7" s="139"/>
      <c r="L7" s="137"/>
      <c r="M7" s="139"/>
      <c r="N7" s="139"/>
      <c r="O7" s="139"/>
      <c r="P7" s="148"/>
      <c r="Q7" s="162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4"/>
      <c r="AD7" s="171"/>
      <c r="AE7" s="167"/>
      <c r="AF7" s="167"/>
      <c r="AG7" s="167"/>
      <c r="AH7" s="167"/>
      <c r="AI7" s="170"/>
    </row>
    <row r="8" spans="1:52" ht="26" customHeight="1">
      <c r="A8" s="25"/>
      <c r="B8" s="25"/>
      <c r="C8" s="140"/>
      <c r="D8" s="141" t="s">
        <v>298</v>
      </c>
      <c r="E8" s="142"/>
      <c r="F8" s="33"/>
      <c r="G8" s="143"/>
      <c r="H8" s="120"/>
      <c r="I8" s="143"/>
      <c r="J8" s="121"/>
      <c r="K8" s="143"/>
      <c r="L8" s="122"/>
      <c r="M8" s="128"/>
      <c r="N8" s="134"/>
      <c r="O8" s="147"/>
      <c r="P8" s="148"/>
      <c r="Q8" s="165"/>
      <c r="R8" s="176" t="s">
        <v>99</v>
      </c>
      <c r="S8" s="171"/>
      <c r="T8" s="31" t="s">
        <v>83</v>
      </c>
      <c r="U8" s="171"/>
      <c r="V8" s="31" t="s">
        <v>84</v>
      </c>
      <c r="W8" s="171"/>
      <c r="X8" s="31" t="s">
        <v>85</v>
      </c>
      <c r="Y8" s="171"/>
      <c r="Z8" s="31" t="s">
        <v>86</v>
      </c>
      <c r="AA8" s="171"/>
      <c r="AB8" s="24" t="s">
        <v>87</v>
      </c>
      <c r="AC8" s="174"/>
      <c r="AD8" s="171"/>
      <c r="AE8" s="167"/>
      <c r="AF8" s="167"/>
      <c r="AG8" s="167"/>
      <c r="AH8" s="167"/>
      <c r="AI8" s="170"/>
    </row>
    <row r="9" spans="1:52" ht="10" customHeight="1" thickBot="1">
      <c r="A9" s="25"/>
      <c r="B9" s="25"/>
      <c r="C9" s="126"/>
      <c r="D9" s="144"/>
      <c r="E9" s="132"/>
      <c r="F9" s="133"/>
      <c r="G9" s="134"/>
      <c r="H9" s="133"/>
      <c r="I9" s="134"/>
      <c r="J9" s="133"/>
      <c r="K9" s="134"/>
      <c r="L9" s="133"/>
      <c r="M9" s="134"/>
      <c r="N9" s="145"/>
      <c r="O9" s="49"/>
      <c r="P9" s="148"/>
      <c r="Q9" s="168"/>
      <c r="R9" s="173"/>
      <c r="S9" s="169"/>
      <c r="T9" s="173"/>
      <c r="U9" s="169"/>
      <c r="V9" s="173"/>
      <c r="W9" s="169"/>
      <c r="X9" s="173"/>
      <c r="Y9" s="169"/>
      <c r="Z9" s="173"/>
      <c r="AA9" s="169"/>
      <c r="AB9" s="173"/>
      <c r="AC9" s="175"/>
      <c r="AD9" s="171"/>
      <c r="AE9" s="167"/>
      <c r="AF9" s="167"/>
      <c r="AG9" s="167"/>
      <c r="AH9" s="167"/>
      <c r="AI9" s="170"/>
    </row>
    <row r="10" spans="1:52" ht="10" customHeight="1" thickTop="1" thickBot="1">
      <c r="A10" s="25"/>
      <c r="B10" s="25"/>
      <c r="C10" s="139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39"/>
      <c r="P10" s="150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2"/>
      <c r="AB10" s="172"/>
      <c r="AC10" s="172"/>
      <c r="AD10" s="167"/>
      <c r="AE10" s="167"/>
      <c r="AF10" s="167"/>
      <c r="AG10" s="167"/>
      <c r="AH10" s="167"/>
      <c r="AI10" s="170"/>
    </row>
    <row r="11" spans="1:52" ht="10" customHeight="1" thickTop="1">
      <c r="A11" s="25"/>
      <c r="B11" s="25" t="s">
        <v>95</v>
      </c>
      <c r="C11" s="162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81"/>
      <c r="O11" s="164"/>
      <c r="P11" s="179"/>
      <c r="Q11" s="162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4"/>
    </row>
    <row r="12" spans="1:52" ht="15" customHeight="1">
      <c r="A12" s="25"/>
      <c r="B12" s="25"/>
      <c r="C12" s="165"/>
      <c r="D12" s="252" t="s">
        <v>68</v>
      </c>
      <c r="E12" s="252"/>
      <c r="F12" s="252"/>
      <c r="G12" s="252"/>
      <c r="H12" s="252"/>
      <c r="I12" s="252"/>
      <c r="J12" s="252"/>
      <c r="K12" s="252"/>
      <c r="L12" s="252"/>
      <c r="M12" s="253"/>
      <c r="N12" s="254"/>
      <c r="O12" s="166"/>
      <c r="P12" s="179"/>
      <c r="Q12" s="165"/>
      <c r="R12" s="240" t="s">
        <v>69</v>
      </c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1"/>
      <c r="AH12" s="242"/>
      <c r="AI12" s="174"/>
    </row>
    <row r="13" spans="1:52">
      <c r="A13" s="25"/>
      <c r="B13" s="25"/>
      <c r="C13" s="165"/>
      <c r="D13" s="182"/>
      <c r="E13" s="167"/>
      <c r="F13" s="182"/>
      <c r="G13" s="167"/>
      <c r="H13" s="182"/>
      <c r="I13" s="167"/>
      <c r="J13" s="182"/>
      <c r="K13" s="167"/>
      <c r="L13" s="182"/>
      <c r="M13" s="167"/>
      <c r="N13" s="182"/>
      <c r="O13" s="166"/>
      <c r="P13" s="179"/>
      <c r="Q13" s="165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66"/>
    </row>
    <row r="14" spans="1:52" ht="42" customHeight="1">
      <c r="A14" s="25"/>
      <c r="B14" s="25"/>
      <c r="C14" s="186"/>
      <c r="D14" s="187" t="s">
        <v>561</v>
      </c>
      <c r="E14" s="189"/>
      <c r="F14" s="187" t="s">
        <v>563</v>
      </c>
      <c r="G14" s="189"/>
      <c r="H14" s="187" t="s">
        <v>565</v>
      </c>
      <c r="I14" s="189"/>
      <c r="J14" s="187" t="s">
        <v>567</v>
      </c>
      <c r="K14" s="189"/>
      <c r="L14" s="187" t="s">
        <v>569</v>
      </c>
      <c r="M14" s="189"/>
      <c r="N14" s="187" t="s">
        <v>559</v>
      </c>
      <c r="O14" s="190"/>
      <c r="P14" s="179"/>
      <c r="Q14" s="165"/>
      <c r="R14" s="176" t="s">
        <v>321</v>
      </c>
      <c r="S14" s="171"/>
      <c r="T14" s="29" t="s">
        <v>72</v>
      </c>
      <c r="U14" s="171"/>
      <c r="V14" s="29" t="s">
        <v>70</v>
      </c>
      <c r="W14" s="171"/>
      <c r="X14" s="29" t="s">
        <v>73</v>
      </c>
      <c r="Y14" s="171"/>
      <c r="Z14" s="29" t="s">
        <v>74</v>
      </c>
      <c r="AA14" s="171"/>
      <c r="AB14" s="29" t="s">
        <v>71</v>
      </c>
      <c r="AC14" s="171"/>
      <c r="AD14" s="176" t="s">
        <v>277</v>
      </c>
      <c r="AE14" s="171"/>
      <c r="AF14" s="29" t="s">
        <v>75</v>
      </c>
      <c r="AG14" s="171"/>
      <c r="AH14" s="29" t="s">
        <v>76</v>
      </c>
      <c r="AI14" s="174"/>
    </row>
    <row r="15" spans="1:52" ht="10" customHeight="1">
      <c r="A15" s="25"/>
      <c r="B15" s="25"/>
      <c r="C15" s="165"/>
      <c r="D15" s="188"/>
      <c r="E15" s="167"/>
      <c r="F15" s="188"/>
      <c r="G15" s="167"/>
      <c r="H15" s="188"/>
      <c r="I15" s="167"/>
      <c r="J15" s="188"/>
      <c r="K15" s="167"/>
      <c r="L15" s="188"/>
      <c r="M15" s="167"/>
      <c r="N15" s="188"/>
      <c r="O15" s="166"/>
      <c r="P15" s="179"/>
      <c r="Q15" s="165"/>
      <c r="R15" s="172"/>
      <c r="S15" s="167"/>
      <c r="T15" s="172"/>
      <c r="U15" s="167"/>
      <c r="V15" s="172"/>
      <c r="W15" s="167"/>
      <c r="X15" s="172"/>
      <c r="Y15" s="167"/>
      <c r="Z15" s="172"/>
      <c r="AA15" s="167"/>
      <c r="AB15" s="172"/>
      <c r="AC15" s="167"/>
      <c r="AD15" s="172"/>
      <c r="AE15" s="167"/>
      <c r="AF15" s="172"/>
      <c r="AG15" s="167"/>
      <c r="AH15" s="172"/>
      <c r="AI15" s="166"/>
    </row>
    <row r="16" spans="1:52" ht="42" customHeight="1">
      <c r="A16" s="25"/>
      <c r="B16" s="25"/>
      <c r="C16" s="186"/>
      <c r="D16" s="187" t="s">
        <v>571</v>
      </c>
      <c r="E16" s="189"/>
      <c r="F16" s="187" t="s">
        <v>573</v>
      </c>
      <c r="G16" s="189"/>
      <c r="H16" s="187" t="s">
        <v>575</v>
      </c>
      <c r="I16" s="189"/>
      <c r="J16" s="187" t="s">
        <v>577</v>
      </c>
      <c r="K16" s="189"/>
      <c r="L16" s="187" t="s">
        <v>579</v>
      </c>
      <c r="M16" s="189"/>
      <c r="N16" s="187" t="s">
        <v>581</v>
      </c>
      <c r="O16" s="190"/>
      <c r="P16" s="179"/>
      <c r="Q16" s="165"/>
      <c r="R16" s="176" t="s">
        <v>276</v>
      </c>
      <c r="S16" s="171"/>
      <c r="T16" s="29" t="s">
        <v>75</v>
      </c>
      <c r="U16" s="171"/>
      <c r="V16" s="29" t="s">
        <v>76</v>
      </c>
      <c r="W16" s="171"/>
      <c r="X16" s="29" t="s">
        <v>96</v>
      </c>
      <c r="Y16" s="171"/>
      <c r="Z16" s="167"/>
      <c r="AA16" s="167"/>
      <c r="AB16" s="177" t="s">
        <v>459</v>
      </c>
      <c r="AC16" s="171"/>
      <c r="AD16" s="39" t="s">
        <v>299</v>
      </c>
      <c r="AE16" s="171"/>
      <c r="AF16" s="39" t="s">
        <v>457</v>
      </c>
      <c r="AG16" s="171"/>
      <c r="AH16" s="39" t="s">
        <v>458</v>
      </c>
      <c r="AI16" s="174"/>
    </row>
    <row r="17" spans="1:35" ht="10" customHeight="1">
      <c r="A17" s="25"/>
      <c r="B17" s="25"/>
      <c r="C17" s="165"/>
      <c r="D17" s="188"/>
      <c r="E17" s="167"/>
      <c r="F17" s="188"/>
      <c r="G17" s="167"/>
      <c r="H17" s="188"/>
      <c r="I17" s="167"/>
      <c r="J17" s="188"/>
      <c r="K17" s="167"/>
      <c r="L17" s="188"/>
      <c r="M17" s="167"/>
      <c r="N17" s="188"/>
      <c r="O17" s="166"/>
      <c r="P17" s="179"/>
      <c r="Q17" s="165"/>
      <c r="R17" s="172"/>
      <c r="S17" s="167"/>
      <c r="T17" s="172"/>
      <c r="U17" s="167"/>
      <c r="V17" s="172"/>
      <c r="W17" s="167"/>
      <c r="X17" s="172"/>
      <c r="Y17" s="167"/>
      <c r="Z17" s="167"/>
      <c r="AA17" s="167"/>
      <c r="AB17" s="172"/>
      <c r="AC17" s="167"/>
      <c r="AD17" s="172"/>
      <c r="AE17" s="167"/>
      <c r="AF17" s="172"/>
      <c r="AG17" s="167"/>
      <c r="AH17" s="172"/>
      <c r="AI17" s="166"/>
    </row>
    <row r="18" spans="1:35" ht="42" customHeight="1">
      <c r="A18" s="25"/>
      <c r="B18" s="25"/>
      <c r="C18" s="186"/>
      <c r="D18" s="187" t="s">
        <v>583</v>
      </c>
      <c r="E18" s="189"/>
      <c r="F18" s="187" t="s">
        <v>585</v>
      </c>
      <c r="G18" s="189"/>
      <c r="H18" s="187" t="s">
        <v>587</v>
      </c>
      <c r="I18" s="189"/>
      <c r="J18" s="187" t="s">
        <v>589</v>
      </c>
      <c r="K18" s="189"/>
      <c r="L18" s="187" t="s">
        <v>591</v>
      </c>
      <c r="M18" s="189"/>
      <c r="N18" s="187" t="s">
        <v>593</v>
      </c>
      <c r="O18" s="190"/>
      <c r="P18" s="179"/>
      <c r="Q18" s="165"/>
      <c r="R18" s="176" t="s">
        <v>176</v>
      </c>
      <c r="S18" s="171"/>
      <c r="T18" s="29" t="s">
        <v>177</v>
      </c>
      <c r="U18" s="171"/>
      <c r="V18" s="29" t="s">
        <v>178</v>
      </c>
      <c r="W18" s="171"/>
      <c r="X18" s="29" t="s">
        <v>179</v>
      </c>
      <c r="Y18" s="171"/>
      <c r="Z18" s="29" t="s">
        <v>180</v>
      </c>
      <c r="AA18" s="171"/>
      <c r="AB18" s="29" t="s">
        <v>60</v>
      </c>
      <c r="AC18" s="171"/>
      <c r="AD18" s="29" t="s">
        <v>77</v>
      </c>
      <c r="AE18" s="171"/>
      <c r="AF18" s="29" t="s">
        <v>273</v>
      </c>
      <c r="AG18" s="171"/>
      <c r="AH18" s="29" t="s">
        <v>452</v>
      </c>
      <c r="AI18" s="174"/>
    </row>
    <row r="19" spans="1:35" s="25" customFormat="1" ht="10" customHeight="1">
      <c r="C19" s="165"/>
      <c r="D19" s="188"/>
      <c r="E19" s="167"/>
      <c r="F19" s="188"/>
      <c r="G19" s="167"/>
      <c r="H19" s="188"/>
      <c r="I19" s="167"/>
      <c r="J19" s="188"/>
      <c r="K19" s="167"/>
      <c r="L19" s="188"/>
      <c r="M19" s="167"/>
      <c r="N19" s="188"/>
      <c r="O19" s="166"/>
      <c r="P19" s="179"/>
      <c r="Q19" s="165"/>
      <c r="R19" s="172"/>
      <c r="S19" s="167"/>
      <c r="T19" s="172"/>
      <c r="U19" s="167"/>
      <c r="V19" s="172"/>
      <c r="W19" s="167"/>
      <c r="X19" s="172"/>
      <c r="Y19" s="167"/>
      <c r="Z19" s="172"/>
      <c r="AA19" s="167"/>
      <c r="AB19" s="172"/>
      <c r="AC19" s="167"/>
      <c r="AD19" s="172"/>
      <c r="AE19" s="167"/>
      <c r="AF19" s="172"/>
      <c r="AG19" s="167"/>
      <c r="AH19" s="172"/>
      <c r="AI19" s="166"/>
    </row>
    <row r="20" spans="1:35" ht="42" customHeight="1">
      <c r="A20" s="25"/>
      <c r="B20" s="25"/>
      <c r="C20" s="186"/>
      <c r="D20" s="187" t="s">
        <v>595</v>
      </c>
      <c r="E20" s="189"/>
      <c r="F20" s="187" t="s">
        <v>597</v>
      </c>
      <c r="G20" s="189"/>
      <c r="H20" s="187" t="s">
        <v>599</v>
      </c>
      <c r="I20" s="189"/>
      <c r="J20" s="187" t="s">
        <v>601</v>
      </c>
      <c r="K20" s="189"/>
      <c r="L20" s="191" t="s">
        <v>92</v>
      </c>
      <c r="M20" s="189"/>
      <c r="N20" s="191" t="s">
        <v>82</v>
      </c>
      <c r="O20" s="185"/>
      <c r="P20" s="179"/>
      <c r="Q20" s="165"/>
      <c r="R20" s="176" t="s">
        <v>116</v>
      </c>
      <c r="S20" s="171"/>
      <c r="T20" s="30" t="s">
        <v>210</v>
      </c>
      <c r="U20" s="171"/>
      <c r="V20" s="30" t="s">
        <v>211</v>
      </c>
      <c r="W20" s="171"/>
      <c r="X20" s="176" t="s">
        <v>205</v>
      </c>
      <c r="Y20" s="171"/>
      <c r="Z20" s="30" t="s">
        <v>206</v>
      </c>
      <c r="AA20" s="171"/>
      <c r="AB20" s="30" t="s">
        <v>207</v>
      </c>
      <c r="AC20" s="171"/>
      <c r="AD20" s="30" t="s">
        <v>208</v>
      </c>
      <c r="AE20" s="171"/>
      <c r="AF20" s="30" t="s">
        <v>209</v>
      </c>
      <c r="AG20" s="171"/>
      <c r="AH20" s="30" t="s">
        <v>135</v>
      </c>
      <c r="AI20" s="174"/>
    </row>
    <row r="21" spans="1:35" ht="10" customHeight="1" thickBot="1">
      <c r="A21" s="25"/>
      <c r="B21" s="25"/>
      <c r="C21" s="165"/>
      <c r="D21" s="192"/>
      <c r="E21" s="167"/>
      <c r="F21" s="192"/>
      <c r="G21" s="167"/>
      <c r="H21" s="192"/>
      <c r="I21" s="167"/>
      <c r="J21" s="192"/>
      <c r="K21" s="167"/>
      <c r="L21" s="192"/>
      <c r="M21" s="167"/>
      <c r="N21" s="193"/>
      <c r="O21" s="178"/>
      <c r="P21" s="180"/>
      <c r="Q21" s="168"/>
      <c r="R21" s="173"/>
      <c r="S21" s="169"/>
      <c r="T21" s="173"/>
      <c r="U21" s="169"/>
      <c r="V21" s="173"/>
      <c r="W21" s="169"/>
      <c r="X21" s="173"/>
      <c r="Y21" s="169"/>
      <c r="Z21" s="173"/>
      <c r="AA21" s="169"/>
      <c r="AB21" s="173"/>
      <c r="AC21" s="169"/>
      <c r="AD21" s="173"/>
      <c r="AE21" s="169"/>
      <c r="AF21" s="173"/>
      <c r="AG21" s="169"/>
      <c r="AH21" s="173"/>
      <c r="AI21" s="175"/>
    </row>
    <row r="22" spans="1:35" ht="10" customHeight="1" thickTop="1" thickBot="1">
      <c r="A22" s="25"/>
      <c r="B22" s="25"/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94"/>
      <c r="P22" s="25"/>
    </row>
    <row r="23" spans="1:35" ht="10" customHeight="1" thickTop="1">
      <c r="A23" s="25"/>
      <c r="B23" s="25"/>
      <c r="C23" s="162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81"/>
      <c r="O23" s="164"/>
      <c r="P23" s="25"/>
    </row>
    <row r="24" spans="1:35" ht="15" customHeight="1">
      <c r="A24" s="25"/>
      <c r="B24" s="25"/>
      <c r="C24" s="165"/>
      <c r="D24" s="243" t="s">
        <v>90</v>
      </c>
      <c r="E24" s="243"/>
      <c r="F24" s="243"/>
      <c r="G24" s="243"/>
      <c r="H24" s="243"/>
      <c r="I24" s="243"/>
      <c r="J24" s="243"/>
      <c r="K24" s="243"/>
      <c r="L24" s="243"/>
      <c r="M24" s="244"/>
      <c r="N24" s="245"/>
      <c r="O24" s="166"/>
      <c r="P24" s="25"/>
    </row>
    <row r="25" spans="1:35" s="25" customFormat="1" ht="10" customHeight="1">
      <c r="C25" s="165"/>
      <c r="D25" s="183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6"/>
    </row>
    <row r="26" spans="1:35" ht="15" customHeight="1">
      <c r="A26" s="25"/>
      <c r="B26" s="25"/>
      <c r="C26" s="195"/>
      <c r="D26" s="196" t="s">
        <v>91</v>
      </c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6"/>
      <c r="P26" s="25"/>
    </row>
    <row r="27" spans="1:35" ht="10" customHeight="1">
      <c r="A27" s="25"/>
      <c r="B27" s="25"/>
      <c r="C27" s="165"/>
      <c r="D27" s="167"/>
      <c r="E27" s="167"/>
      <c r="F27" s="183"/>
      <c r="G27" s="167"/>
      <c r="H27" s="182"/>
      <c r="I27" s="167"/>
      <c r="J27" s="182"/>
      <c r="K27" s="167"/>
      <c r="L27" s="182"/>
      <c r="M27" s="167"/>
      <c r="N27" s="182"/>
      <c r="O27" s="166"/>
      <c r="P27" s="25"/>
    </row>
    <row r="28" spans="1:35" ht="42" customHeight="1">
      <c r="A28" s="25"/>
      <c r="B28" s="25"/>
      <c r="C28" s="165"/>
      <c r="D28" s="246">
        <v>5.9358259027777784E-3</v>
      </c>
      <c r="E28" s="247"/>
      <c r="F28" s="248"/>
      <c r="G28" s="197"/>
      <c r="H28" s="198" t="s">
        <v>62</v>
      </c>
      <c r="I28" s="189"/>
      <c r="J28" s="199" t="s">
        <v>61</v>
      </c>
      <c r="K28" s="189"/>
      <c r="L28" s="198" t="s">
        <v>169</v>
      </c>
      <c r="M28" s="189"/>
      <c r="N28" s="200" t="s">
        <v>63</v>
      </c>
      <c r="O28" s="185"/>
      <c r="P28" s="25"/>
      <c r="R28" s="25" t="s">
        <v>117</v>
      </c>
    </row>
    <row r="29" spans="1:35" ht="90" customHeight="1" thickBot="1">
      <c r="A29" s="25"/>
      <c r="B29" s="25"/>
      <c r="C29" s="165"/>
      <c r="D29" s="167"/>
      <c r="E29" s="167"/>
      <c r="F29" s="167"/>
      <c r="G29" s="167"/>
      <c r="H29" s="192"/>
      <c r="I29" s="167"/>
      <c r="J29" s="192"/>
      <c r="K29" s="167"/>
      <c r="L29" s="192"/>
      <c r="M29" s="167"/>
      <c r="N29" s="193"/>
      <c r="O29" s="178"/>
      <c r="P29" s="25"/>
    </row>
    <row r="30" spans="1:35" ht="106" customHeight="1" thickTop="1">
      <c r="A30" s="25"/>
      <c r="B30" s="25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94"/>
      <c r="P30" s="25"/>
    </row>
    <row r="31" spans="1:35" ht="10" customHeight="1">
      <c r="A31" s="25"/>
      <c r="B31" s="25"/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7"/>
      <c r="N31" s="167"/>
      <c r="O31" s="170"/>
      <c r="P31" s="25"/>
    </row>
    <row r="32" spans="1:35" ht="42" customHeight="1">
      <c r="A32" s="25"/>
      <c r="B32" s="25"/>
      <c r="C32" s="167"/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70"/>
      <c r="P32" s="25"/>
    </row>
    <row r="33" spans="1:21" ht="15" customHeight="1">
      <c r="A33" s="25"/>
      <c r="B33" s="25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70"/>
      <c r="P33" s="25"/>
    </row>
    <row r="34" spans="1:21" ht="15" customHeight="1">
      <c r="A34" s="25"/>
      <c r="B34" s="25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70"/>
      <c r="P34" s="25"/>
    </row>
    <row r="35" spans="1:21" ht="15" customHeight="1">
      <c r="A35" s="25"/>
      <c r="B35" s="25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70"/>
      <c r="P35" s="25"/>
    </row>
    <row r="36" spans="1:21" ht="15" customHeight="1">
      <c r="A36" s="25"/>
      <c r="B36" s="25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70"/>
      <c r="P36" s="25"/>
    </row>
    <row r="37" spans="1:21" ht="15" customHeight="1">
      <c r="A37" s="25"/>
      <c r="B37" s="25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70"/>
      <c r="P37" s="25"/>
    </row>
    <row r="38" spans="1:21" ht="15" customHeight="1">
      <c r="A38" s="25"/>
      <c r="B38" s="25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70"/>
      <c r="P38" s="25"/>
    </row>
    <row r="39" spans="1:21" ht="15" customHeight="1">
      <c r="A39" s="25"/>
      <c r="B39" s="25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70"/>
      <c r="P39" s="25"/>
    </row>
    <row r="40" spans="1:21" ht="15" customHeight="1">
      <c r="A40" s="25"/>
      <c r="B40" s="25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70"/>
      <c r="P40" s="25"/>
      <c r="R40" s="26"/>
      <c r="S40" s="26"/>
    </row>
    <row r="41" spans="1:21" ht="15" customHeight="1">
      <c r="A41" s="25"/>
      <c r="B41" s="25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70"/>
      <c r="P41" s="25"/>
      <c r="R41" s="26"/>
      <c r="S41" s="26"/>
    </row>
    <row r="42" spans="1:21" ht="15" customHeight="1">
      <c r="A42" s="25"/>
      <c r="B42" s="25"/>
      <c r="C42" s="167"/>
      <c r="D42" s="167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70"/>
      <c r="P42" s="25"/>
    </row>
    <row r="43" spans="1:21" s="25" customFormat="1" ht="15" customHeight="1">
      <c r="C43" s="167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70"/>
    </row>
    <row r="44" spans="1:21" ht="15" customHeight="1">
      <c r="A44" s="25"/>
      <c r="B44" s="25"/>
      <c r="C44" s="167"/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70"/>
      <c r="P44" s="25"/>
    </row>
    <row r="45" spans="1:21" ht="15" customHeight="1">
      <c r="A45" s="25"/>
      <c r="B45" s="25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70"/>
      <c r="P45" s="25"/>
      <c r="Q45" s="27"/>
      <c r="T45" s="26"/>
      <c r="U45" s="26"/>
    </row>
    <row r="46" spans="1:21" ht="15" customHeight="1">
      <c r="A46" s="25"/>
      <c r="B46" s="25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70"/>
      <c r="P46" s="25"/>
      <c r="U46" s="26"/>
    </row>
    <row r="47" spans="1:21" ht="15" customHeight="1">
      <c r="A47" s="25"/>
      <c r="B47" s="25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70"/>
      <c r="P47" s="25"/>
      <c r="U47" s="26"/>
    </row>
    <row r="48" spans="1:21" ht="15" customHeight="1">
      <c r="A48" s="25"/>
      <c r="B48" s="25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70"/>
      <c r="P48" s="25"/>
      <c r="Q48" s="25" t="s">
        <v>117</v>
      </c>
      <c r="U48" s="26"/>
    </row>
    <row r="49" spans="1:18" ht="15" customHeight="1">
      <c r="A49" s="25"/>
      <c r="B49" s="25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70"/>
      <c r="P49" s="25"/>
    </row>
    <row r="50" spans="1:18" ht="15" customHeight="1">
      <c r="A50" s="25"/>
      <c r="B50" s="25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70"/>
      <c r="P50" s="25"/>
    </row>
    <row r="51" spans="1:18" ht="15" customHeight="1">
      <c r="A51" s="25"/>
      <c r="B51" s="25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70"/>
      <c r="P51" s="25"/>
      <c r="R51" s="25" t="s">
        <v>117</v>
      </c>
    </row>
    <row r="52" spans="1:18" ht="15" customHeight="1">
      <c r="A52" s="25"/>
      <c r="B52" s="25"/>
      <c r="C52" s="167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70"/>
      <c r="P52" s="25"/>
    </row>
    <row r="53" spans="1:18" s="25" customFormat="1" ht="15" customHeight="1">
      <c r="C53" s="183"/>
      <c r="D53" s="183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4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43"/>
  <sheetViews>
    <sheetView workbookViewId="0">
      <selection activeCell="G19" sqref="G19"/>
    </sheetView>
    <sheetView tabSelected="1" workbookViewId="1">
      <selection activeCell="A4" sqref="A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8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19"/>
      <c r="B2"/>
      <c r="C2"/>
      <c r="D2"/>
      <c r="E2"/>
      <c r="F2"/>
      <c r="G2"/>
      <c r="H2"/>
      <c r="I2" s="229"/>
      <c r="J2"/>
      <c r="K2"/>
      <c r="L2" s="228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B4BF9862-2E95-924C-8579-C709677F648D}">
      <formula1>LISTE_MT_JOURNAL</formula1>
    </dataValidation>
    <dataValidation type="list" allowBlank="1" showErrorMessage="1" sqref="C2" xr:uid="{0E365A5C-3341-4144-8B0C-8BFE069A8714}">
      <formula1>LISTE_JOUEURS_JOURNAL</formula1>
    </dataValidation>
    <dataValidation type="list" allowBlank="1" showErrorMessage="1" sqref="E2" xr:uid="{5398EDD2-91D9-DA49-8E11-8439975BFAD5}">
      <formula1>LISTE_ACTIONS_JOURNAL</formula1>
    </dataValidation>
    <dataValidation type="list" allowBlank="1" showErrorMessage="1" sqref="G2" xr:uid="{F952E90E-DF59-C340-8A3E-EDFE08469EA6}">
      <formula1>LISTE_EQUIPES_JOURNAL</formula1>
    </dataValidation>
    <dataValidation type="list" allowBlank="1" showErrorMessage="1" sqref="F2" xr:uid="{10D1B9B5-F35C-6F4C-BF29-3E329C0F5844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A16" workbookViewId="0">
      <selection activeCell="M51" sqref="M51"/>
    </sheetView>
    <sheetView workbookViewId="1"/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91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Réserve</v>
      </c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292"/>
      <c r="O3" s="292"/>
      <c r="P3" s="292"/>
      <c r="Q3" s="292"/>
      <c r="R3" s="292"/>
      <c r="S3" s="292"/>
      <c r="T3" s="292"/>
    </row>
    <row r="4" spans="2:37" s="25" customFormat="1" ht="20" customHeight="1">
      <c r="B4" s="291"/>
      <c r="C4" s="292"/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</row>
    <row r="5" spans="2:37" s="25" customFormat="1"/>
    <row r="6" spans="2:37" ht="14" customHeight="1">
      <c r="B6" s="283" t="s">
        <v>64</v>
      </c>
      <c r="C6" s="265" t="str">
        <f>ACT_PL_NORMAL</f>
        <v>Plaquage normal</v>
      </c>
      <c r="D6" s="266"/>
      <c r="E6" s="265" t="str">
        <f>ACT_PL_OFF</f>
        <v>Plaquage offensif</v>
      </c>
      <c r="F6" s="266"/>
      <c r="G6" s="265" t="str">
        <f>ACT_PL_RATE</f>
        <v>Plaquage raté</v>
      </c>
      <c r="H6" s="266"/>
      <c r="I6" s="265" t="str">
        <f>ACT_PL_A2</f>
        <v>Plaquage à 2</v>
      </c>
      <c r="J6" s="268"/>
      <c r="K6" s="268" t="str">
        <f>ACT_PL_HAUT</f>
        <v>Plaquage haut</v>
      </c>
      <c r="L6" s="266"/>
      <c r="M6" s="268" t="str">
        <f>ACT_GRATTAGE</f>
        <v>Grattage</v>
      </c>
      <c r="N6" s="266"/>
      <c r="O6" s="268" t="str">
        <f>ACT_FRANCHISSEMENT</f>
        <v>Franchissement</v>
      </c>
      <c r="P6" s="266"/>
      <c r="Q6" s="268" t="str">
        <f>ACT_AVANCEE</f>
        <v>Avancée au contact</v>
      </c>
      <c r="R6" s="266"/>
      <c r="S6" s="268" t="str">
        <f>ACT_ATT_NULLE</f>
        <v>Recul ou sans progression</v>
      </c>
      <c r="T6" s="266"/>
      <c r="U6" s="255" t="s">
        <v>286</v>
      </c>
      <c r="V6" s="256"/>
      <c r="W6" s="256"/>
      <c r="X6" s="256"/>
      <c r="Y6" s="256"/>
      <c r="Z6" s="257"/>
      <c r="AF6"/>
      <c r="AG6"/>
    </row>
    <row r="7" spans="2:37" ht="13" customHeight="1">
      <c r="B7" s="284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str" cm="1">
        <f t="array" ref="B8:B29">_xlfn._xlws.SORT(_xlfn._xlws.FILTER(COMPO[Nom du joueur],(COMPO[Nom du joueur]&lt;&gt;"")*(COMPO[Nom du joueur]&lt;&gt;"Collectif")*(COMPO[Nom du joueur]&lt;&gt;"?")))</f>
        <v>ABADIE Emeric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 t="str">
        <f>IF(COUNTIFS(JournalActions[Joueur],$B8,JournalActions[Action],$Q$6,JournalActions[Mi-temps],Q$7)=0,"",COUNTIFS(JournalActions[Joueur],$B8,JournalActions[Action],$Q$6,JournalActions[Mi-temps],Q$7))</f>
        <v/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 t="str">
        <f>IF(COUNTIFS(JournalActions[Joueur],$B8,JournalActions[Action],$S$6,JournalActions[Mi-temps],S$7)=0,"",COUNTIFS(JournalActions[Joueur],$B8,JournalActions[Action],$S$6,JournalActions[Mi-temps],S$7))</f>
        <v/>
      </c>
      <c r="T8" s="62" t="str">
        <f>IF(COUNTIFS(JournalActions[Joueur],$B8,JournalActions[Action],$S$6,JournalActions[Mi-temps],T$7)=0,"",COUNTIFS(JournalActions[Joueur],$B8,JournalActions[Action],$S$6,JournalActions[Mi-temps],T$7))</f>
        <v/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 t="str">
        <v>ABADIE Quentin</v>
      </c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 t="str">
        <f>IF(COUNTIFS(JournalActions[Joueur],$B9,JournalActions[Action],$Q$6,JournalActions[Mi-temps],R$7)=0,"",COUNTIFS(JournalActions[Joueur],$B9,JournalActions[Action],$Q$6,JournalActions[Mi-temps],R$7))</f>
        <v/>
      </c>
      <c r="S9" s="56" t="str">
        <f>IF(COUNTIFS(JournalActions[Joueur],$B9,JournalActions[Action],$S$6,JournalActions[Mi-temps],S$7)=0,"",COUNTIFS(JournalActions[Joueur],$B9,JournalActions[Action],$S$6,JournalActions[Mi-temps],S$7))</f>
        <v/>
      </c>
      <c r="T9" s="57" t="str">
        <f>IF(COUNTIFS(JournalActions[Joueur],$B9,JournalActions[Action],$S$6,JournalActions[Mi-temps],T$7)=0,"",COUNTIFS(JournalActions[Joueur],$B9,JournalActions[Action],$S$6,JournalActions[Mi-temps],T$7))</f>
        <v/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 t="str">
        <v>ABADIE Thomas</v>
      </c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 t="str">
        <v>BAQUE Lucas</v>
      </c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56" t="str">
        <f>IF(COUNTIFS(JournalActions[Joueur],$B11,JournalActions[Action],$Q$6,JournalActions[Mi-temps],Q$7)=0,"",COUNTIFS(JournalActions[Joueur],$B11,JournalActions[Action],$Q$6,JournalActions[Mi-temps],Q$7))</f>
        <v/>
      </c>
      <c r="R11" s="57" t="str">
        <f>IF(COUNTIFS(JournalActions[Joueur],$B11,JournalActions[Action],$Q$6,JournalActions[Mi-temps],R$7)=0,"",COUNTIFS(JournalActions[Joueur],$B11,JournalActions[Action],$Q$6,JournalActions[Mi-temps],R$7))</f>
        <v/>
      </c>
      <c r="S11" s="56" t="str">
        <f>IF(COUNTIFS(JournalActions[Joueur],$B11,JournalActions[Action],$S$6,JournalActions[Mi-temps],S$7)=0,"",COUNTIFS(JournalActions[Joueur],$B11,JournalActions[Action],$S$6,JournalActions[Mi-temps],S$7))</f>
        <v/>
      </c>
      <c r="T11" s="57" t="str">
        <f>IF(COUNTIFS(JournalActions[Joueur],$B11,JournalActions[Action],$S$6,JournalActions[Mi-temps],T$7)=0,"",COUNTIFS(JournalActions[Joueur],$B11,JournalActions[Action],$S$6,JournalActions[Mi-temps],T$7))</f>
        <v/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6" t="str">
        <v>BARATGIN Julian</v>
      </c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 t="str">
        <f>IF(COUNTIFS(JournalActions[Joueur],$B12,JournalActions[Action],$Q$6,JournalActions[Mi-temps],Q$7)=0,"",COUNTIFS(JournalActions[Joueur],$B12,JournalActions[Action],$Q$6,JournalActions[Mi-temps],Q$7))</f>
        <v/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 t="str">
        <f>IF(COUNTIFS(JournalActions[Joueur],$B12,JournalActions[Action],$S$6,JournalActions[Mi-temps],T$7)=0,"",COUNTIFS(JournalActions[Joueur],$B12,JournalActions[Action],$S$6,JournalActions[Mi-temps],T$7))</f>
        <v/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 t="str">
        <v>BAUP Bastien</v>
      </c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 t="str">
        <f>IF(COUNTIFS(JournalActions[Joueur],$B13,JournalActions[Action],$Q$6,JournalActions[Mi-temps],Q$7)=0,"",COUNTIFS(JournalActions[Joueur],$B13,JournalActions[Action],$Q$6,JournalActions[Mi-temps],Q$7))</f>
        <v/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 t="str">
        <f>IF(COUNTIFS(JournalActions[Joueur],$B13,JournalActions[Action],$S$6,JournalActions[Mi-temps],S$7)=0,"",COUNTIFS(JournalActions[Joueur],$B13,JournalActions[Action],$S$6,JournalActions[Mi-temps],S$7))</f>
        <v/>
      </c>
      <c r="T13" s="57" t="str">
        <f>IF(COUNTIFS(JournalActions[Joueur],$B13,JournalActions[Action],$S$6,JournalActions[Mi-temps],T$7)=0,"",COUNTIFS(JournalActions[Joueur],$B13,JournalActions[Action],$S$6,JournalActions[Mi-temps],T$7))</f>
        <v/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6" t="str">
        <v>BAYLE Jean</v>
      </c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 t="str">
        <f>IF(COUNTIFS(JournalActions[Joueur],$B14,JournalActions[Action],$Q$6,JournalActions[Mi-temps],Q$7)=0,"",COUNTIFS(JournalActions[Joueur],$B14,JournalActions[Action],$Q$6,JournalActions[Mi-temps],Q$7))</f>
        <v/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 t="str">
        <f>IF(COUNTIFS(JournalActions[Joueur],$B14,JournalActions[Action],$S$6,JournalActions[Mi-temps],S$7)=0,"",COUNTIFS(JournalActions[Joueur],$B14,JournalActions[Action],$S$6,JournalActions[Mi-temps],S$7))</f>
        <v/>
      </c>
      <c r="T14" s="57" t="str">
        <f>IF(COUNTIFS(JournalActions[Joueur],$B14,JournalActions[Action],$S$6,JournalActions[Mi-temps],T$7)=0,"",COUNTIFS(JournalActions[Joueur],$B14,JournalActions[Action],$S$6,JournalActions[Mi-temps],T$7))</f>
        <v/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 t="str">
        <v>BIFFI Pierre</v>
      </c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 t="str">
        <f>IF(COUNTIFS(JournalActions[Joueur],$B15,JournalActions[Action],$Q$6,JournalActions[Mi-temps],R$7)=0,"",COUNTIFS(JournalActions[Joueur],$B15,JournalActions[Action],$Q$6,JournalActions[Mi-temps],R$7))</f>
        <v/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 t="str">
        <f>IF(COUNTIFS(JournalActions[Joueur],$B15,JournalActions[Action],$S$6,JournalActions[Mi-temps],T$7)=0,"",COUNTIFS(JournalActions[Joueur],$B15,JournalActions[Action],$S$6,JournalActions[Mi-temps],T$7))</f>
        <v/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 t="str">
        <v>BOURREC Anthony</v>
      </c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 t="str">
        <f>IF(COUNTIFS(JournalActions[Joueur],$B16,JournalActions[Action],$Q$6,JournalActions[Mi-temps],Q$7)=0,"",COUNTIFS(JournalActions[Joueur],$B16,JournalActions[Action],$Q$6,JournalActions[Mi-temps],Q$7))</f>
        <v/>
      </c>
      <c r="R16" s="57" t="str">
        <f>IF(COUNTIFS(JournalActions[Joueur],$B16,JournalActions[Action],$Q$6,JournalActions[Mi-temps],R$7)=0,"",COUNTIFS(JournalActions[Joueur],$B16,JournalActions[Action],$Q$6,JournalActions[Mi-temps],R$7))</f>
        <v/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 t="str">
        <f>IF(COUNTIFS(JournalActions[Joueur],$B16,JournalActions[Action],$S$6,JournalActions[Mi-temps],T$7)=0,"",COUNTIFS(JournalActions[Joueur],$B16,JournalActions[Action],$S$6,JournalActions[Mi-temps],T$7))</f>
        <v/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6" t="str">
        <v>CESCA Sacha</v>
      </c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56" t="str">
        <f>IF(COUNTIFS(JournalActions[Joueur],$B17,JournalActions[Action],$Q$6,JournalActions[Mi-temps],Q$7)=0,"",COUNTIFS(JournalActions[Joueur],$B17,JournalActions[Action],$Q$6,JournalActions[Mi-temps],Q$7))</f>
        <v/>
      </c>
      <c r="R17" s="57" t="str">
        <f>IF(COUNTIFS(JournalActions[Joueur],$B17,JournalActions[Action],$Q$6,JournalActions[Mi-temps],R$7)=0,"",COUNTIFS(JournalActions[Joueur],$B17,JournalActions[Action],$Q$6,JournalActions[Mi-temps],R$7))</f>
        <v/>
      </c>
      <c r="S17" s="56" t="str">
        <f>IF(COUNTIFS(JournalActions[Joueur],$B17,JournalActions[Action],$S$6,JournalActions[Mi-temps],S$7)=0,"",COUNTIFS(JournalActions[Joueur],$B17,JournalActions[Action],$S$6,JournalActions[Mi-temps],S$7))</f>
        <v/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6" t="str">
        <v>COURREGES Romain</v>
      </c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 t="str">
        <f>IF(COUNTIFS(JournalActions[Joueur],$B18,JournalActions[Action],$Q$6,JournalActions[Mi-temps],Q$7)=0,"",COUNTIFS(JournalActions[Joueur],$B18,JournalActions[Action],$Q$6,JournalActions[Mi-temps],Q$7))</f>
        <v/>
      </c>
      <c r="R18" s="57" t="str">
        <f>IF(COUNTIFS(JournalActions[Joueur],$B18,JournalActions[Action],$Q$6,JournalActions[Mi-temps],R$7)=0,"",COUNTIFS(JournalActions[Joueur],$B18,JournalActions[Action],$Q$6,JournalActions[Mi-temps],R$7))</f>
        <v/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6" t="str">
        <v>DALLA ROSA Jonah</v>
      </c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 t="str">
        <f>IF(COUNTIFS(JournalActions[Joueur],$B19,JournalActions[Action],$Q$6,JournalActions[Mi-temps],Q$7)=0,"",COUNTIFS(JournalActions[Joueur],$B19,JournalActions[Action],$Q$6,JournalActions[Mi-temps],Q$7))</f>
        <v/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 t="str">
        <f>IF(COUNTIFS(JournalActions[Joueur],$B19,JournalActions[Action],$S$6,JournalActions[Mi-temps],S$7)=0,"",COUNTIFS(JournalActions[Joueur],$B19,JournalActions[Action],$S$6,JournalActions[Mi-temps],S$7))</f>
        <v/>
      </c>
      <c r="T19" s="57" t="str">
        <f>IF(COUNTIFS(JournalActions[Joueur],$B19,JournalActions[Action],$S$6,JournalActions[Mi-temps],T$7)=0,"",COUNTIFS(JournalActions[Joueur],$B19,JournalActions[Action],$S$6,JournalActions[Mi-temps],T$7))</f>
        <v/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 t="str">
        <v>JOUNAUX Joris</v>
      </c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 t="str">
        <f>IF(COUNTIFS(JournalActions[Joueur],$B20,JournalActions[Action],$O$6,JournalActions[Mi-temps],O$7)=0,"",COUNTIFS(JournalActions[Joueur],$B20,JournalActions[Action],$O$6,JournalActions[Mi-temps],O$7))</f>
        <v/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 t="str">
        <f>IF(COUNTIFS(JournalActions[Joueur],$B20,JournalActions[Action],$Q$6,JournalActions[Mi-temps],Q$7)=0,"",COUNTIFS(JournalActions[Joueur],$B20,JournalActions[Action],$Q$6,JournalActions[Mi-temps],Q$7))</f>
        <v/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 t="str">
        <f>IF(COUNTIFS(JournalActions[Joueur],$B20,JournalActions[Action],$S$6,JournalActions[Mi-temps],S$7)=0,"",COUNTIFS(JournalActions[Joueur],$B20,JournalActions[Action],$S$6,JournalActions[Mi-temps],S$7))</f>
        <v/>
      </c>
      <c r="T20" s="57" t="str">
        <f>IF(COUNTIFS(JournalActions[Joueur],$B20,JournalActions[Action],$S$6,JournalActions[Mi-temps],T$7)=0,"",COUNTIFS(JournalActions[Joueur],$B20,JournalActions[Action],$S$6,JournalActions[Mi-temps],T$7))</f>
        <v/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 t="str">
        <v>KAPFER Bastien</v>
      </c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56" t="str">
        <f>IF(COUNTIFS(JournalActions[Joueur],$B21,JournalActions[Action],$Q$6,JournalActions[Mi-temps],Q$7)=0,"",COUNTIFS(JournalActions[Joueur],$B21,JournalActions[Action],$Q$6,JournalActions[Mi-temps],Q$7))</f>
        <v/>
      </c>
      <c r="R21" s="57" t="str">
        <f>IF(COUNTIFS(JournalActions[Joueur],$B21,JournalActions[Action],$Q$6,JournalActions[Mi-temps],R$7)=0,"",COUNTIFS(JournalActions[Joueur],$B21,JournalActions[Action],$Q$6,JournalActions[Mi-temps],R$7))</f>
        <v/>
      </c>
      <c r="S21" s="56" t="str">
        <f>IF(COUNTIFS(JournalActions[Joueur],$B21,JournalActions[Action],$S$6,JournalActions[Mi-temps],S$7)=0,"",COUNTIFS(JournalActions[Joueur],$B21,JournalActions[Action],$S$6,JournalActions[Mi-temps],S$7))</f>
        <v/>
      </c>
      <c r="T21" s="57" t="str">
        <f>IF(COUNTIFS(JournalActions[Joueur],$B21,JournalActions[Action],$S$6,JournalActions[Mi-temps],T$7)=0,"",COUNTIFS(JournalActions[Joueur],$B21,JournalActions[Action],$S$6,JournalActions[Mi-temps],T$7))</f>
        <v/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6" t="str">
        <v>LAUDET Jean Baptiste</v>
      </c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 t="str">
        <f>IF(COUNTIFS(JournalActions[Joueur],$B22,JournalActions[Action],$Q$6,JournalActions[Mi-temps],Q$7)=0,"",COUNTIFS(JournalActions[Joueur],$B22,JournalActions[Action],$Q$6,JournalActions[Mi-temps],Q$7))</f>
        <v/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 t="str">
        <f>IF(COUNTIFS(JournalActions[Joueur],$B22,JournalActions[Action],$S$6,JournalActions[Mi-temps],S$7)=0,"",COUNTIFS(JournalActions[Joueur],$B22,JournalActions[Action],$S$6,JournalActions[Mi-temps],S$7))</f>
        <v/>
      </c>
      <c r="T22" s="57" t="str">
        <f>IF(COUNTIFS(JournalActions[Joueur],$B22,JournalActions[Action],$S$6,JournalActions[Mi-temps],T$7)=0,"",COUNTIFS(JournalActions[Joueur],$B22,JournalActions[Action],$S$6,JournalActions[Mi-temps],T$7))</f>
        <v/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 t="str">
        <v>LOUREIRO LABAZUY Antonio</v>
      </c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 t="str">
        <f>IF(COUNTIFS(JournalActions[Joueur],$B23,JournalActions[Action],$Q$6,JournalActions[Mi-temps],Q$7)=0,"",COUNTIFS(JournalActions[Joueur],$B23,JournalActions[Action],$Q$6,JournalActions[Mi-temps],Q$7))</f>
        <v/>
      </c>
      <c r="R23" s="57" t="str">
        <f>IF(COUNTIFS(JournalActions[Joueur],$B23,JournalActions[Action],$Q$6,JournalActions[Mi-temps],R$7)=0,"",COUNTIFS(JournalActions[Joueur],$B23,JournalActions[Action],$Q$6,JournalActions[Mi-temps],R$7))</f>
        <v/>
      </c>
      <c r="S23" s="56" t="str">
        <f>IF(COUNTIFS(JournalActions[Joueur],$B23,JournalActions[Action],$S$6,JournalActions[Mi-temps],S$7)=0,"",COUNTIFS(JournalActions[Joueur],$B23,JournalActions[Action],$S$6,JournalActions[Mi-temps],S$7))</f>
        <v/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 t="str">
        <v>MICHELIN Paul</v>
      </c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 t="str">
        <f>IF(COUNTIFS(JournalActions[Joueur],$B24,JournalActions[Action],$Q$6,JournalActions[Mi-temps],Q$7)=0,"",COUNTIFS(JournalActions[Joueur],$B24,JournalActions[Action],$Q$6,JournalActions[Mi-temps],Q$7))</f>
        <v/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 t="str">
        <f>IF(COUNTIFS(JournalActions[Joueur],$B24,JournalActions[Action],$S$6,JournalActions[Mi-temps],S$7)=0,"",COUNTIFS(JournalActions[Joueur],$B24,JournalActions[Action],$S$6,JournalActions[Mi-temps],S$7))</f>
        <v/>
      </c>
      <c r="T24" s="57" t="str">
        <f>IF(COUNTIFS(JournalActions[Joueur],$B24,JournalActions[Action],$S$6,JournalActions[Mi-temps],T$7)=0,"",COUNTIFS(JournalActions[Joueur],$B24,JournalActions[Action],$S$6,JournalActions[Mi-temps],T$7))</f>
        <v/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 t="str">
        <v>MOUDENS Alexis</v>
      </c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 t="str">
        <f>IF(COUNTIFS(JournalActions[Joueur],$B25,JournalActions[Action],$Q$6,JournalActions[Mi-temps],Q$7)=0,"",COUNTIFS(JournalActions[Joueur],$B25,JournalActions[Action],$Q$6,JournalActions[Mi-temps],Q$7))</f>
        <v/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 t="str">
        <f>IF(COUNTIFS(JournalActions[Joueur],$B25,JournalActions[Action],$S$6,JournalActions[Mi-temps],S$7)=0,"",COUNTIFS(JournalActions[Joueur],$B25,JournalActions[Action],$S$6,JournalActions[Mi-temps],S$7))</f>
        <v/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 t="str">
        <v>RICHIARDONNE Gregory</v>
      </c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 t="str">
        <f>IF(COUNTIFS(JournalActions[Joueur],$B26,JournalActions[Action],$Q$6,JournalActions[Mi-temps],R$7)=0,"",COUNTIFS(JournalActions[Joueur],$B26,JournalActions[Action],$Q$6,JournalActions[Mi-temps],R$7))</f>
        <v/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 t="str">
        <f>IF(COUNTIFS(JournalActions[Joueur],$B26,JournalActions[Action],$S$6,JournalActions[Mi-temps],T$7)=0,"",COUNTIFS(JournalActions[Joueur],$B26,JournalActions[Action],$S$6,JournalActions[Mi-temps],T$7))</f>
        <v/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 t="str">
        <v>ROBERT Jimmy</v>
      </c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 t="str">
        <f>IF(COUNTIFS(JournalActions[Joueur],$B27,JournalActions[Action],$Q$6,JournalActions[Mi-temps],Q$7)=0,"",COUNTIFS(JournalActions[Joueur],$B27,JournalActions[Action],$Q$6,JournalActions[Mi-temps],Q$7))</f>
        <v/>
      </c>
      <c r="R27" s="57" t="str">
        <f>IF(COUNTIFS(JournalActions[Joueur],$B27,JournalActions[Action],$Q$6,JournalActions[Mi-temps],R$7)=0,"",COUNTIFS(JournalActions[Joueur],$B27,JournalActions[Action],$Q$6,JournalActions[Mi-temps],R$7))</f>
        <v/>
      </c>
      <c r="S27" s="56" t="str">
        <f>IF(COUNTIFS(JournalActions[Joueur],$B27,JournalActions[Action],$S$6,JournalActions[Mi-temps],S$7)=0,"",COUNTIFS(JournalActions[Joueur],$B27,JournalActions[Action],$S$6,JournalActions[Mi-temps],S$7))</f>
        <v/>
      </c>
      <c r="T27" s="57" t="str">
        <f>IF(COUNTIFS(JournalActions[Joueur],$B27,JournalActions[Action],$S$6,JournalActions[Mi-temps],T$7)=0,"",COUNTIFS(JournalActions[Joueur],$B27,JournalActions[Action],$S$6,JournalActions[Mi-temps],T$7))</f>
        <v/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 t="str">
        <v>ROUSSEL Mathis</v>
      </c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 t="str">
        <f>IF(COUNTIFS(JournalActions[Joueur],$B28,JournalActions[Action],$Q$6,JournalActions[Mi-temps],Q$7)=0,"",COUNTIFS(JournalActions[Joueur],$B28,JournalActions[Action],$Q$6,JournalActions[Mi-temps],Q$7))</f>
        <v/>
      </c>
      <c r="R28" s="57" t="str">
        <f>IF(COUNTIFS(JournalActions[Joueur],$B28,JournalActions[Action],$Q$6,JournalActions[Mi-temps],R$7)=0,"",COUNTIFS(JournalActions[Joueur],$B28,JournalActions[Action],$Q$6,JournalActions[Mi-temps],R$7))</f>
        <v/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 t="str">
        <v>SALLES Fabien</v>
      </c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 t="str">
        <f>IF(COUNTIFS(JournalActions[Joueur],$B29,JournalActions[Action],$S$6,JournalActions[Mi-temps],S$7)=0,"",COUNTIFS(JournalActions[Joueur],$B29,JournalActions[Action],$S$6,JournalActions[Mi-temps],S$7))</f>
        <v/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 t="str">
        <f>IF(COUNTIFS(JournalActions[Joueur],$B31,JournalActions[Action],$S$6,JournalActions[Mi-temps],T$7)=0,"",COUNTIFS(JournalActions[Joueur],$B31,JournalActions[Action],$S$6,JournalActions[Mi-temps],T$7))</f>
        <v/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80" t="s">
        <v>230</v>
      </c>
      <c r="C32" s="81">
        <f>SUM(C8:C31)</f>
        <v>0</v>
      </c>
      <c r="D32" s="82">
        <f t="shared" ref="D32:Z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81">
        <f t="shared" ref="O32:P32" si="1">SUM(O8:O31)</f>
        <v>0</v>
      </c>
      <c r="P32" s="82">
        <f t="shared" si="1"/>
        <v>0</v>
      </c>
      <c r="Q32" s="81">
        <f t="shared" ref="Q32:T32" si="2">SUM(Q8:Q31)</f>
        <v>0</v>
      </c>
      <c r="R32" s="82">
        <f t="shared" si="2"/>
        <v>0</v>
      </c>
      <c r="S32" s="81">
        <f t="shared" si="2"/>
        <v>0</v>
      </c>
      <c r="T32" s="82">
        <f t="shared" si="2"/>
        <v>0</v>
      </c>
      <c r="U32" s="258">
        <f t="shared" si="0"/>
        <v>0</v>
      </c>
      <c r="V32" s="258">
        <f t="shared" si="0"/>
        <v>0</v>
      </c>
      <c r="W32" s="258">
        <f t="shared" si="0"/>
        <v>0</v>
      </c>
      <c r="X32" s="258">
        <f t="shared" si="0"/>
        <v>0</v>
      </c>
      <c r="Y32" s="258">
        <f t="shared" si="0"/>
        <v>0</v>
      </c>
      <c r="Z32" s="258">
        <f t="shared" si="0"/>
        <v>0</v>
      </c>
    </row>
    <row r="33" spans="2:33" s="69" customFormat="1" ht="25" customHeight="1">
      <c r="B33" s="83" t="s">
        <v>229</v>
      </c>
      <c r="C33" s="262">
        <f>C32+D32</f>
        <v>0</v>
      </c>
      <c r="D33" s="263"/>
      <c r="E33" s="264">
        <f t="shared" ref="E33" si="3">E32+F32</f>
        <v>0</v>
      </c>
      <c r="F33" s="264"/>
      <c r="G33" s="262">
        <f t="shared" ref="G33" si="4">G32+H32</f>
        <v>0</v>
      </c>
      <c r="H33" s="263"/>
      <c r="I33" s="262">
        <f>I32+J32</f>
        <v>0</v>
      </c>
      <c r="J33" s="263"/>
      <c r="K33" s="262">
        <f t="shared" ref="K33" si="5">K32+L32</f>
        <v>0</v>
      </c>
      <c r="L33" s="263"/>
      <c r="M33" s="264">
        <f t="shared" ref="M33" si="6">M32+N32</f>
        <v>0</v>
      </c>
      <c r="N33" s="263"/>
      <c r="O33" s="264">
        <f t="shared" ref="O33" si="7">O32+P32</f>
        <v>0</v>
      </c>
      <c r="P33" s="263"/>
      <c r="Q33" s="264">
        <f t="shared" ref="Q33" si="8">Q32+R32</f>
        <v>0</v>
      </c>
      <c r="R33" s="263"/>
      <c r="S33" s="264">
        <f t="shared" ref="S33" si="9">S32+T32</f>
        <v>0</v>
      </c>
      <c r="T33" s="263"/>
      <c r="U33" s="259"/>
      <c r="V33" s="259"/>
      <c r="W33" s="259"/>
      <c r="X33" s="259"/>
      <c r="Y33" s="259"/>
      <c r="Z33" s="259"/>
    </row>
    <row r="34" spans="2:33" s="25" customFormat="1"/>
    <row r="35" spans="2:33" s="25" customFormat="1"/>
    <row r="36" spans="2:33" ht="14">
      <c r="B36" s="84" t="s">
        <v>196</v>
      </c>
      <c r="C36" s="84" t="s">
        <v>265</v>
      </c>
      <c r="D36" s="217" t="s">
        <v>195</v>
      </c>
      <c r="E36" s="85" t="s">
        <v>535</v>
      </c>
      <c r="F36" s="25"/>
      <c r="G36" s="265" t="s">
        <v>224</v>
      </c>
      <c r="H36" s="266"/>
      <c r="J36" s="265" t="s">
        <v>78</v>
      </c>
      <c r="K36" s="265" t="s">
        <v>198</v>
      </c>
      <c r="L36" s="268"/>
      <c r="M36" s="266"/>
      <c r="N36" s="266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193</v>
      </c>
      <c r="C37" s="64">
        <f>COUNTIFS(JournalActions[Action],ACT_TO_NS_G,JournalActions[Mi-temps],"MT1")</f>
        <v>0</v>
      </c>
      <c r="D37" s="215">
        <f>COUNTIFS(JournalActions[Action],ACT_TO_NS_P,JournalActions[Mi-temps],"MT1")
+COUNTIFS(JournalActions[Action],ACT_TO_NS_PAS_DROIT,JournalActions[Mi-temps],"MT1")</f>
        <v>0</v>
      </c>
      <c r="E37" s="65">
        <f>COUNTIFS(JournalActions[Action],ACT_TO_NS_PAS_DROIT,JournalActions[Mi-temps],"MT1")
+COUNTIFS(JournalActions[Action],ACT_TO_NS_PAS_DROIT,JournalActions[Mi-temps],"MT2")</f>
        <v>0</v>
      </c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67"/>
      <c r="K37" s="98" t="s">
        <v>204</v>
      </c>
      <c r="L37" s="94" t="s">
        <v>223</v>
      </c>
      <c r="M37" s="99" t="s">
        <v>82</v>
      </c>
      <c r="N37" s="269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226</v>
      </c>
      <c r="C38" s="36">
        <f>COUNTIFS(JournalActions[Action],ACT_TO_ADV_PERDUE,JournalActions[Mi-temps],"MT1")</f>
        <v>0</v>
      </c>
      <c r="D38" s="216">
        <f>COUNTIFS(JournalActions[Action],ACT_TO_ADV_VOLEE,JournalActions[Mi-temps],"MT1")
+COUNTIFS(JournalActions[Action],ACT_TO_ADV_PAS_DROIT,JournalActions[Mi-temps],"MT1")</f>
        <v>0</v>
      </c>
      <c r="E38" s="37">
        <f>COUNTIFS(JournalActions[Action],ACT_TO_ADV_PAS_DROIT,JournalActions[Mi-temps],"MT1")</f>
        <v>0</v>
      </c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197</v>
      </c>
      <c r="C40" s="84" t="s">
        <v>265</v>
      </c>
      <c r="D40" s="217" t="s">
        <v>195</v>
      </c>
      <c r="E40" s="85" t="s">
        <v>535</v>
      </c>
      <c r="F40" s="25"/>
      <c r="G40" s="265" t="s">
        <v>200</v>
      </c>
      <c r="H40" s="266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193</v>
      </c>
      <c r="C41" s="64">
        <f>COUNTIFS(JournalActions[Action],ACT_TO_NS_G,JournalActions[Mi-temps],"MT2")</f>
        <v>0</v>
      </c>
      <c r="D41" s="215">
        <f>COUNTIFS(JournalActions[Action],ACT_TO_NS_P,JournalActions[Mi-temps],"MT2")
+COUNTIFS(JournalActions[Action],ACT_TO_NS_PAS_DROIT,JournalActions[Mi-temps],"MT2")</f>
        <v>0</v>
      </c>
      <c r="E41" s="65">
        <f>COUNTIFS(JournalActions[Action],ACT_TO_NS_PAS_DROIT,JournalActions[Mi-temps],"MT2")
+COUNTIFS(JournalActions[Action],ACT_TO_NS_PAS_DROIT,JournalActions[Mi-temps],"MT2")</f>
        <v>0</v>
      </c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226</v>
      </c>
      <c r="C42" s="36">
        <f>COUNTIFS(JournalActions[Action],ACT_TO_ADV_PERDUE,JournalActions[Mi-temps],"MT2")</f>
        <v>0</v>
      </c>
      <c r="D42" s="216">
        <f>COUNTIFS(JournalActions[Action],ACT_TO_ADV_VOLEE,JournalActions[Mi-temps],"MT2")
+COUNTIFS(JournalActions[Action],ACT_TO_ADV_PAS_DROIT,JournalActions[Mi-temps],"MT2")</f>
        <v>0</v>
      </c>
      <c r="E42" s="37">
        <f>COUNTIFS(JournalActions[Action],ACT_TO_ADV_PAS_DROIT,JournalActions[Mi-temps],"MT2")</f>
        <v>0</v>
      </c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60" t="s">
        <v>31</v>
      </c>
      <c r="K42" s="261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72" t="s">
        <v>33</v>
      </c>
      <c r="K43" s="273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287</v>
      </c>
      <c r="C44" s="84" t="s">
        <v>265</v>
      </c>
      <c r="D44" s="85" t="s">
        <v>195</v>
      </c>
      <c r="E44" s="25"/>
      <c r="F44" s="25"/>
      <c r="G44" s="265" t="s">
        <v>291</v>
      </c>
      <c r="H44" s="266"/>
      <c r="I44" s="25"/>
      <c r="J44" s="260" t="s">
        <v>35</v>
      </c>
      <c r="K44" s="261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193</v>
      </c>
      <c r="C45" s="64">
        <f>COUNTIFS(JournalActions[Action],ACT_ME_NS_G,JournalActions[Mi-temps],"MT1")</f>
        <v>0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2.7117449074074047E-4</v>
      </c>
      <c r="I45" s="25"/>
      <c r="J45" s="272" t="s">
        <v>37</v>
      </c>
      <c r="K45" s="273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226</v>
      </c>
      <c r="C46" s="36">
        <f>COUNTIFS(JournalActions[Action],ACT_ME_ADV_P,JournalActions[Mi-temps],"MT1")</f>
        <v>0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0</v>
      </c>
      <c r="I46" s="25"/>
      <c r="J46" s="260" t="s">
        <v>39</v>
      </c>
      <c r="K46" s="261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292</v>
      </c>
      <c r="H47" s="108">
        <v>2.7117449074074047E-4</v>
      </c>
      <c r="I47" s="25"/>
      <c r="J47" s="272" t="s">
        <v>220</v>
      </c>
      <c r="K47" s="273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193</v>
      </c>
      <c r="C49" s="64">
        <f>COUNTIFS(JournalActions[Action],ACT_ME_NS_G,JournalActions[Mi-temps],"MT2")</f>
        <v>0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226</v>
      </c>
      <c r="C50" s="36">
        <f>COUNTIFS(JournalActions[Action],ACT_ME_ADV_P,JournalActions[Mi-temps],"MT2")</f>
        <v>0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74" t="s">
        <v>289</v>
      </c>
      <c r="C56" s="275"/>
      <c r="D56" s="275"/>
      <c r="E56" s="275"/>
      <c r="F56" s="275"/>
      <c r="G56" s="275"/>
      <c r="H56" s="275"/>
      <c r="I56" s="275"/>
      <c r="J56" s="275"/>
      <c r="K56" s="276"/>
    </row>
    <row r="57" spans="2:20" s="25" customFormat="1">
      <c r="B57" s="277"/>
      <c r="C57" s="278"/>
      <c r="D57" s="278"/>
      <c r="E57" s="278"/>
      <c r="F57" s="278"/>
      <c r="G57" s="278"/>
      <c r="H57" s="278"/>
      <c r="I57" s="278"/>
      <c r="J57" s="278"/>
      <c r="K57" s="279"/>
    </row>
    <row r="58" spans="2:20" s="25" customFormat="1" ht="14" thickBot="1">
      <c r="B58" s="280"/>
      <c r="C58" s="281"/>
      <c r="D58" s="281"/>
      <c r="E58" s="281"/>
      <c r="F58" s="281"/>
      <c r="G58" s="281"/>
      <c r="H58" s="281"/>
      <c r="I58" s="281"/>
      <c r="J58" s="281"/>
      <c r="K58" s="282"/>
    </row>
    <row r="59" spans="2:20" s="25" customFormat="1"/>
    <row r="60" spans="2:20" s="25" customFormat="1" ht="14">
      <c r="B60" s="283" t="s">
        <v>64</v>
      </c>
      <c r="C60" s="265" t="str">
        <f>ACT_TO_NS_G</f>
        <v>Touche à nous conservée</v>
      </c>
      <c r="D60" s="266"/>
      <c r="E60" s="265" t="str">
        <f>ACT_TO_ADV_VOLEE</f>
        <v>Touche à eux volée</v>
      </c>
      <c r="F60" s="266"/>
      <c r="H60" s="285" t="str">
        <f>ACT_TO_NS_P</f>
        <v>Touche à nous perdue</v>
      </c>
      <c r="I60" s="286"/>
      <c r="J60" s="285" t="str">
        <f>ACT_TO_NS_PAS_DROIT</f>
        <v>Touche à nous pas droite</v>
      </c>
      <c r="K60" s="286"/>
    </row>
    <row r="61" spans="2:20" s="25" customFormat="1" ht="14">
      <c r="B61" s="284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20" s="25" customFormat="1">
      <c r="B62" s="56" t="str" cm="1">
        <f t="array" ref="B62:B83">_xlfn._xlws.SORT(_xlfn._xlws.FILTER(COMPO[Nom du joueur],(COMPO[Nom du joueur]&lt;&gt;"")*(COMPO[Nom du joueur]&lt;&gt;"Collectif")*(COMPO[Nom du joueur]&lt;&gt;"?")))</f>
        <v>ABADIE Emeric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6" t="str">
        <v>ABADIE Quentin</v>
      </c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6" t="str">
        <v>ABADIE Thomas</v>
      </c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 t="str">
        <v>BAQUE Lucas</v>
      </c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 t="str">
        <v>BARATGIN Julian</v>
      </c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 t="str">
        <v>BAUP Bastien</v>
      </c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 t="str">
        <v>BAYLE Jean</v>
      </c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 t="str">
        <v>BIFFI Pierre</v>
      </c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 t="str">
        <v>BOURREC Anthony</v>
      </c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 t="str">
        <v>CESCA Sacha</v>
      </c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 t="str">
        <v>COURREGES Romain</v>
      </c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 t="str">
        <v>DALLA ROSA Jonah</v>
      </c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 t="str">
        <v>JOUNAUX Joris</v>
      </c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 t="str">
        <v>KAPFER Bastien</v>
      </c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 t="str">
        <v>LAUDET Jean Baptiste</v>
      </c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 t="str">
        <v>LOUREIRO LABAZUY Antonio</v>
      </c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 t="str">
        <v>MICHELIN Paul</v>
      </c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 t="str">
        <v>MOUDENS Alexis</v>
      </c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 t="str">
        <v>RICHIARDONNE Gregory</v>
      </c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 t="str">
        <v>ROBERT Jimmy</v>
      </c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 t="str">
        <v>ROUSSEL Mathis</v>
      </c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 t="str">
        <v>SALLES Fabien</v>
      </c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09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10">SUM(D62:D85)</f>
        <v>0</v>
      </c>
      <c r="E86" s="81">
        <f>SUM(E62:E85)</f>
        <v>0</v>
      </c>
      <c r="F86" s="82">
        <f t="shared" ref="F86" si="11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12">SUM(K62:K85)</f>
        <v>0</v>
      </c>
    </row>
    <row r="87" spans="2:11" s="25" customFormat="1" ht="16">
      <c r="B87" s="83" t="s">
        <v>229</v>
      </c>
      <c r="C87" s="262">
        <f>C86+D86</f>
        <v>0</v>
      </c>
      <c r="D87" s="263"/>
      <c r="E87" s="262">
        <f>E86+F86</f>
        <v>0</v>
      </c>
      <c r="F87" s="263"/>
      <c r="H87" s="270">
        <f>H86+I86</f>
        <v>0</v>
      </c>
      <c r="I87" s="271"/>
      <c r="J87" s="270">
        <f>J86+K86</f>
        <v>0</v>
      </c>
      <c r="K87" s="271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0" t="s">
        <v>446</v>
      </c>
      <c r="C92" s="112" t="s">
        <v>98</v>
      </c>
      <c r="D92" s="113" t="s">
        <v>164</v>
      </c>
      <c r="F92" s="287" t="s">
        <v>447</v>
      </c>
      <c r="G92" s="288"/>
      <c r="H92" s="112" t="s">
        <v>97</v>
      </c>
      <c r="I92" s="112" t="s">
        <v>94</v>
      </c>
      <c r="J92" s="112" t="s">
        <v>292</v>
      </c>
    </row>
    <row r="93" spans="2:11" s="25" customFormat="1" ht="16">
      <c r="B93" s="114" t="s">
        <v>293</v>
      </c>
      <c r="C93" s="111">
        <v>0</v>
      </c>
      <c r="D93" s="115">
        <v>0</v>
      </c>
      <c r="F93" s="289" t="s">
        <v>293</v>
      </c>
      <c r="G93" s="290"/>
      <c r="H93" s="111">
        <v>0</v>
      </c>
      <c r="I93" s="111">
        <v>0</v>
      </c>
      <c r="J93" s="111">
        <v>0</v>
      </c>
    </row>
    <row r="94" spans="2:11" s="25" customFormat="1" ht="16">
      <c r="B94" s="114" t="s">
        <v>294</v>
      </c>
      <c r="C94" s="111">
        <v>0</v>
      </c>
      <c r="D94" s="115">
        <v>0</v>
      </c>
      <c r="F94" s="289" t="s">
        <v>294</v>
      </c>
      <c r="G94" s="290"/>
      <c r="H94" s="111">
        <v>0</v>
      </c>
      <c r="I94" s="111">
        <v>0</v>
      </c>
      <c r="J94" s="111">
        <v>0</v>
      </c>
    </row>
    <row r="95" spans="2:11" s="25" customFormat="1" ht="16">
      <c r="B95" s="114" t="s">
        <v>295</v>
      </c>
      <c r="C95" s="111">
        <v>0</v>
      </c>
      <c r="D95" s="115">
        <v>0</v>
      </c>
      <c r="F95" s="289" t="s">
        <v>295</v>
      </c>
      <c r="G95" s="290"/>
      <c r="H95" s="111">
        <v>0</v>
      </c>
      <c r="I95" s="111">
        <v>0</v>
      </c>
      <c r="J95" s="111">
        <v>0</v>
      </c>
    </row>
    <row r="96" spans="2:11" s="25" customFormat="1" ht="16">
      <c r="B96" s="114" t="s">
        <v>296</v>
      </c>
      <c r="C96" s="111">
        <v>0</v>
      </c>
      <c r="D96" s="115">
        <v>0</v>
      </c>
      <c r="F96" s="289" t="s">
        <v>296</v>
      </c>
      <c r="G96" s="290"/>
      <c r="H96" s="111">
        <v>0</v>
      </c>
      <c r="I96" s="111">
        <v>0</v>
      </c>
      <c r="J96" s="111">
        <v>0</v>
      </c>
    </row>
    <row r="97" spans="2:10" s="25" customFormat="1" ht="17" thickBot="1">
      <c r="B97" s="116" t="s">
        <v>297</v>
      </c>
      <c r="C97" s="117">
        <v>0</v>
      </c>
      <c r="D97" s="118">
        <v>0</v>
      </c>
      <c r="F97" s="289" t="s">
        <v>448</v>
      </c>
      <c r="G97" s="290"/>
      <c r="H97" s="111">
        <v>0</v>
      </c>
      <c r="I97" s="111">
        <v>0</v>
      </c>
      <c r="J97" s="111">
        <v>0</v>
      </c>
    </row>
    <row r="98" spans="2:10" s="25" customFormat="1" ht="17" thickTop="1">
      <c r="F98" s="289" t="s">
        <v>449</v>
      </c>
      <c r="G98" s="290"/>
      <c r="H98" s="111">
        <v>0</v>
      </c>
      <c r="I98" s="111">
        <v>0</v>
      </c>
      <c r="J98" s="111">
        <v>0</v>
      </c>
    </row>
    <row r="99" spans="2:10" s="25" customFormat="1" ht="16">
      <c r="F99" s="289" t="s">
        <v>450</v>
      </c>
      <c r="G99" s="290"/>
      <c r="H99" s="111">
        <v>0</v>
      </c>
      <c r="I99" s="111">
        <v>0</v>
      </c>
      <c r="J99" s="111">
        <v>0</v>
      </c>
    </row>
    <row r="100" spans="2:10" s="25" customFormat="1" ht="16">
      <c r="F100" s="289" t="s">
        <v>451</v>
      </c>
      <c r="G100" s="290"/>
      <c r="H100" s="111">
        <v>0</v>
      </c>
      <c r="I100" s="111">
        <v>0</v>
      </c>
      <c r="J100" s="111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9:G99"/>
    <mergeCell ref="F100:G100"/>
    <mergeCell ref="F94:G94"/>
    <mergeCell ref="F95:G95"/>
    <mergeCell ref="F96:G96"/>
    <mergeCell ref="F97:G97"/>
    <mergeCell ref="F98:G98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11" priority="6" stopIfTrue="1">
      <formula>ISEVEN(ROW())</formula>
    </cfRule>
  </conditionalFormatting>
  <conditionalFormatting sqref="B62:B85">
    <cfRule type="expression" dxfId="10" priority="5" stopIfTrue="1">
      <formula>ISEVEN(ROW())</formula>
    </cfRule>
  </conditionalFormatting>
  <conditionalFormatting sqref="C62:D85">
    <cfRule type="expression" dxfId="9" priority="4" stopIfTrue="1">
      <formula>ISEVEN(ROW())</formula>
    </cfRule>
  </conditionalFormatting>
  <conditionalFormatting sqref="H62:I85">
    <cfRule type="expression" dxfId="8" priority="3" stopIfTrue="1">
      <formula>ISEVEN(ROW())</formula>
    </cfRule>
  </conditionalFormatting>
  <conditionalFormatting sqref="J62:K85">
    <cfRule type="expression" dxfId="7" priority="2" stopIfTrue="1">
      <formula>ISEVEN(ROW())</formula>
    </cfRule>
  </conditionalFormatting>
  <conditionalFormatting sqref="E62:F85">
    <cfRule type="expression" dxfId="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topLeftCell="B1" workbookViewId="0">
      <selection activeCell="G13" sqref="G13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309" t="s">
        <v>560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309" t="s">
        <v>562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K4" s="309" t="s">
        <v>564</v>
      </c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309" t="s">
        <v>566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s="309" t="s">
        <v>568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s="309" t="s">
        <v>558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K8" s="309" t="s">
        <v>570</v>
      </c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 s="309" t="s">
        <v>572</v>
      </c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04"/>
      <c r="I10" s="73" t="s">
        <v>268</v>
      </c>
      <c r="K10" s="309" t="s">
        <v>574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20"/>
      <c r="K11" s="309" t="s">
        <v>576</v>
      </c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21"/>
      <c r="K12" s="309" t="s">
        <v>578</v>
      </c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305"/>
      <c r="K13" s="309" t="s">
        <v>580</v>
      </c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K14" s="309" t="s">
        <v>582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 s="309" t="s">
        <v>584</v>
      </c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K16" s="309" t="s">
        <v>586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F17" s="40" t="s">
        <v>556</v>
      </c>
      <c r="G17" s="302"/>
      <c r="I17" s="40" t="s">
        <v>172</v>
      </c>
      <c r="K17" s="309" t="s">
        <v>588</v>
      </c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F18" s="40" t="s">
        <v>557</v>
      </c>
      <c r="G18" s="303"/>
      <c r="I18" s="40" t="s">
        <v>173</v>
      </c>
      <c r="K18" s="309" t="s">
        <v>590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F19" s="40"/>
      <c r="I19" s="40" t="s">
        <v>270</v>
      </c>
      <c r="K19" s="309" t="s">
        <v>592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K20" s="309" t="s">
        <v>594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K21" s="309" t="s">
        <v>596</v>
      </c>
      <c r="Q21" s="45" t="s">
        <v>147</v>
      </c>
      <c r="R21" s="93" t="s">
        <v>105</v>
      </c>
    </row>
    <row r="22" spans="3:18" ht="30" customHeight="1">
      <c r="C22" s="44"/>
      <c r="D22" s="44"/>
      <c r="K22" s="309" t="s">
        <v>598</v>
      </c>
      <c r="Q22" s="45" t="s">
        <v>148</v>
      </c>
      <c r="R22" s="93" t="s">
        <v>100</v>
      </c>
    </row>
    <row r="23" spans="3:18" ht="30" customHeight="1">
      <c r="C23" s="44"/>
      <c r="D23" s="44"/>
      <c r="K23" s="309" t="s">
        <v>600</v>
      </c>
      <c r="Q23" s="45" t="s">
        <v>149</v>
      </c>
      <c r="R23" s="93" t="s">
        <v>101</v>
      </c>
    </row>
    <row r="24" spans="3:18" ht="30" customHeight="1">
      <c r="C24" s="44"/>
      <c r="D24" s="44"/>
      <c r="K24" s="309" t="s">
        <v>92</v>
      </c>
      <c r="Q24" s="45" t="s">
        <v>150</v>
      </c>
      <c r="R24" s="93" t="s">
        <v>87</v>
      </c>
    </row>
    <row r="25" spans="3:18" ht="30" customHeight="1">
      <c r="K25" s="309" t="s">
        <v>82</v>
      </c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K27" s="41" t="s">
        <v>465</v>
      </c>
      <c r="Q27" s="45" t="s">
        <v>185</v>
      </c>
      <c r="R27" s="93" t="s">
        <v>186</v>
      </c>
    </row>
    <row r="28" spans="3:18" ht="30" customHeight="1">
      <c r="K28" t="s">
        <v>466</v>
      </c>
      <c r="Q28" s="45" t="s">
        <v>187</v>
      </c>
      <c r="R28" s="93" t="s">
        <v>188</v>
      </c>
    </row>
    <row r="29" spans="3:18" ht="30" customHeight="1">
      <c r="K29" t="s">
        <v>467</v>
      </c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453</v>
      </c>
      <c r="R51" s="46" t="s">
        <v>456</v>
      </c>
    </row>
    <row r="52" spans="17:18" ht="30" customHeight="1">
      <c r="Q52" s="53" t="s">
        <v>454</v>
      </c>
      <c r="R52" s="53" t="s">
        <v>455</v>
      </c>
    </row>
    <row r="53" spans="17:18" ht="30" customHeight="1">
      <c r="Q53" s="53" t="s">
        <v>460</v>
      </c>
      <c r="R53" s="53" t="s">
        <v>463</v>
      </c>
    </row>
    <row r="54" spans="17:18" ht="30" customHeight="1">
      <c r="Q54" s="53" t="s">
        <v>461</v>
      </c>
      <c r="R54" s="53" t="s">
        <v>462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  <sheetView workbookViewId="1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93" t="s">
        <v>127</v>
      </c>
      <c r="D5" s="293"/>
      <c r="E5" s="293"/>
      <c r="F5" s="293"/>
      <c r="G5" s="293"/>
    </row>
    <row r="6" spans="3:7" ht="14" thickBot="1"/>
    <row r="7" spans="3:7">
      <c r="C7" s="152"/>
      <c r="D7" s="153"/>
      <c r="E7" s="153"/>
      <c r="F7" s="153"/>
      <c r="G7" s="154"/>
    </row>
    <row r="8" spans="3:7">
      <c r="C8" s="155"/>
      <c r="G8" s="156"/>
    </row>
    <row r="9" spans="3:7">
      <c r="C9" s="157" t="s">
        <v>125</v>
      </c>
      <c r="D9" s="161"/>
      <c r="G9" s="156"/>
    </row>
    <row r="10" spans="3:7">
      <c r="C10" s="157"/>
      <c r="G10" s="156"/>
    </row>
    <row r="11" spans="3:7">
      <c r="C11" s="157" t="s">
        <v>126</v>
      </c>
      <c r="D11" s="161"/>
      <c r="G11" s="156"/>
    </row>
    <row r="12" spans="3:7">
      <c r="C12" s="155"/>
      <c r="G12" s="156"/>
    </row>
    <row r="13" spans="3:7" ht="14" thickBot="1">
      <c r="C13" s="158"/>
      <c r="D13" s="159"/>
      <c r="E13" s="159"/>
      <c r="F13" s="159"/>
      <c r="G13" s="160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workbookViewId="0">
      <selection activeCell="F25" sqref="F25"/>
    </sheetView>
    <sheetView topLeftCell="D1" workbookViewId="1">
      <selection activeCell="G7" sqref="G7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203" t="s">
        <v>505</v>
      </c>
      <c r="L1" s="203" t="s">
        <v>515</v>
      </c>
      <c r="W1" t="s">
        <v>470</v>
      </c>
      <c r="X1" t="s">
        <v>473</v>
      </c>
      <c r="Y1" t="s">
        <v>477</v>
      </c>
      <c r="Z1" t="s">
        <v>478</v>
      </c>
      <c r="AA1" t="s">
        <v>484</v>
      </c>
      <c r="AB1" t="s">
        <v>487</v>
      </c>
      <c r="AC1" t="s">
        <v>499</v>
      </c>
      <c r="AD1" t="s">
        <v>501</v>
      </c>
      <c r="AE1" t="s">
        <v>521</v>
      </c>
      <c r="AF1" t="s">
        <v>530</v>
      </c>
    </row>
    <row r="2" spans="1:32">
      <c r="A2" t="s">
        <v>506</v>
      </c>
      <c r="B2" t="s">
        <v>57</v>
      </c>
      <c r="C2" t="s">
        <v>507</v>
      </c>
      <c r="D2" t="s">
        <v>508</v>
      </c>
      <c r="E2" t="s">
        <v>509</v>
      </c>
      <c r="F2" t="s">
        <v>510</v>
      </c>
      <c r="G2" t="s">
        <v>511</v>
      </c>
      <c r="H2" t="s">
        <v>512</v>
      </c>
      <c r="I2" t="s">
        <v>513</v>
      </c>
      <c r="J2" t="s">
        <v>514</v>
      </c>
      <c r="L2" t="s">
        <v>506</v>
      </c>
      <c r="M2" t="s">
        <v>57</v>
      </c>
      <c r="N2" t="s">
        <v>533</v>
      </c>
      <c r="O2" t="s">
        <v>508</v>
      </c>
      <c r="P2" t="s">
        <v>516</v>
      </c>
      <c r="Q2" t="s">
        <v>517</v>
      </c>
      <c r="R2" t="s">
        <v>518</v>
      </c>
      <c r="S2" t="s">
        <v>519</v>
      </c>
      <c r="T2" t="s">
        <v>520</v>
      </c>
      <c r="U2" t="s">
        <v>514</v>
      </c>
      <c r="W2" t="s">
        <v>471</v>
      </c>
      <c r="X2" t="s">
        <v>474</v>
      </c>
      <c r="Y2" t="s">
        <v>474</v>
      </c>
      <c r="Z2" t="s">
        <v>479</v>
      </c>
      <c r="AA2" t="s">
        <v>485</v>
      </c>
      <c r="AB2" t="s">
        <v>488</v>
      </c>
      <c r="AC2">
        <v>2</v>
      </c>
      <c r="AD2" t="s">
        <v>502</v>
      </c>
      <c r="AE2" t="s">
        <v>522</v>
      </c>
      <c r="AF2" t="s">
        <v>531</v>
      </c>
    </row>
    <row r="3" spans="1:32">
      <c r="A3" s="213"/>
      <c r="L3" s="214"/>
      <c r="R3" s="201"/>
      <c r="S3" s="201"/>
      <c r="T3" s="201"/>
      <c r="W3" t="s">
        <v>472</v>
      </c>
      <c r="X3" t="s">
        <v>475</v>
      </c>
      <c r="Y3" t="s">
        <v>475</v>
      </c>
      <c r="Z3" t="s">
        <v>480</v>
      </c>
      <c r="AA3" t="s">
        <v>486</v>
      </c>
      <c r="AB3" t="s">
        <v>489</v>
      </c>
      <c r="AC3">
        <v>3</v>
      </c>
      <c r="AD3" t="s">
        <v>503</v>
      </c>
      <c r="AE3" s="204" t="s">
        <v>223</v>
      </c>
      <c r="AF3" t="s">
        <v>532</v>
      </c>
    </row>
    <row r="4" spans="1:32">
      <c r="X4" t="s">
        <v>476</v>
      </c>
      <c r="Z4" t="s">
        <v>481</v>
      </c>
      <c r="AB4" t="s">
        <v>490</v>
      </c>
      <c r="AC4">
        <v>4</v>
      </c>
      <c r="AD4" t="s">
        <v>504</v>
      </c>
      <c r="AE4" t="s">
        <v>523</v>
      </c>
    </row>
    <row r="5" spans="1:32">
      <c r="A5" s="220" t="s">
        <v>276</v>
      </c>
      <c r="B5" s="221" t="s">
        <v>265</v>
      </c>
      <c r="C5" s="221" t="s">
        <v>195</v>
      </c>
      <c r="D5" s="221" t="s">
        <v>535</v>
      </c>
      <c r="L5" s="224" t="s">
        <v>536</v>
      </c>
      <c r="M5" s="225" t="s">
        <v>265</v>
      </c>
      <c r="N5" s="225" t="s">
        <v>195</v>
      </c>
      <c r="Z5" t="s">
        <v>482</v>
      </c>
      <c r="AB5" t="s">
        <v>491</v>
      </c>
      <c r="AC5">
        <v>5</v>
      </c>
    </row>
    <row r="6" spans="1:32">
      <c r="A6" s="222" t="s">
        <v>193</v>
      </c>
      <c r="B6" s="223">
        <f>COUNTIFS(DetailTouches[Lance pour],"N",DetailTouches[Issue],"G")</f>
        <v>0</v>
      </c>
      <c r="C6" s="223">
        <f>COUNTIFS(DetailTouches[Lance pour],"N",DetailTouches[Issue],"P")</f>
        <v>0</v>
      </c>
      <c r="D6" s="223">
        <f>COUNTIFS(DetailTouches[Lance pour],"N",DetailTouches[Issue],"ND")</f>
        <v>0</v>
      </c>
      <c r="L6" s="226" t="s">
        <v>193</v>
      </c>
      <c r="M6" s="227">
        <f>COUNTIFS(DetailMelees[Introduction pour],"N",DetailMelees[Issue],"G")</f>
        <v>0</v>
      </c>
      <c r="N6" s="227">
        <f>COUNTIFS(DetailMelees[Introduction pour],"N",DetailMelees[Issue],"P")</f>
        <v>0</v>
      </c>
      <c r="Z6" t="s">
        <v>483</v>
      </c>
      <c r="AB6" t="s">
        <v>492</v>
      </c>
      <c r="AC6">
        <v>6</v>
      </c>
    </row>
    <row r="7" spans="1:32">
      <c r="A7" s="218" t="s">
        <v>226</v>
      </c>
      <c r="B7" s="219">
        <f>COUNTIFS(DetailTouches[Lance pour],"E",DetailTouches[Issue],"P")</f>
        <v>0</v>
      </c>
      <c r="C7" s="219">
        <f>COUNTIFS(DetailTouches[Lance pour],"E",DetailTouches[Issue],"G")</f>
        <v>0</v>
      </c>
      <c r="D7" s="219">
        <f>COUNTIFS(DetailTouches[Lance pour],"E",DetailTouches[Issue],"ND")</f>
        <v>0</v>
      </c>
      <c r="L7" s="218" t="s">
        <v>226</v>
      </c>
      <c r="M7" s="219">
        <f>COUNTIFS(DetailMelees[Introduction pour],"E",DetailMelees[Issue],"P")</f>
        <v>0</v>
      </c>
      <c r="N7" s="219">
        <f>COUNTIFS(DetailMelees[Introduction pour],"E",DetailMelees[Issue],"G")</f>
        <v>0</v>
      </c>
      <c r="AB7" t="s">
        <v>493</v>
      </c>
      <c r="AC7" t="s">
        <v>500</v>
      </c>
    </row>
    <row r="8" spans="1:32">
      <c r="AB8" t="s">
        <v>494</v>
      </c>
    </row>
    <row r="9" spans="1:32">
      <c r="AB9" t="s">
        <v>495</v>
      </c>
    </row>
    <row r="10" spans="1:32">
      <c r="AB10" t="s">
        <v>496</v>
      </c>
    </row>
    <row r="11" spans="1:32">
      <c r="AB11" t="s">
        <v>497</v>
      </c>
    </row>
    <row r="12" spans="1:32">
      <c r="AB12" t="s">
        <v>498</v>
      </c>
    </row>
  </sheetData>
  <conditionalFormatting sqref="D3">
    <cfRule type="expression" dxfId="5" priority="1" stopIfTrue="1">
      <formula>($C3&amp;$D3)="NP"</formula>
    </cfRule>
    <cfRule type="expression" dxfId="4" priority="2" stopIfTrue="1">
      <formula>($C3&amp;$D3)="EG"</formula>
    </cfRule>
  </conditionalFormatting>
  <conditionalFormatting sqref="G3">
    <cfRule type="expression" dxfId="3" priority="3" stopIfTrue="1">
      <formula>$G3="F"</formula>
    </cfRule>
    <cfRule type="expression" dxfId="2" priority="4" stopIfTrue="1">
      <formula>$G3="C"</formula>
    </cfRule>
  </conditionalFormatting>
  <conditionalFormatting sqref="O3">
    <cfRule type="expression" dxfId="1" priority="5" stopIfTrue="1">
      <formula>($N3&amp;$O3)="NP"</formula>
    </cfRule>
    <cfRule type="expression" dxfId="0" priority="6" stopIfTrue="1">
      <formula>($N3&amp;$O3)="EG"</formula>
    </cfRule>
  </conditionalFormatting>
  <dataValidations count="8">
    <dataValidation type="list" allowBlank="1" showInputMessage="1" showErrorMessage="1" sqref="C3 N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H3 P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C16"/>
  <sheetViews>
    <sheetView workbookViewId="0">
      <selection activeCell="C16" sqref="C16"/>
    </sheetView>
    <sheetView workbookViewId="1"/>
  </sheetViews>
  <sheetFormatPr baseColWidth="10" defaultRowHeight="14"/>
  <cols>
    <col min="1" max="1" width="2.83203125" style="206" customWidth="1"/>
    <col min="2" max="2" width="14.83203125" style="206" customWidth="1"/>
    <col min="3" max="3" width="22.83203125" style="206" customWidth="1"/>
    <col min="4" max="16384" width="10.83203125" style="206"/>
  </cols>
  <sheetData>
    <row r="2" spans="2:3" ht="21">
      <c r="B2" s="205" t="s">
        <v>524</v>
      </c>
    </row>
    <row r="4" spans="2:3">
      <c r="B4" s="207" t="s">
        <v>506</v>
      </c>
      <c r="C4" s="212">
        <v>0.33402777777777776</v>
      </c>
    </row>
    <row r="5" spans="2:3">
      <c r="B5" s="207" t="s">
        <v>57</v>
      </c>
      <c r="C5" s="208" t="s">
        <v>97</v>
      </c>
    </row>
    <row r="6" spans="2:3">
      <c r="B6" s="207" t="s">
        <v>507</v>
      </c>
      <c r="C6" s="208" t="s">
        <v>106</v>
      </c>
    </row>
    <row r="7" spans="2:3">
      <c r="B7" s="207" t="s">
        <v>508</v>
      </c>
      <c r="C7" s="208" t="s">
        <v>534</v>
      </c>
    </row>
    <row r="9" spans="2:3">
      <c r="B9" s="206" t="s">
        <v>509</v>
      </c>
      <c r="C9" s="209"/>
    </row>
    <row r="10" spans="2:3">
      <c r="B10" s="206" t="s">
        <v>525</v>
      </c>
      <c r="C10" s="209"/>
    </row>
    <row r="11" spans="2:3">
      <c r="B11" s="206" t="s">
        <v>511</v>
      </c>
      <c r="C11" s="209"/>
    </row>
    <row r="12" spans="2:3">
      <c r="B12" s="206" t="s">
        <v>512</v>
      </c>
      <c r="C12" s="209"/>
    </row>
    <row r="13" spans="2:3">
      <c r="B13" s="206" t="s">
        <v>513</v>
      </c>
      <c r="C13" s="209"/>
    </row>
    <row r="14" spans="2:3">
      <c r="B14" s="206" t="s">
        <v>514</v>
      </c>
      <c r="C14" s="209"/>
    </row>
    <row r="16" spans="2:3" ht="24" customHeight="1">
      <c r="B16" s="210" t="s">
        <v>527</v>
      </c>
      <c r="C16" s="211" t="s">
        <v>526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9B9BF8CD-0BFA-B24B-BF88-3E830D8FF644}">
          <x14:formula1>
            <xm:f>'Compo'!$AA$1:$AA$2</xm:f>
          </x14:formula1>
          <xm:sqref>C9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C14"/>
  <sheetViews>
    <sheetView workbookViewId="0">
      <selection activeCell="C14" sqref="C14"/>
    </sheetView>
    <sheetView workbookViewId="1"/>
  </sheetViews>
  <sheetFormatPr baseColWidth="10" defaultRowHeight="14"/>
  <cols>
    <col min="1" max="1" width="2.83203125" style="206" customWidth="1"/>
    <col min="2" max="2" width="14.83203125" style="206" customWidth="1"/>
    <col min="3" max="3" width="22.83203125" style="206" customWidth="1"/>
    <col min="4" max="16384" width="10.83203125" style="206"/>
  </cols>
  <sheetData>
    <row r="2" spans="2:3" ht="21">
      <c r="B2" s="205" t="s">
        <v>528</v>
      </c>
    </row>
    <row r="4" spans="2:3">
      <c r="B4" s="207" t="s">
        <v>506</v>
      </c>
      <c r="C4" s="212">
        <v>0.35486111111111113</v>
      </c>
    </row>
    <row r="5" spans="2:3">
      <c r="B5" s="207" t="s">
        <v>57</v>
      </c>
      <c r="C5" s="208" t="s">
        <v>97</v>
      </c>
    </row>
    <row r="6" spans="2:3">
      <c r="B6" s="207" t="s">
        <v>533</v>
      </c>
      <c r="C6" s="208" t="s">
        <v>106</v>
      </c>
    </row>
    <row r="7" spans="2:3">
      <c r="B7" s="207" t="s">
        <v>508</v>
      </c>
      <c r="C7" s="208" t="s">
        <v>534</v>
      </c>
    </row>
    <row r="9" spans="2:3">
      <c r="B9" s="206" t="s">
        <v>516</v>
      </c>
      <c r="C9" s="209"/>
    </row>
    <row r="10" spans="2:3">
      <c r="B10" s="206" t="s">
        <v>517</v>
      </c>
      <c r="C10" s="209"/>
    </row>
    <row r="11" spans="2:3">
      <c r="B11" s="206" t="s">
        <v>529</v>
      </c>
      <c r="C11" s="209"/>
    </row>
    <row r="12" spans="2:3">
      <c r="B12" s="206" t="s">
        <v>514</v>
      </c>
      <c r="C12" s="209"/>
    </row>
    <row r="14" spans="2:3" ht="24" customHeight="1">
      <c r="B14" s="210" t="s">
        <v>527</v>
      </c>
      <c r="C14" s="211" t="s">
        <v>526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29"/>
  <sheetViews>
    <sheetView workbookViewId="0">
      <selection activeCell="A7" sqref="A7:XFD27"/>
    </sheetView>
    <sheetView workbookViewId="1"/>
  </sheetViews>
  <sheetFormatPr baseColWidth="10" defaultRowHeight="14"/>
  <cols>
    <col min="1" max="1" width="2.83203125" style="206" customWidth="1"/>
    <col min="2" max="3" width="14.83203125" style="206" customWidth="1"/>
    <col min="4" max="4" width="4.33203125" style="206" customWidth="1"/>
    <col min="5" max="6" width="14.83203125" style="206" customWidth="1"/>
    <col min="7" max="7" width="4.83203125" style="206" customWidth="1"/>
    <col min="8" max="9" width="14.83203125" style="206" customWidth="1"/>
    <col min="10" max="10" width="4.83203125" style="206" customWidth="1"/>
    <col min="11" max="21" width="5.1640625" style="206" customWidth="1"/>
    <col min="22" max="16384" width="10.83203125" style="206"/>
  </cols>
  <sheetData>
    <row r="2" spans="2:21" ht="21">
      <c r="B2" s="205" t="s">
        <v>537</v>
      </c>
    </row>
    <row r="4" spans="2:21">
      <c r="B4" s="207" t="s">
        <v>506</v>
      </c>
      <c r="E4" s="306"/>
      <c r="F4" s="306"/>
    </row>
    <row r="5" spans="2:21">
      <c r="B5" s="207" t="s">
        <v>57</v>
      </c>
      <c r="E5" s="306"/>
      <c r="F5" s="306"/>
    </row>
    <row r="6" spans="2:21">
      <c r="B6" s="207" t="s">
        <v>538</v>
      </c>
      <c r="E6" s="306"/>
      <c r="F6" s="306"/>
    </row>
    <row r="7" spans="2:21">
      <c r="K7" s="307">
        <v>1</v>
      </c>
      <c r="L7" s="307"/>
      <c r="M7" s="307"/>
      <c r="O7" s="307">
        <v>2</v>
      </c>
      <c r="P7" s="307"/>
      <c r="Q7" s="307"/>
      <c r="S7" s="307">
        <v>3</v>
      </c>
      <c r="T7" s="307"/>
      <c r="U7" s="307"/>
    </row>
    <row r="9" spans="2:21">
      <c r="M9" s="307">
        <v>4</v>
      </c>
      <c r="N9" s="307"/>
      <c r="O9" s="307"/>
      <c r="Q9" s="307">
        <v>5</v>
      </c>
      <c r="R9" s="307"/>
      <c r="S9" s="307"/>
    </row>
    <row r="11" spans="2:21">
      <c r="B11" s="295" t="s">
        <v>206</v>
      </c>
      <c r="C11" s="295"/>
      <c r="E11" s="295" t="s">
        <v>207</v>
      </c>
      <c r="F11" s="295"/>
      <c r="H11" s="295" t="s">
        <v>133</v>
      </c>
      <c r="I11" s="295"/>
      <c r="K11" s="307">
        <v>6</v>
      </c>
      <c r="L11" s="307"/>
      <c r="M11" s="307"/>
      <c r="O11" s="307">
        <v>8</v>
      </c>
      <c r="P11" s="307"/>
      <c r="Q11" s="307"/>
      <c r="S11" s="307">
        <v>7</v>
      </c>
      <c r="T11" s="307"/>
      <c r="U11" s="307"/>
    </row>
    <row r="13" spans="2:21">
      <c r="B13" s="295" t="s">
        <v>555</v>
      </c>
      <c r="C13" s="295"/>
      <c r="E13" s="295" t="s">
        <v>542</v>
      </c>
      <c r="F13" s="295"/>
      <c r="H13" s="295" t="s">
        <v>135</v>
      </c>
      <c r="I13" s="295"/>
      <c r="M13" s="307">
        <v>9</v>
      </c>
      <c r="N13" s="307"/>
      <c r="O13" s="307"/>
    </row>
    <row r="15" spans="2:21">
      <c r="B15" s="295" t="s">
        <v>554</v>
      </c>
      <c r="C15" s="295"/>
      <c r="E15" s="295" t="s">
        <v>545</v>
      </c>
      <c r="F15" s="295"/>
      <c r="H15" s="295" t="s">
        <v>540</v>
      </c>
      <c r="I15" s="295"/>
      <c r="P15" s="307">
        <v>10</v>
      </c>
      <c r="Q15" s="307"/>
      <c r="R15" s="307"/>
    </row>
    <row r="17" spans="2:21">
      <c r="B17" s="295" t="s">
        <v>553</v>
      </c>
      <c r="C17" s="295"/>
      <c r="E17" s="295" t="s">
        <v>546</v>
      </c>
      <c r="F17" s="295"/>
      <c r="H17" s="295" t="s">
        <v>541</v>
      </c>
      <c r="I17" s="295"/>
      <c r="M17" s="307">
        <v>12</v>
      </c>
      <c r="N17" s="307"/>
      <c r="O17" s="307"/>
      <c r="Q17" s="307">
        <v>13</v>
      </c>
      <c r="R17" s="307"/>
      <c r="S17" s="307"/>
    </row>
    <row r="19" spans="2:21">
      <c r="E19" s="295" t="s">
        <v>547</v>
      </c>
      <c r="F19" s="295"/>
      <c r="K19" s="307">
        <v>11</v>
      </c>
      <c r="L19" s="307"/>
      <c r="M19" s="307"/>
      <c r="O19" s="307">
        <v>15</v>
      </c>
      <c r="P19" s="307"/>
      <c r="Q19" s="307"/>
      <c r="S19" s="307">
        <v>14</v>
      </c>
      <c r="T19" s="307"/>
      <c r="U19" s="307"/>
    </row>
    <row r="20" spans="2:21" ht="26" customHeight="1"/>
    <row r="21" spans="2:21">
      <c r="B21" s="295" t="s">
        <v>549</v>
      </c>
      <c r="C21" s="295"/>
      <c r="E21" s="295" t="s">
        <v>548</v>
      </c>
      <c r="F21" s="295"/>
      <c r="K21" s="307">
        <v>16</v>
      </c>
      <c r="L21" s="307"/>
      <c r="M21" s="307"/>
      <c r="O21" s="307">
        <v>17</v>
      </c>
      <c r="P21" s="307"/>
      <c r="Q21" s="307"/>
      <c r="S21" s="307">
        <v>18</v>
      </c>
      <c r="T21" s="307"/>
      <c r="U21" s="307"/>
    </row>
    <row r="23" spans="2:21">
      <c r="B23" s="295" t="s">
        <v>543</v>
      </c>
      <c r="C23" s="295"/>
      <c r="E23" s="295" t="s">
        <v>550</v>
      </c>
      <c r="F23" s="295"/>
      <c r="H23" s="295" t="s">
        <v>208</v>
      </c>
      <c r="I23" s="295"/>
      <c r="K23" s="307">
        <v>19</v>
      </c>
      <c r="L23" s="307"/>
      <c r="M23" s="307"/>
      <c r="O23" s="307">
        <v>20</v>
      </c>
      <c r="P23" s="307"/>
      <c r="Q23" s="307"/>
      <c r="S23" s="307">
        <v>21</v>
      </c>
      <c r="T23" s="307"/>
      <c r="U23" s="307"/>
    </row>
    <row r="25" spans="2:21">
      <c r="B25" s="295" t="s">
        <v>544</v>
      </c>
      <c r="C25" s="295"/>
      <c r="E25" s="295" t="s">
        <v>552</v>
      </c>
      <c r="F25" s="295"/>
      <c r="H25" s="295" t="s">
        <v>551</v>
      </c>
      <c r="I25" s="295"/>
      <c r="O25" s="307">
        <v>22</v>
      </c>
      <c r="P25" s="307"/>
      <c r="Q25" s="307"/>
    </row>
    <row r="27" spans="2:21">
      <c r="K27" s="307" t="s">
        <v>92</v>
      </c>
      <c r="L27" s="307"/>
      <c r="M27" s="307"/>
      <c r="S27" s="307" t="s">
        <v>82</v>
      </c>
      <c r="T27" s="307"/>
      <c r="U27" s="307"/>
    </row>
    <row r="29" spans="2:21" ht="26" customHeight="1">
      <c r="B29" s="301" t="s">
        <v>527</v>
      </c>
      <c r="C29" s="301"/>
      <c r="D29" s="308"/>
      <c r="E29" s="294" t="s">
        <v>539</v>
      </c>
      <c r="F29" s="294"/>
      <c r="G29" s="294"/>
      <c r="H29" s="294"/>
      <c r="I29" s="308"/>
    </row>
  </sheetData>
  <mergeCells count="50">
    <mergeCell ref="O25:Q25"/>
    <mergeCell ref="K27:M27"/>
    <mergeCell ref="S27:U27"/>
    <mergeCell ref="B29:C29"/>
    <mergeCell ref="E29:H29"/>
    <mergeCell ref="K21:M21"/>
    <mergeCell ref="O21:Q21"/>
    <mergeCell ref="S21:U21"/>
    <mergeCell ref="K23:M23"/>
    <mergeCell ref="O23:Q23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B25:C25"/>
    <mergeCell ref="E25:F25"/>
    <mergeCell ref="H25:I25"/>
    <mergeCell ref="K7:M7"/>
    <mergeCell ref="O7:Q7"/>
    <mergeCell ref="S7:U7"/>
    <mergeCell ref="M9:O9"/>
    <mergeCell ref="Q9:S9"/>
    <mergeCell ref="K11:M11"/>
    <mergeCell ref="O11:Q11"/>
    <mergeCell ref="E19:F19"/>
    <mergeCell ref="B21:C21"/>
    <mergeCell ref="E21:F21"/>
    <mergeCell ref="B23:C23"/>
    <mergeCell ref="E23:F23"/>
    <mergeCell ref="H23:I23"/>
    <mergeCell ref="H11:I11"/>
    <mergeCell ref="E13:F13"/>
    <mergeCell ref="H13:I13"/>
    <mergeCell ref="E15:F15"/>
    <mergeCell ref="H15:I15"/>
    <mergeCell ref="E17:F17"/>
    <mergeCell ref="H17:I17"/>
    <mergeCell ref="B17:C17"/>
    <mergeCell ref="E4:F4"/>
    <mergeCell ref="E5:F5"/>
    <mergeCell ref="E6:F6"/>
    <mergeCell ref="E11:F11"/>
    <mergeCell ref="B15:C15"/>
    <mergeCell ref="B11:C11"/>
    <mergeCell ref="B13:C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2B0E8-2A26-5F42-BB52-BF1AD6F57A4E}">
  <sheetPr codeName="Feuil11"/>
  <dimension ref="B1:Y35"/>
  <sheetViews>
    <sheetView workbookViewId="0">
      <selection activeCell="A22" sqref="A22:XFD22"/>
    </sheetView>
    <sheetView workbookViewId="1"/>
  </sheetViews>
  <sheetFormatPr baseColWidth="10" defaultRowHeight="13"/>
  <cols>
    <col min="4" max="4" width="3.5" customWidth="1"/>
    <col min="7" max="7" width="4" customWidth="1"/>
    <col min="11" max="21" width="4.33203125" customWidth="1"/>
    <col min="22" max="28" width="5.33203125" customWidth="1"/>
  </cols>
  <sheetData>
    <row r="1" spans="2:25"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</row>
    <row r="2" spans="2:25" ht="21">
      <c r="B2" s="205" t="s">
        <v>537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</row>
    <row r="3" spans="2:25"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</row>
    <row r="4" spans="2:25" ht="14">
      <c r="B4" s="207" t="s">
        <v>506</v>
      </c>
      <c r="C4" s="208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</row>
    <row r="5" spans="2:25" ht="14">
      <c r="B5" s="207" t="s">
        <v>57</v>
      </c>
      <c r="C5" s="208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2:25" ht="14">
      <c r="B6" s="207" t="s">
        <v>538</v>
      </c>
      <c r="C6" s="208"/>
      <c r="I6" s="41"/>
      <c r="J6" s="41"/>
      <c r="K6" s="296"/>
      <c r="L6" s="296"/>
      <c r="M6" s="296"/>
      <c r="N6" s="296"/>
      <c r="O6" s="296"/>
      <c r="P6" s="296"/>
      <c r="Q6" s="296"/>
      <c r="R6" s="296"/>
      <c r="S6" s="296"/>
      <c r="T6" s="296"/>
      <c r="U6" s="296"/>
      <c r="V6" s="41"/>
      <c r="W6" s="41"/>
      <c r="X6" s="41"/>
      <c r="Y6" s="41"/>
    </row>
    <row r="7" spans="2:25" ht="20" customHeight="1">
      <c r="J7" s="41"/>
      <c r="K7" s="297">
        <v>1</v>
      </c>
      <c r="L7" s="297"/>
      <c r="M7" s="297"/>
      <c r="N7" s="296"/>
      <c r="O7" s="297">
        <v>2</v>
      </c>
      <c r="P7" s="297"/>
      <c r="Q7" s="297"/>
      <c r="R7" s="296"/>
      <c r="S7" s="297">
        <v>3</v>
      </c>
      <c r="T7" s="297"/>
      <c r="U7" s="297"/>
      <c r="V7" s="41"/>
      <c r="W7" s="41"/>
      <c r="X7" s="41"/>
      <c r="Y7" s="41"/>
    </row>
    <row r="8" spans="2:25" ht="10" customHeight="1">
      <c r="I8" s="41"/>
      <c r="J8" s="41"/>
      <c r="K8" s="298"/>
      <c r="L8" s="298"/>
      <c r="M8" s="296"/>
      <c r="N8" s="296"/>
      <c r="O8" s="296"/>
      <c r="P8" s="296"/>
      <c r="Q8" s="296"/>
      <c r="R8" s="296"/>
      <c r="S8" s="296"/>
      <c r="T8" s="296"/>
      <c r="U8" s="296"/>
      <c r="V8" s="41"/>
      <c r="W8" s="41"/>
      <c r="X8" s="41"/>
      <c r="Y8" s="41"/>
    </row>
    <row r="9" spans="2:25" ht="20" customHeight="1">
      <c r="I9" s="41"/>
      <c r="J9" s="41"/>
      <c r="K9" s="296"/>
      <c r="L9" s="296"/>
      <c r="M9" s="297">
        <v>4</v>
      </c>
      <c r="N9" s="297"/>
      <c r="O9" s="297"/>
      <c r="P9" s="296"/>
      <c r="Q9" s="297">
        <v>5</v>
      </c>
      <c r="R9" s="297"/>
      <c r="S9" s="297"/>
      <c r="T9" s="296"/>
      <c r="U9" s="296"/>
      <c r="V9" s="41"/>
      <c r="W9" s="41"/>
      <c r="X9" s="41"/>
      <c r="Y9" s="41"/>
    </row>
    <row r="10" spans="2:25" ht="10" customHeight="1">
      <c r="I10" s="41"/>
      <c r="J10" s="41"/>
      <c r="K10" s="296"/>
      <c r="L10" s="296"/>
      <c r="M10" s="296"/>
      <c r="N10" s="296"/>
      <c r="O10" s="296"/>
      <c r="P10" s="296"/>
      <c r="Q10" s="296"/>
      <c r="R10" s="296"/>
      <c r="S10" s="296"/>
      <c r="T10" s="296"/>
      <c r="U10" s="296"/>
      <c r="V10" s="41"/>
      <c r="W10" s="41"/>
      <c r="X10" s="41"/>
      <c r="Y10" s="41"/>
    </row>
    <row r="11" spans="2:25" ht="20" customHeight="1">
      <c r="B11" s="295" t="s">
        <v>206</v>
      </c>
      <c r="C11" s="295"/>
      <c r="E11" s="295" t="s">
        <v>207</v>
      </c>
      <c r="F11" s="295"/>
      <c r="H11" s="295" t="s">
        <v>133</v>
      </c>
      <c r="I11" s="295"/>
      <c r="J11" s="41"/>
      <c r="K11" s="297">
        <v>6</v>
      </c>
      <c r="L11" s="297"/>
      <c r="M11" s="297"/>
      <c r="N11" s="296"/>
      <c r="O11" s="297">
        <v>8</v>
      </c>
      <c r="P11" s="297"/>
      <c r="Q11" s="297"/>
      <c r="R11" s="296"/>
      <c r="S11" s="297">
        <v>7</v>
      </c>
      <c r="T11" s="297"/>
      <c r="U11" s="297"/>
      <c r="V11" s="41"/>
      <c r="W11" s="41"/>
      <c r="X11" s="41"/>
      <c r="Y11" s="41"/>
    </row>
    <row r="12" spans="2:25" ht="10" customHeight="1">
      <c r="I12" s="41"/>
      <c r="J12" s="41"/>
      <c r="K12" s="296"/>
      <c r="L12" s="296"/>
      <c r="M12" s="296"/>
      <c r="N12" s="296"/>
      <c r="O12" s="296"/>
      <c r="P12" s="296"/>
      <c r="Q12" s="296"/>
      <c r="R12" s="296"/>
      <c r="S12" s="296"/>
      <c r="T12" s="296"/>
      <c r="U12" s="296"/>
      <c r="V12" s="41"/>
      <c r="W12" s="41"/>
      <c r="X12" s="41"/>
      <c r="Y12" s="41"/>
    </row>
    <row r="13" spans="2:25" ht="20" customHeight="1">
      <c r="B13" s="299" t="s">
        <v>555</v>
      </c>
      <c r="C13" s="300"/>
      <c r="E13" s="299" t="s">
        <v>542</v>
      </c>
      <c r="F13" s="300"/>
      <c r="H13" s="295" t="s">
        <v>135</v>
      </c>
      <c r="I13" s="295"/>
      <c r="J13" s="41"/>
      <c r="K13" s="296"/>
      <c r="L13" s="296"/>
      <c r="M13" s="297">
        <v>9</v>
      </c>
      <c r="N13" s="297"/>
      <c r="O13" s="297"/>
      <c r="P13" s="296"/>
      <c r="Q13" s="296"/>
      <c r="R13" s="296"/>
      <c r="S13" s="296"/>
      <c r="T13" s="296"/>
      <c r="U13" s="296"/>
      <c r="V13" s="41"/>
      <c r="W13" s="41"/>
      <c r="X13" s="41"/>
      <c r="Y13" s="41"/>
    </row>
    <row r="14" spans="2:25" ht="10" customHeight="1">
      <c r="C14" s="41"/>
      <c r="I14" s="41"/>
      <c r="J14" s="41"/>
      <c r="K14" s="296"/>
      <c r="L14" s="296"/>
      <c r="M14" s="296"/>
      <c r="N14" s="296"/>
      <c r="O14" s="296"/>
      <c r="P14" s="296"/>
      <c r="Q14" s="296"/>
      <c r="R14" s="296"/>
      <c r="S14" s="296"/>
      <c r="T14" s="296"/>
      <c r="U14" s="296"/>
      <c r="V14" s="41"/>
      <c r="W14" s="41"/>
      <c r="X14" s="41"/>
      <c r="Y14" s="41"/>
    </row>
    <row r="15" spans="2:25" ht="20" customHeight="1">
      <c r="B15" s="299" t="s">
        <v>554</v>
      </c>
      <c r="C15" s="300"/>
      <c r="E15" s="295" t="s">
        <v>545</v>
      </c>
      <c r="F15" s="295"/>
      <c r="H15" s="295" t="s">
        <v>540</v>
      </c>
      <c r="I15" s="295"/>
      <c r="J15" s="41"/>
      <c r="K15" s="296"/>
      <c r="L15" s="296"/>
      <c r="M15" s="296"/>
      <c r="N15" s="296"/>
      <c r="O15" s="296"/>
      <c r="P15" s="297">
        <v>10</v>
      </c>
      <c r="Q15" s="297"/>
      <c r="R15" s="297"/>
      <c r="S15" s="296"/>
      <c r="T15" s="296"/>
      <c r="U15" s="296"/>
      <c r="V15" s="41"/>
      <c r="W15" s="41"/>
      <c r="X15" s="41"/>
      <c r="Y15" s="41"/>
    </row>
    <row r="16" spans="2:25" ht="10" customHeight="1">
      <c r="I16" s="41"/>
      <c r="J16" s="41"/>
      <c r="K16" s="296"/>
      <c r="L16" s="296"/>
      <c r="M16" s="296"/>
      <c r="N16" s="296"/>
      <c r="O16" s="296"/>
      <c r="P16" s="296"/>
      <c r="Q16" s="296"/>
      <c r="R16" s="296"/>
      <c r="S16" s="296"/>
      <c r="T16" s="296"/>
      <c r="U16" s="296"/>
      <c r="V16" s="41"/>
      <c r="W16" s="41"/>
      <c r="X16" s="41"/>
      <c r="Y16" s="41"/>
    </row>
    <row r="17" spans="2:25" ht="20" customHeight="1">
      <c r="B17" s="299" t="s">
        <v>553</v>
      </c>
      <c r="C17" s="300"/>
      <c r="E17" s="299" t="s">
        <v>546</v>
      </c>
      <c r="F17" s="300"/>
      <c r="H17" s="299" t="s">
        <v>541</v>
      </c>
      <c r="I17" s="300"/>
      <c r="J17" s="41"/>
      <c r="K17" s="296"/>
      <c r="L17" s="296"/>
      <c r="M17" s="297">
        <v>12</v>
      </c>
      <c r="N17" s="297"/>
      <c r="O17" s="297"/>
      <c r="P17" s="296"/>
      <c r="Q17" s="297">
        <v>13</v>
      </c>
      <c r="R17" s="297"/>
      <c r="S17" s="297"/>
      <c r="T17" s="296"/>
      <c r="U17" s="296"/>
      <c r="V17" s="41"/>
      <c r="W17" s="41"/>
      <c r="X17" s="41"/>
      <c r="Y17" s="41"/>
    </row>
    <row r="18" spans="2:25" ht="10" customHeight="1">
      <c r="I18" s="41"/>
      <c r="J18" s="41"/>
      <c r="K18" s="296"/>
      <c r="L18" s="296"/>
      <c r="M18" s="296"/>
      <c r="N18" s="296"/>
      <c r="O18" s="296"/>
      <c r="P18" s="296"/>
      <c r="Q18" s="296"/>
      <c r="R18" s="296"/>
      <c r="S18" s="296"/>
      <c r="T18" s="296"/>
      <c r="U18" s="296"/>
      <c r="V18" s="41"/>
      <c r="W18" s="41"/>
      <c r="X18" s="41"/>
      <c r="Y18" s="41"/>
    </row>
    <row r="19" spans="2:25" ht="20" customHeight="1">
      <c r="E19" s="299" t="s">
        <v>547</v>
      </c>
      <c r="F19" s="300"/>
      <c r="J19" s="41"/>
      <c r="K19" s="297">
        <v>11</v>
      </c>
      <c r="L19" s="297"/>
      <c r="M19" s="297"/>
      <c r="N19" s="296"/>
      <c r="O19" s="297">
        <v>15</v>
      </c>
      <c r="P19" s="297"/>
      <c r="Q19" s="297"/>
      <c r="R19" s="296"/>
      <c r="S19" s="297">
        <v>14</v>
      </c>
      <c r="T19" s="297"/>
      <c r="U19" s="297"/>
      <c r="V19" s="41"/>
      <c r="W19" s="41"/>
      <c r="X19" s="41"/>
      <c r="Y19" s="41"/>
    </row>
    <row r="20" spans="2:25" ht="10" customHeight="1">
      <c r="I20" s="41"/>
      <c r="J20" s="41"/>
      <c r="K20" s="296"/>
      <c r="L20" s="296"/>
      <c r="M20" s="296"/>
      <c r="N20" s="296"/>
      <c r="O20" s="296"/>
      <c r="P20" s="296"/>
      <c r="Q20" s="296"/>
      <c r="R20" s="296"/>
      <c r="S20" s="296"/>
      <c r="T20" s="296"/>
      <c r="U20" s="296"/>
      <c r="V20" s="41"/>
      <c r="W20" s="41"/>
      <c r="X20" s="41"/>
      <c r="Y20" s="41"/>
    </row>
    <row r="21" spans="2:25" ht="20" customHeight="1">
      <c r="B21" s="299" t="s">
        <v>549</v>
      </c>
      <c r="C21" s="300"/>
      <c r="E21" s="299" t="s">
        <v>548</v>
      </c>
      <c r="F21" s="300"/>
      <c r="J21" s="41"/>
      <c r="K21" s="297">
        <v>16</v>
      </c>
      <c r="L21" s="297"/>
      <c r="M21" s="297"/>
      <c r="N21" s="296"/>
      <c r="O21" s="297">
        <v>17</v>
      </c>
      <c r="P21" s="297"/>
      <c r="Q21" s="297"/>
      <c r="R21" s="296"/>
      <c r="S21" s="297">
        <v>18</v>
      </c>
      <c r="T21" s="297"/>
      <c r="U21" s="297"/>
      <c r="V21" s="41"/>
      <c r="W21" s="41"/>
      <c r="X21" s="41"/>
      <c r="Y21" s="41"/>
    </row>
    <row r="22" spans="2:25" ht="10" customHeight="1">
      <c r="I22" s="41"/>
      <c r="J22" s="41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  <c r="V22" s="41"/>
      <c r="W22" s="41"/>
      <c r="X22" s="41"/>
      <c r="Y22" s="41"/>
    </row>
    <row r="23" spans="2:25" ht="20" customHeight="1">
      <c r="B23" s="295" t="s">
        <v>543</v>
      </c>
      <c r="C23" s="295"/>
      <c r="E23" s="299" t="s">
        <v>550</v>
      </c>
      <c r="F23" s="300"/>
      <c r="H23" s="295" t="s">
        <v>208</v>
      </c>
      <c r="I23" s="295"/>
      <c r="J23" s="41"/>
      <c r="K23" s="297">
        <v>19</v>
      </c>
      <c r="L23" s="297"/>
      <c r="M23" s="297"/>
      <c r="N23" s="41"/>
      <c r="O23" s="297">
        <v>20</v>
      </c>
      <c r="P23" s="297"/>
      <c r="Q23" s="297"/>
      <c r="R23" s="41"/>
      <c r="S23" s="297">
        <v>21</v>
      </c>
      <c r="T23" s="297"/>
      <c r="U23" s="297"/>
      <c r="V23" s="41"/>
      <c r="W23" s="41"/>
      <c r="X23" s="41"/>
      <c r="Y23" s="41"/>
    </row>
    <row r="24" spans="2:25" ht="10" customHeight="1"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</row>
    <row r="25" spans="2:25" ht="20" customHeight="1">
      <c r="B25" s="295" t="s">
        <v>544</v>
      </c>
      <c r="C25" s="295"/>
      <c r="E25" s="299" t="s">
        <v>552</v>
      </c>
      <c r="F25" s="300"/>
      <c r="H25" s="295" t="s">
        <v>551</v>
      </c>
      <c r="I25" s="295"/>
      <c r="J25" s="41"/>
      <c r="N25" s="41"/>
      <c r="O25" s="297">
        <v>22</v>
      </c>
      <c r="P25" s="297"/>
      <c r="Q25" s="297"/>
      <c r="R25" s="41"/>
      <c r="S25" s="41"/>
      <c r="T25" s="41"/>
      <c r="U25" s="41"/>
      <c r="V25" s="41"/>
      <c r="W25" s="41"/>
      <c r="X25" s="41"/>
      <c r="Y25" s="41"/>
    </row>
    <row r="26" spans="2:25"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</row>
    <row r="29" spans="2:25" ht="28" customHeight="1">
      <c r="B29" s="301" t="s">
        <v>527</v>
      </c>
      <c r="C29" s="301"/>
      <c r="E29" s="294" t="s">
        <v>539</v>
      </c>
      <c r="F29" s="294"/>
      <c r="G29" s="294"/>
      <c r="H29" s="294"/>
    </row>
    <row r="34" spans="9:10" ht="14">
      <c r="J34" s="206"/>
    </row>
    <row r="35" spans="9:10" ht="14">
      <c r="I35" s="206"/>
      <c r="J35" s="206"/>
    </row>
  </sheetData>
  <mergeCells count="46">
    <mergeCell ref="E29:H29"/>
    <mergeCell ref="B29:C29"/>
    <mergeCell ref="H25:I25"/>
    <mergeCell ref="E25:F25"/>
    <mergeCell ref="B17:C17"/>
    <mergeCell ref="B15:C15"/>
    <mergeCell ref="B13:C13"/>
    <mergeCell ref="H15:I15"/>
    <mergeCell ref="H17:I17"/>
    <mergeCell ref="E13:F13"/>
    <mergeCell ref="B23:C23"/>
    <mergeCell ref="B25:C25"/>
    <mergeCell ref="E15:F15"/>
    <mergeCell ref="E17:F17"/>
    <mergeCell ref="H13:I13"/>
    <mergeCell ref="S21:U21"/>
    <mergeCell ref="S23:U23"/>
    <mergeCell ref="B11:C11"/>
    <mergeCell ref="E11:F11"/>
    <mergeCell ref="H23:I23"/>
    <mergeCell ref="H11:I11"/>
    <mergeCell ref="E19:F19"/>
    <mergeCell ref="E21:F21"/>
    <mergeCell ref="B21:C21"/>
    <mergeCell ref="E23:F23"/>
    <mergeCell ref="K21:M21"/>
    <mergeCell ref="K23:M23"/>
    <mergeCell ref="O25:Q25"/>
    <mergeCell ref="O21:Q21"/>
    <mergeCell ref="O23:Q23"/>
    <mergeCell ref="P15:R15"/>
    <mergeCell ref="M17:O17"/>
    <mergeCell ref="Q17:S17"/>
    <mergeCell ref="K19:M19"/>
    <mergeCell ref="O19:Q19"/>
    <mergeCell ref="S19:U19"/>
    <mergeCell ref="M9:O9"/>
    <mergeCell ref="Q9:S9"/>
    <mergeCell ref="K11:M11"/>
    <mergeCell ref="O11:Q11"/>
    <mergeCell ref="S11:U11"/>
    <mergeCell ref="M13:O13"/>
    <mergeCell ref="K8:L8"/>
    <mergeCell ref="K7:M7"/>
    <mergeCell ref="O7:Q7"/>
    <mergeCell ref="S7:U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230</vt:i4>
      </vt:variant>
    </vt:vector>
  </HeadingPairs>
  <TitlesOfParts>
    <vt:vector size="242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Touches Melees</vt:lpstr>
      <vt:lpstr>Popup touche</vt:lpstr>
      <vt:lpstr>Popup melee</vt:lpstr>
      <vt:lpstr>Popup penalite</vt:lpstr>
      <vt:lpstr>Feuil2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POPUP_TO_SAUTEUR</vt:lpstr>
      <vt:lpstr>POPUP_TO_VALIDER</vt:lpstr>
      <vt:lpstr>POPUP_TO_ZONE_SAUT</vt:lpstr>
      <vt:lpstr>POPUP_TO_ZONE_TERRAIN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2026-09-26T08:37:04Z</dcterms:modified>
</cp:coreProperties>
</file>