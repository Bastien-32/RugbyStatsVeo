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45EB8114-F348-BE46-91A6-CB45892099BA}" xr6:coauthVersionLast="47" xr6:coauthVersionMax="47" xr10:uidLastSave="{00000000-0000-0000-0000-000000000000}"/>
  <bookViews>
    <workbookView xWindow="8820" yWindow="14720" windowWidth="25740" windowHeight="7620" activeTab="3" xr2:uid="{24624F61-BF27-154E-B466-D46D35A5A73D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  <sheet name="Touches Melees" sheetId="18" r:id="rId9"/>
    <sheet name="Popup touche" sheetId="19" state="hidden" r:id="rId10"/>
    <sheet name="Popup melee" sheetId="20" state="hidden" r:id="rId11"/>
    <sheet name="Popup penalite" sheetId="21" state="hidden" r:id="rId12"/>
    <sheet name="Popup remplacement" sheetId="26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<sst xmlns="http://schemas.openxmlformats.org/spreadsheetml/2006/main" count="932" uniqueCount="652">
  <si>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</si>
  <si>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</si>
  <si>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</si>
  <si>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</si>
  <si>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</si>
  <si>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</si>
  <si>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</si>
  <si>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</si>
  <si>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</si>
  <si>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</si>
  <si>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</si>
  <si>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</si>
  <si>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</si>
  <si>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</si>
  <si>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</si>
  <si>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</si>
  <si>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</si>
  <si>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</si>
  <si>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</si>
  <si>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</si>
  <si>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</si>
  <si>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</si>
  <si>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</si>
  <si>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</si>
  <si>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</si>
  <si>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</si>
  <si>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</si>
  <si>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</si>
  <si>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</si>
  <si>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</si>
  <si>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</si>
  <si>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</si>
  <si>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</si>
  <si>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</si>
  <si>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</si>
  <si>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</si>
  <si>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</si>
  <si>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</si>
  <si>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</si>
  <si>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</si>
  <si>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</si>
  <si>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</si>
  <si>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</si>
  <si>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</si>
  <si>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</si>
  <si>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</si>
  <si>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</si>
  <si>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</si>
  <si>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</si>
  <si>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</si>
  <si>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</si>
  <si>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</si>
  <si>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</si>
  <si>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</si>
  <si>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</si>
  <si>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</si>
  <si>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</si>
  <si>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</si>
  <si>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</si>
  <si>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</si>
  <si>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</si>
  <si>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</si>
  <si>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</si>
  <si>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</si>
  <si>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</si>
  <si>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</si>
  <si>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</si>
  <si>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</si>
  <si>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</si>
  <si>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</si>
  <si>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</si>
  <si>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</si>
  <si>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</si>
  <si>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</si>
  <si>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</si>
  <si>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</si>
  <si>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</si>
  <si>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</si>
  <si>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</si>
  <si>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</si>
  <si>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</si>
  <si>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</si>
  <si>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</si>
  <si>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</si>
  <si>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</si>
  <si>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</si>
  <si>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</si>
  <si>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</si>
  <si>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</si>
  <si>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</si>
  <si>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</si>
  <si>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</si>
  <si>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</si>
  <si>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</si>
  <si>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</si>
  <si>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</si>
  <si>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</si>
  <si>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</si>
  <si>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</si>
  <si>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</si>
  <si>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</si>
  <si>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</si>
  <si>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</si>
  <si>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</si>
  <si>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</si>
  <si>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</si>
  <si>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</si>
  <si>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</si>
  <si>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</si>
  <si>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</si>
  <si>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</si>
  <si>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</si>
  <si>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</si>
  <si>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</si>
  <si>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</si>
  <si>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</si>
  <si>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</si>
  <si>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</si>
  <si>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</si>
  <si>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</si>
  <si>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</si>
  <si>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</si>
  <si>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</si>
  <si>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</si>
  <si>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</si>
  <si>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</si>
  <si>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</si>
  <si>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</si>
  <si>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</si>
  <si>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</si>
  <si>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</si>
  <si>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</si>
  <si>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</si>
  <si>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</si>
  <si>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</si>
  <si>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</si>
  <si>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</si>
  <si>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</si>
  <si>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</si>
  <si>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</si>
  <si>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</si>
  <si>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</si>
  <si>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</si>
  <si>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</si>
  <si>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</si>
  <si>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</si>
  <si>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</si>
  <si>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</si>
  <si>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</si>
  <si>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</si>
  <si>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</si>
  <si>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</si>
  <si>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</si>
  <si>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</si>
  <si>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</si>
  <si>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</si>
  <si>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</si>
  <si>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</si>
  <si>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</si>
  <si>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</si>
  <si>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</si>
  <si>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</si>
  <si>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</si>
  <si>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</si>
  <si>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</si>
  <si>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</si>
  <si>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</si>
  <si>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</si>
  <si>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</si>
  <si>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</si>
  <si>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</si>
  <si>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</si>
  <si>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</si>
  <si>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</si>
  <si>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</si>
  <si>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</si>
  <si>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</si>
  <si>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</si>
  <si>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</si>
  <si>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</si>
  <si>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</si>
  <si>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</si>
  <si>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</si>
  <si>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</si>
  <si>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</si>
  <si>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</si>
  <si>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</si>
  <si>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</si>
  <si>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</si>
  <si>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</si>
  <si>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</si>
  <si>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</si>
  <si>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</si>
  <si>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</si>
  <si>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</si>
  <si>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</si>
  <si>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</si>
  <si>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</si>
  <si>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</si>
  <si>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</si>
  <si>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</si>
  <si>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</si>
  <si>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</si>
  <si>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</si>
  <si>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</si>
  <si>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</si>
  <si>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</si>
  <si>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</si>
  <si>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</si>
  <si>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</si>
  <si>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</si>
  <si>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</si>
  <si>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</si>
  <si>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</si>
  <si>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</si>
  <si>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</si>
  <si>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</si>
  <si>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</si>
  <si>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</si>
  <si>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</si>
  <si>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</si>
  <si>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</si>
  <si>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</si>
  <si>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</si>
  <si>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</si>
  <si>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</si>
  <si>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</si>
  <si>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</si>
  <si>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</si>
  <si>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</si>
  <si>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</si>
  <si>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</si>
  <si>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</si>
  <si>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</si>
  <si>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</si>
  <si>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</si>
  <si>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</si>
  <si>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</si>
  <si>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</si>
  <si>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</si>
  <si>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</si>
  <si>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</si>
  <si>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</si>
  <si>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</si>
  <si>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</si>
  <si>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</si>
  <si>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</si>
  <si>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</si>
  <si>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</si>
  <si>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</si>
  <si>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</si>
  <si>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</si>
  <si>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</si>
  <si>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</si>
  <si>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</si>
  <si>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</si>
  <si>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</si>
  <si>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</si>
  <si>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</si>
  <si>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</si>
  <si>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</si>
  <si>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</si>
  <si>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</si>
  <si>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</si>
  <si>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</si>
  <si>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</si>
  <si>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</si>
  <si>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</si>
  <si>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</si>
  <si>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</si>
  <si>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</si>
  <si>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</si>
  <si>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</si>
  <si>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</si>
  <si>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</si>
  <si>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</si>
  <si>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</si>
  <si>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</si>
  <si>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</si>
  <si>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</si>
  <si>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</si>
  <si>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</si>
  <si>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</si>
  <si>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</si>
  <si>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</si>
  <si>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</si>
  <si>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</si>
  <si>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</si>
  <si>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</si>
  <si>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</si>
  <si>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</si>
  <si>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</si>
  <si>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</si>
  <si>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</si>
  <si>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</si>
  <si>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</si>
  <si>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</si>
  <si>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</si>
  <si>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</si>
  <si>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</si>
  <si>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</si>
  <si>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</si>
  <si>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</si>
  <si>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</si>
  <si>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</si>
  <si>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</si>
  <si>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</si>
  <si>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</si>
  <si>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</si>
  <si>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</si>
  <si>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</si>
  <si>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</si>
  <si>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</si>
  <si>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</si>
  <si>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</si>
  <si>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</si>
  <si>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</si>
  <si>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</si>
  <si>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</si>
  <si>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</si>
  <si>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</si>
  <si>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</si>
  <si>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</si>
  <si>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</si>
  <si>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</si>
  <si>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</si>
  <si>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</si>
  <si>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</si>
  <si>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</si>
  <si>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</si>
  <si>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</si>
  <si>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</si>
  <si>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</si>
  <si>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</si>
  <si>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</si>
  <si>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</si>
  <si>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</si>
  <si>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</si>
  <si>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</si>
  <si>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</si>
  <si>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</si>
  <si>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</si>
  <si>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</si>
  <si>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</si>
  <si>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</si>
  <si>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</si>
  <si>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</si>
  <si>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</si>
  <si>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</si>
  <si>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</si>
  <si>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</si>
  <si>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</si>
  <si>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</si>
  <si>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</si>
  <si>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</si>
  <si>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</si>
  <si>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</si>
  <si>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</si>
  <si>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</si>
  <si>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</si>
  <si>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</si>
  <si>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</si>
  <si>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</si>
  <si>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</si>
  <si>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</si>
  <si>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</si>
  <si>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</si>
  <si>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</si>
  <si>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</si>
  <si>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</si>
  <si>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</si>
  <si>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</si>
  <si>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</si>
  <si>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</si>
  <si>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</si>
  <si>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</si>
  <si>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</si>
  <si>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</si>
  <si>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</si>
  <si>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</si>
  <si>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</si>
  <si>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</si>
  <si>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</si>
  <si>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</si>
  <si>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</si>
  <si>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</si>
  <si>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</si>
  <si>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</si>
  <si>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</si>
  <si>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</si>
  <si>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</si>
  <si>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</si>
  <si>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</si>
  <si>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</si>
  <si>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</si>
  <si>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</si>
  <si>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</si>
  <si>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</si>
  <si>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</si>
  <si>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</si>
  <si>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</si>
  <si>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</si>
  <si>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</si>
  <si>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</si>
  <si>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</si>
  <si>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</si>
  <si>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</si>
  <si>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</si>
  <si>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</si>
  <si>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</si>
  <si>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</si>
  <si>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</si>
  <si>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</si>
  <si>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</si>
  <si>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</si>
  <si>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</si>
  <si>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</si>
  <si>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</si>
  <si>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</si>
  <si>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</si>
  <si>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</si>
  <si>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</si>
  <si>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</si>
  <si>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</si>
  <si>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</si>
  <si>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</si>
  <si>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</si>
  <si>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</si>
  <si>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</si>
  <si>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</si>
  <si>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</si>
  <si>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</si>
  <si>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</si>
  <si>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</si>
  <si>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</si>
  <si>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</si>
  <si>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</si>
  <si>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</si>
  <si>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</si>
  <si>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</si>
  <si>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</si>
  <si>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</si>
  <si>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</si>
  <si>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</si>
  <si>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</si>
  <si>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</si>
  <si>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</si>
  <si>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</si>
  <si>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</si>
  <si>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</si>
  <si>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</si>
  <si>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</si>
  <si>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</si>
  <si>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</si>
  <si>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</si>
  <si>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</si>
  <si>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</si>
  <si>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</si>
  <si>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</si>
  <si>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</si>
  <si>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</si>
  <si>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</si>
  <si>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</si>
  <si>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</si>
  <si>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</si>
  <si>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</si>
  <si>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</si>
  <si>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</si>
  <si>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</si>
  <si>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</si>
  <si>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</si>
  <si>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</si>
  <si>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</si>
  <si>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</si>
  <si>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</si>
  <si>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</si>
  <si>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</si>
  <si>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</si>
  <si>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</si>
  <si>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</si>
  <si>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</si>
  <si>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</si>
  <si>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</si>
  <si>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</si>
  <si>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</si>
  <si>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</si>
  <si>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</si>
  <si>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</si>
  <si>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</si>
  <si>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</si>
  <si>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</si>
  <si>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</si>
  <si>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</si>
  <si>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</si>
  <si>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</si>
  <si>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</si>
  <si>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</si>
  <si>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</si>
  <si>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</si>
  <si>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</si>
  <si>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</si>
  <si>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</si>
  <si>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</si>
  <si>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</si>
  <si>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</si>
  <si>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</si>
  <si>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</si>
  <si>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</si>
  <si>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</si>
  <si>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</si>
  <si>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</si>
  <si>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</si>
  <si>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</si>
  <si>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</si>
  <si>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</si>
  <si>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</si>
  <si>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</si>
  <si>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</si>
  <si>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</si>
  <si>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</si>
  <si>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</si>
  <si>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</si>
  <si>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</si>
  <si>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</si>
  <si>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</si>
  <si>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</si>
  <si>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</si>
  <si>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</si>
  <si>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</si>
  <si>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</si>
  <si>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</si>
  <si>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</si>
  <si>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</si>
  <si>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</si>
  <si>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Perdue</t>
  </si>
  <si>
    <t>Pas droites</t>
  </si>
  <si>
    <t>Melees</t>
  </si>
  <si>
    <t>PENALITE</t>
  </si>
  <si>
    <t>Contre</t>
  </si>
  <si>
    <t>VALIDER  (Entree)</t>
  </si>
  <si>
    <t>Plaquage sans ballon</t>
  </si>
  <si>
    <t>Plaquage à retardement</t>
  </si>
  <si>
    <t>Talonnage à la main</t>
  </si>
  <si>
    <t>Parle arbitre</t>
  </si>
  <si>
    <t>Brutalité</t>
  </si>
  <si>
    <t>Retard soutient</t>
  </si>
  <si>
    <t>Soutient va au-delà</t>
  </si>
  <si>
    <t>Soutient couché sur porteur</t>
  </si>
  <si>
    <t>4 appuis</t>
  </si>
  <si>
    <t>En-avant volontaire</t>
  </si>
  <si>
    <t>Plaqueur qui ne sort pas</t>
  </si>
  <si>
    <t>Hors-jeu - départ devant botteur</t>
  </si>
  <si>
    <t>Garde le ballon au sol</t>
  </si>
  <si>
    <t>Melee poussee avant introduction</t>
  </si>
  <si>
    <t>Maul écroulé</t>
  </si>
  <si>
    <t>Entrer sur le côté maul</t>
  </si>
  <si>
    <t>STYLE_BTN_JOUEUR_ACTIF</t>
  </si>
  <si>
    <t>STYLE_BTN_JOUEUR_INACTIF</t>
  </si>
  <si>
    <t>LOUREIRO LABAZUY Antonio</t>
  </si>
  <si>
    <r>
      <t xml:space="preserve">6
</t>
    </r>
    <r>
      <rPr>
        <sz val="9"/>
        <color rgb="FF000000"/>
        <rFont val="Arial"/>
        <family val="2"/>
      </rPr>
      <t>LOUREIRO LABAZUY</t>
    </r>
  </si>
  <si>
    <t>ABADIE Quentin</t>
  </si>
  <si>
    <r>
      <t xml:space="preserve">1
</t>
    </r>
    <r>
      <rPr>
        <sz val="9"/>
        <color rgb="FF000000"/>
        <rFont val="Arial"/>
        <family val="2"/>
      </rPr>
      <t>ABADIE</t>
    </r>
  </si>
  <si>
    <t>DALLA ROSA Jonah</t>
  </si>
  <si>
    <r>
      <t xml:space="preserve">2
</t>
    </r>
    <r>
      <rPr>
        <sz val="9"/>
        <color rgb="FF000000"/>
        <rFont val="Arial"/>
        <family val="2"/>
      </rPr>
      <t>DALLA ROSA</t>
    </r>
  </si>
  <si>
    <t>BAUP Bastien</t>
  </si>
  <si>
    <r>
      <t xml:space="preserve">3
</t>
    </r>
    <r>
      <rPr>
        <sz val="9"/>
        <color rgb="FF000000"/>
        <rFont val="Arial"/>
        <family val="2"/>
      </rPr>
      <t>BAUP</t>
    </r>
  </si>
  <si>
    <t>ABADIE Emeric</t>
  </si>
  <si>
    <r>
      <t xml:space="preserve">4
</t>
    </r>
    <r>
      <rPr>
        <sz val="9"/>
        <color rgb="FF000000"/>
        <rFont val="Arial"/>
        <family val="2"/>
      </rPr>
      <t>ABADIE</t>
    </r>
  </si>
  <si>
    <t>MICHELIN Paul</t>
  </si>
  <si>
    <r>
      <t xml:space="preserve">5
</t>
    </r>
    <r>
      <rPr>
        <sz val="9"/>
        <color rgb="FF000000"/>
        <rFont val="Arial"/>
        <family val="2"/>
      </rPr>
      <t>MICHELIN</t>
    </r>
  </si>
  <si>
    <t>BARATGIN Julian</t>
  </si>
  <si>
    <r>
      <t xml:space="preserve">7
</t>
    </r>
    <r>
      <rPr>
        <sz val="9"/>
        <color rgb="FF000000"/>
        <rFont val="Arial"/>
        <family val="2"/>
      </rPr>
      <t>BARATGIN</t>
    </r>
  </si>
  <si>
    <t>BAYLE Jean</t>
  </si>
  <si>
    <r>
      <t xml:space="preserve">8
</t>
    </r>
    <r>
      <rPr>
        <sz val="9"/>
        <color rgb="FF000000"/>
        <rFont val="Arial"/>
        <family val="2"/>
      </rPr>
      <t>BAYLE</t>
    </r>
  </si>
  <si>
    <t>MOUDENS Alexis</t>
  </si>
  <si>
    <r>
      <t xml:space="preserve">9
</t>
    </r>
    <r>
      <rPr>
        <sz val="9"/>
        <color rgb="FF000000"/>
        <rFont val="Arial"/>
        <family val="2"/>
      </rPr>
      <t>MOUDENS</t>
    </r>
  </si>
  <si>
    <t>COURREGES Romain</t>
  </si>
  <si>
    <r>
      <t xml:space="preserve">10
</t>
    </r>
    <r>
      <rPr>
        <sz val="9"/>
        <color rgb="FF000000"/>
        <rFont val="Arial"/>
        <family val="2"/>
      </rPr>
      <t>COURREGES</t>
    </r>
  </si>
  <si>
    <t>BOURREC Anthony</t>
  </si>
  <si>
    <r>
      <t xml:space="preserve">11
</t>
    </r>
    <r>
      <rPr>
        <sz val="9"/>
        <color rgb="FF000000"/>
        <rFont val="Arial"/>
        <family val="2"/>
      </rPr>
      <t>BOURREC</t>
    </r>
  </si>
  <si>
    <t>LAUDET Jean Baptiste</t>
  </si>
  <si>
    <r>
      <t xml:space="preserve">12
</t>
    </r>
    <r>
      <rPr>
        <sz val="9"/>
        <color rgb="FF000000"/>
        <rFont val="Arial"/>
        <family val="2"/>
      </rPr>
      <t>LAUDET</t>
    </r>
  </si>
  <si>
    <t>KAPFER Bastien</t>
  </si>
  <si>
    <r>
      <t xml:space="preserve">13
</t>
    </r>
    <r>
      <rPr>
        <sz val="9"/>
        <color rgb="FF000000"/>
        <rFont val="Arial"/>
        <family val="2"/>
      </rPr>
      <t>KAPFER</t>
    </r>
  </si>
  <si>
    <t>JOUNAUX Joris</t>
  </si>
  <si>
    <r>
      <t xml:space="preserve">14
</t>
    </r>
    <r>
      <rPr>
        <sz val="9"/>
        <color rgb="FF000000"/>
        <rFont val="Arial"/>
        <family val="2"/>
      </rPr>
      <t>JOUNAUX</t>
    </r>
  </si>
  <si>
    <t>SALLES Fabien</t>
  </si>
  <si>
    <r>
      <t xml:space="preserve">15
</t>
    </r>
    <r>
      <rPr>
        <sz val="9"/>
        <color rgb="FF000000"/>
        <rFont val="Arial"/>
        <family val="2"/>
      </rPr>
      <t>SALLES</t>
    </r>
  </si>
  <si>
    <t>RICHIARDONNE Gregory</t>
  </si>
  <si>
    <r>
      <t xml:space="preserve">16
</t>
    </r>
    <r>
      <rPr>
        <sz val="9"/>
        <color rgb="FF000000"/>
        <rFont val="Arial"/>
        <family val="2"/>
      </rPr>
      <t>RICHIARDONNE</t>
    </r>
  </si>
  <si>
    <t>ROBERT Jimmy</t>
  </si>
  <si>
    <r>
      <t xml:space="preserve">17
</t>
    </r>
    <r>
      <rPr>
        <sz val="9"/>
        <color rgb="FF000000"/>
        <rFont val="Arial"/>
        <family val="2"/>
      </rPr>
      <t>ROBERT</t>
    </r>
  </si>
  <si>
    <t>BIFFI Pierre</t>
  </si>
  <si>
    <r>
      <t xml:space="preserve">18
</t>
    </r>
    <r>
      <rPr>
        <sz val="9"/>
        <color rgb="FF000000"/>
        <rFont val="Arial"/>
        <family val="2"/>
      </rPr>
      <t>BIFFI</t>
    </r>
  </si>
  <si>
    <t>ROUSSEL Mathis</t>
  </si>
  <si>
    <r>
      <t xml:space="preserve">19
</t>
    </r>
    <r>
      <rPr>
        <sz val="9"/>
        <color rgb="FF000000"/>
        <rFont val="Arial"/>
        <family val="2"/>
      </rPr>
      <t>ROUSSEL</t>
    </r>
  </si>
  <si>
    <t>CESCA Sacha</t>
  </si>
  <si>
    <r>
      <t xml:space="preserve">20
</t>
    </r>
    <r>
      <rPr>
        <sz val="9"/>
        <color rgb="FF000000"/>
        <rFont val="Arial"/>
        <family val="2"/>
      </rPr>
      <t>CESCA</t>
    </r>
  </si>
  <si>
    <t>ABADIE Thomas</t>
  </si>
  <si>
    <r>
      <t xml:space="preserve">21
</t>
    </r>
    <r>
      <rPr>
        <sz val="9"/>
        <color rgb="FF000000"/>
        <rFont val="Arial"/>
        <family val="2"/>
      </rPr>
      <t>ABADIE</t>
    </r>
  </si>
  <si>
    <t>BAQUE Lucas</t>
  </si>
  <si>
    <r>
      <t xml:space="preserve">22
</t>
    </r>
    <r>
      <rPr>
        <sz val="9"/>
        <color rgb="FF000000"/>
        <rFont val="Arial"/>
        <family val="2"/>
      </rPr>
      <t>BAQUE</t>
    </r>
  </si>
  <si>
    <t>Remplacement</t>
  </si>
  <si>
    <t>REMPLACEMENT</t>
  </si>
  <si>
    <t>Minute de jeu</t>
  </si>
  <si>
    <t>Joueur sortant</t>
  </si>
  <si>
    <t>Joueur entrant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</si>
  <si>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</si>
  <si>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DALLA ROSA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</si>
  <si>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</si>
  <si>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4
</t>
    </r>
    <r>
      <rPr>
        <sz val="9"/>
        <color rgb="FF000000"/>
        <rFont val="Calibri"/>
        <family val="2"/>
      </rPr>
      <t>ABADIE</t>
    </r>
  </si>
  <si>
    <r>
      <t xml:space="preserve">5
</t>
    </r>
    <r>
      <rPr>
        <sz val="9"/>
        <color rgb="FF000000"/>
        <rFont val="Calibri"/>
        <family val="2"/>
      </rPr>
      <t>MICHELIN</t>
    </r>
  </si>
  <si>
    <r>
      <t xml:space="preserve">6
</t>
    </r>
    <r>
      <rPr>
        <sz val="9"/>
        <color rgb="FF000000"/>
        <rFont val="Calibri"/>
        <family val="2"/>
      </rPr>
      <t>LOUREIRO LABAZUY</t>
    </r>
  </si>
  <si>
    <r>
      <t xml:space="preserve">8
</t>
    </r>
    <r>
      <rPr>
        <sz val="9"/>
        <color rgb="FF000000"/>
        <rFont val="Calibri"/>
        <family val="2"/>
      </rPr>
      <t>BAYLE</t>
    </r>
  </si>
  <si>
    <r>
      <t xml:space="preserve">7
</t>
    </r>
    <r>
      <rPr>
        <sz val="9"/>
        <color rgb="FF000000"/>
        <rFont val="Calibri"/>
        <family val="2"/>
      </rPr>
      <t>BARATGIN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</si>
  <si>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</si>
  <si>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</si>
  <si>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</si>
  <si>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</si>
  <si>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</si>
  <si>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</si>
  <si>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</si>
  <si>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r>
      <t xml:space="preserve">16
</t>
    </r>
    <r>
      <rPr>
        <sz val="9"/>
        <color rgb="FF000000"/>
        <rFont val="Calibri"/>
        <family val="2"/>
      </rPr>
      <t>RICHIARDONNE</t>
    </r>
  </si>
  <si>
    <r>
      <t xml:space="preserve">17
</t>
    </r>
    <r>
      <rPr>
        <sz val="9"/>
        <color rgb="FF000000"/>
        <rFont val="Calibri"/>
        <family val="2"/>
      </rPr>
      <t>ROBERT</t>
    </r>
  </si>
  <si>
    <r>
      <t xml:space="preserve">18
</t>
    </r>
    <r>
      <rPr>
        <sz val="9"/>
        <color rgb="FF000000"/>
        <rFont val="Calibri"/>
        <family val="2"/>
      </rPr>
      <t>BIFFI</t>
    </r>
  </si>
  <si>
    <r>
      <t xml:space="preserve">19
</t>
    </r>
    <r>
      <rPr>
        <sz val="9"/>
        <color rgb="FF000000"/>
        <rFont val="Calibri"/>
        <family val="2"/>
      </rPr>
      <t>ROUSSEL</t>
    </r>
  </si>
  <si>
    <r>
      <t xml:space="preserve">20
</t>
    </r>
    <r>
      <rPr>
        <sz val="9"/>
        <color rgb="FF000000"/>
        <rFont val="Calibri"/>
        <family val="2"/>
      </rPr>
      <t>CESCA</t>
    </r>
  </si>
  <si>
    <r>
      <t xml:space="preserve">21
</t>
    </r>
    <r>
      <rPr>
        <sz val="9"/>
        <color rgb="FF000000"/>
        <rFont val="Calibri"/>
        <family val="2"/>
      </rPr>
      <t>ABADIE</t>
    </r>
  </si>
  <si>
    <r>
      <t xml:space="preserve">22
</t>
    </r>
    <r>
      <rPr>
        <sz val="9"/>
        <color rgb="FF000000"/>
        <rFont val="Calibri"/>
        <family val="2"/>
      </rPr>
      <t>BAQUE</t>
    </r>
  </si>
  <si>
    <t>Gagnée</t>
  </si>
  <si>
    <t>1 - ABADIE Quentin</t>
  </si>
  <si>
    <t>2 - DALLA ROSA Jonah</t>
  </si>
  <si>
    <t>3 - BAUP Bastien</t>
  </si>
  <si>
    <t>4 - ABADIE Emeric</t>
  </si>
  <si>
    <t>5 - MICHELIN Paul</t>
  </si>
  <si>
    <t>6 - LOUREIRO LABAZUY Antonio</t>
  </si>
  <si>
    <t>7 - BARATGIN Julian</t>
  </si>
  <si>
    <t>8 - BAYLE Jean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</si>
  <si>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</si>
  <si>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</si>
  <si>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</si>
  <si>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</si>
  <si>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</si>
  <si>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</si>
  <si>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</si>
  <si>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RICHIARDONNE Gregory</t>
  </si>
  <si>
    <t>17 - ROBERT Jimmy</t>
  </si>
  <si>
    <t>18 - BIFFI Pierre</t>
  </si>
  <si>
    <t>19 - ROUSSEL Mathis</t>
  </si>
  <si>
    <t>20 - CESCA Sacha</t>
  </si>
  <si>
    <t>21 - ABADIE Thomas</t>
  </si>
  <si>
    <t>22 - BAQUE Lucas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</si>
</sst>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FF0000"/>
      <name val="Arial"/>
      <family val="2"/>
    </font>
    <font>
      <sz val="9"/>
      <color rgb="FF000000"/>
      <name val="Arial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10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69696"/>
      </left>
      <right/>
      <top style="thin">
        <color rgb="FF969696"/>
      </top>
      <bottom style="thin">
        <color rgb="FF969696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rgb="FF969696"/>
      </top>
      <bottom style="thin">
        <color rgb="FF969696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7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44" fillId="0" borderId="0" xfId="0" applyFont="1"/>
    <xf numFmtId="16" fontId="0" fillId="0" borderId="0" xfId="0" applyNumberFormat="1"/>
    <xf numFmtId="0" fontId="45" fillId="16" borderId="0" xfId="0" applyFont="1" applyFill="1"/>
    <xf numFmtId="0" fontId="46" fillId="16" borderId="0" xfId="0" applyFont="1" applyFill="1"/>
    <xf numFmtId="0" fontId="47" fillId="16" borderId="0" xfId="0" applyFont="1" applyFill="1"/>
    <xf numFmtId="0" fontId="48" fillId="33" borderId="0" xfId="0" applyFont="1" applyFill="1" applyAlignment="1">
      <alignment horizontal="center"/>
    </xf>
    <xf numFmtId="0" fontId="46" fillId="16" borderId="102" xfId="0" applyFont="1" applyFill="1" applyBorder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20" fontId="48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21" xfId="0" applyFill="1" applyBorder="1"/>
    <xf numFmtId="0" fontId="26" fillId="24" borderId="10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8" fillId="16" borderId="0" xfId="0" applyFont="1" applyFill="1"/>
    <xf numFmtId="0" fontId="30" fillId="39" borderId="45" xfId="0" applyFont="1" applyFill="1" applyBorder="1" applyAlignment="1">
      <alignment horizontal="center" vertical="center"/>
    </xf>
    <xf numFmtId="0" fontId="30" fillId="40" borderId="45" xfId="0" applyFont="1" applyFill="1" applyBorder="1" applyAlignment="1">
      <alignment horizontal="center" vertical="center"/>
    </xf>
    <xf numFmtId="0" fontId="34" fillId="13" borderId="11" xfId="0" applyFont="1" applyFill="1" applyBorder="1" applyAlignment="1">
      <alignment horizontal="center" vertical="center"/>
    </xf>
    <xf numFmtId="0" fontId="51" fillId="32" borderId="45" xfId="0" applyFont="1" applyFill="1" applyBorder="1" applyAlignment="1">
      <alignment horizontal="center" vertical="center" wrapText="1"/>
    </xf>
    <xf numFmtId="0" fontId="49" fillId="16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48" fillId="16" borderId="102" xfId="0" applyFont="1" applyFill="1" applyBorder="1" applyAlignment="1">
      <alignment horizontal="center"/>
    </xf>
    <xf numFmtId="0" fontId="46" fillId="16" borderId="102" xfId="0" applyFont="1" applyFill="1" applyBorder="1" applyAlignment="1">
      <alignment horizontal="left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98" xfId="0" applyFont="1" applyFill="1" applyBorder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55" xfId="0" applyFont="1" applyFill="1" applyBorder="1" applyAlignment="1">
      <alignment horizontal="center" vertical="center" wrapText="1"/>
    </xf>
    <xf numFmtId="0" fontId="3" fillId="24" borderId="98" xfId="0" applyFont="1" applyFill="1" applyBorder="1" applyAlignment="1">
      <alignment horizontal="center" vertical="center" wrapText="1"/>
    </xf>
    <xf numFmtId="0" fontId="3" fillId="24" borderId="79" xfId="0" applyFont="1" applyFill="1" applyBorder="1" applyAlignment="1">
      <alignment horizontal="center" vertical="center" wrapText="1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  <xf numFmtId="0" fontId="50" fillId="14" borderId="102" xfId="0" applyFont="1" applyFill="1" applyBorder="1" applyAlignment="1">
      <alignment horizontal="center" vertical="center"/>
    </xf>
    <xf numFmtId="0" fontId="46" fillId="14" borderId="102" xfId="0" applyFont="1" applyFill="1" applyBorder="1" applyAlignment="1">
      <alignment horizontal="center" vertical="center"/>
    </xf>
    <xf numFmtId="0" fontId="53" fillId="37" borderId="104" xfId="0" applyFont="1" applyFill="1" applyBorder="1" applyAlignment="1">
      <alignment horizontal="center" vertical="center" wrapText="1"/>
    </xf>
    <xf numFmtId="0" fontId="46" fillId="37" borderId="106" xfId="0" applyFont="1" applyFill="1" applyBorder="1" applyAlignment="1">
      <alignment horizontal="center" vertical="center" wrapText="1"/>
    </xf>
    <xf numFmtId="0" fontId="46" fillId="37" borderId="105" xfId="0" applyFont="1" applyFill="1" applyBorder="1" applyAlignment="1">
      <alignment horizontal="center" vertical="center" wrapText="1"/>
    </xf>
    <xf numFmtId="20" fontId="48" fillId="33" borderId="0" xfId="0" applyNumberFormat="1" applyFont="1" applyFill="1" applyAlignment="1">
      <alignment horizontal="center"/>
    </xf>
    <xf numFmtId="0" fontId="48" fillId="33" borderId="0" xfId="0" applyFont="1" applyFill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166" fontId="0" fillId="0" borderId="0" xfId="0" applyNumberFormat="1"/>
    <xf numFmtId="167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8" dataDxfId="67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6"/>
    <tableColumn id="2" xr3:uid="{0C1B8A30-A3B8-DA4D-B893-C4C99FF33E90}" name="nom" dataDxfId="65"/>
    <tableColumn id="3" xr3:uid="{8AE5AF32-0026-9B41-8B0B-16B9ED0F3727}" name="prenom" dataDxfId="64"/>
    <tableColumn id="6" xr3:uid="{D5D3A7D0-7C7D-684B-8AA7-DABBCC7051CF}" name="1ère ligne" dataDxfId="63"/>
    <tableColumn id="4" xr3:uid="{4CE41A86-7158-6B42-B932-A5275F10AB48}" name="prenom NOM" dataDxfId="62">
      <calculatedColumnFormula>LstEffectif[[#This Row],[prenom]] &amp; " " &amp; LstEffectif[[#This Row],[nom]]</calculatedColumnFormula>
    </tableColumn>
    <tableColumn id="5" xr3:uid="{EB017694-E6D2-7440-91BF-61113926AB7D}" name="NOM Prénom" dataDxfId="6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0" dataDxfId="59">
  <autoFilter ref="J1:J11" xr:uid="{037D6424-D1EC-894D-B963-D36ABCA682C4}"/>
  <tableColumns count="1">
    <tableColumn id="1" xr3:uid="{63806632-B9ED-294D-800A-F2FDB2EC48D2}" name="EQUIPES_A_AFFRONTER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13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2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56" dataDxfId="54" headerRowBorderDxfId="55" tableBorderDxfId="53" totalsRowBorderDxfId="52">
  <autoFilter ref="Q1:R54" xr:uid="{6D1F5F0A-5FD5-AC4E-A195-33A78A5E0E58}"/>
  <tableColumns count="2">
    <tableColumn id="1" xr3:uid="{8A0D5429-5616-B849-BD27-167A576FE99E}" name="Nom de cellule à créer" dataDxfId="51"/>
    <tableColumn id="2" xr3:uid="{19545507-672A-9F40-8818-E4C9060AA52B}" name="Libellé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9" headerRowBorderDxfId="48" tableBorderDxfId="47" totalsRowBorderDxfId="4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5" headerRowBorderDxfId="44" tableBorderDxfId="43" totalsRowBorderDxfId="4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1" dataDxfId="40">
  <autoFilter ref="I14:I20" xr:uid="{CC940AF9-E81A-F746-8EAD-392809C3CFBE}"/>
  <tableColumns count="1">
    <tableColumn id="1" xr3:uid="{816CA1DF-3681-2948-A622-26353E2B9A97}" name="LISTE_LECTEUR_VIDEO" dataDxfId="3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8" dataDxfId="37">
  <autoFilter ref="C1:C4" xr:uid="{61FC7709-08E5-D048-A38B-441B18CF5D35}"/>
  <tableColumns count="1">
    <tableColumn id="1" xr3:uid="{C41B523D-40DA-AF48-A2C2-015B04960B0A}" name="LIEU_MATCH" dataDxfId="3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5" dataDxfId="34">
  <autoFilter ref="C6:C10" xr:uid="{86EA01CF-5567-6445-9906-AD2B60CA0A8A}"/>
  <tableColumns count="1">
    <tableColumn id="1" xr3:uid="{B57F8324-6F25-7B40-9B20-1BFDF9708631}" name="PHASE" dataDxfId="3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2" dataDxfId="31">
  <autoFilter ref="C12:C15" xr:uid="{DAA9B017-78F0-D447-B788-CF8333AEAC38}"/>
  <tableColumns count="1">
    <tableColumn id="1" xr3:uid="{C5E86C3D-762A-054E-B864-5A67DBB9A8CA}" name="RESULTAT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9" dataDxfId="28">
  <autoFilter ref="C17:C21" xr:uid="{F661D9E2-619C-DA44-92C5-8A09E8E281AC}"/>
  <tableColumns count="1">
    <tableColumn id="1" xr3:uid="{ADD3AF05-089E-D149-9728-7C2A6F62FA22}" name="EQUIPE_NIV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6" dataDxfId="24" headerRowBorderDxfId="25" tableBorderDxfId="23" totalsRowBorderDxfId="22">
  <autoFilter ref="K1:K25" xr:uid="{391966D0-8F83-3948-82BB-835638F7D3FE}"/>
  <tableColumns count="1">
    <tableColumn id="1" xr3:uid="{F45BF991-6668-F741-B07C-7905B99AC752}" name="LISTE_JOUEURS_JOURNAL" dataDxfId="2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2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19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18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17"/>
    <tableColumn id="8" xr3:uid="{D9175B18-6528-4648-B15C-FF2CC25EEBE4}" name="Jeu 3/4" dataDxfId="16"/>
    <tableColumn id="9" xr3:uid="{CAE0CE17-6518-8346-8125-3B7CA02D88C1}" name="Jeu pied" dataDxfId="15"/>
    <tableColumn id="10" xr3:uid="{9D4C3BED-381E-2945-8DDD-9AF72C0A70C5}" name="Observation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99" t="s">
        <v>121</v>
      </c>
      <c r="C1" s="199" t="s">
        <v>122</v>
      </c>
      <c r="D1" s="199" t="s">
        <v>464</v>
      </c>
      <c r="E1" s="199" t="s">
        <v>123</v>
      </c>
      <c r="F1" s="199" t="s">
        <v>163</v>
      </c>
      <c r="J1" t="s">
        <v>442</v>
      </c>
    </row>
    <row r="2" spans="1:10" ht="14">
      <c r="A2">
        <v>1</v>
      </c>
      <c r="B2" s="149" t="s">
        <v>324</v>
      </c>
      <c r="C2" s="149" t="s">
        <v>325</v>
      </c>
      <c r="D2" s="14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49" t="s">
        <v>324</v>
      </c>
      <c r="C3" s="149" t="s">
        <v>326</v>
      </c>
      <c r="D3" s="149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49" t="s">
        <v>324</v>
      </c>
      <c r="C4" s="149" t="s">
        <v>124</v>
      </c>
      <c r="D4" s="14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49" t="s">
        <v>327</v>
      </c>
      <c r="C5" s="149" t="s">
        <v>328</v>
      </c>
      <c r="D5" s="14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49" t="s">
        <v>329</v>
      </c>
      <c r="C6" s="149" t="s">
        <v>330</v>
      </c>
      <c r="D6" s="14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49" t="s">
        <v>329</v>
      </c>
      <c r="C7" s="149" t="s">
        <v>469</v>
      </c>
      <c r="D7" s="149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49" t="s">
        <v>331</v>
      </c>
      <c r="C8" s="149" t="s">
        <v>332</v>
      </c>
      <c r="D8" s="14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39" t="s">
        <v>439</v>
      </c>
    </row>
    <row r="9" spans="1:10" ht="14">
      <c r="A9">
        <v>7</v>
      </c>
      <c r="B9" s="149" t="s">
        <v>333</v>
      </c>
      <c r="C9" s="149" t="s">
        <v>334</v>
      </c>
      <c r="D9" s="14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49" t="s">
        <v>335</v>
      </c>
      <c r="C10" s="149" t="s">
        <v>336</v>
      </c>
      <c r="D10" s="14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49" t="s">
        <v>337</v>
      </c>
      <c r="C11" s="149" t="s">
        <v>338</v>
      </c>
      <c r="D11" s="14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49" t="s">
        <v>339</v>
      </c>
      <c r="C12" s="149" t="s">
        <v>340</v>
      </c>
      <c r="D12" s="149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49" t="s">
        <v>341</v>
      </c>
      <c r="C13" s="149" t="s">
        <v>342</v>
      </c>
      <c r="D13" s="14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49" t="s">
        <v>343</v>
      </c>
      <c r="C14" s="149" t="s">
        <v>344</v>
      </c>
      <c r="D14" s="14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49" t="s">
        <v>345</v>
      </c>
      <c r="C15" s="149" t="s">
        <v>346</v>
      </c>
      <c r="D15" s="149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49" t="s">
        <v>347</v>
      </c>
      <c r="C16" s="149" t="s">
        <v>348</v>
      </c>
      <c r="D16" s="149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49" t="s">
        <v>349</v>
      </c>
      <c r="C17" s="149" t="s">
        <v>350</v>
      </c>
      <c r="D17" s="149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49" t="s">
        <v>349</v>
      </c>
      <c r="C18" s="149" t="s">
        <v>351</v>
      </c>
      <c r="D18" s="149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49" t="s">
        <v>352</v>
      </c>
      <c r="C19" s="149" t="s">
        <v>353</v>
      </c>
      <c r="D19" s="149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49" t="s">
        <v>354</v>
      </c>
      <c r="C20" s="149" t="s">
        <v>355</v>
      </c>
      <c r="D20" s="149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49" t="s">
        <v>356</v>
      </c>
      <c r="C21" s="149" t="s">
        <v>355</v>
      </c>
      <c r="D21" s="149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49" t="s">
        <v>357</v>
      </c>
      <c r="C22" s="149" t="s">
        <v>358</v>
      </c>
      <c r="D22" s="149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49" t="s">
        <v>359</v>
      </c>
      <c r="C23" s="149" t="s">
        <v>360</v>
      </c>
      <c r="D23" s="149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49" t="s">
        <v>361</v>
      </c>
      <c r="C24" s="149" t="s">
        <v>362</v>
      </c>
      <c r="D24" s="149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49" t="s">
        <v>361</v>
      </c>
      <c r="C25" s="149" t="s">
        <v>363</v>
      </c>
      <c r="D25" s="149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49" t="s">
        <v>364</v>
      </c>
      <c r="C26" s="149" t="s">
        <v>365</v>
      </c>
      <c r="D26" s="149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49" t="s">
        <v>366</v>
      </c>
      <c r="C27" s="149" t="s">
        <v>355</v>
      </c>
      <c r="D27" s="149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49" t="s">
        <v>367</v>
      </c>
      <c r="C28" s="149" t="s">
        <v>368</v>
      </c>
      <c r="D28" s="149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49" t="s">
        <v>369</v>
      </c>
      <c r="C29" s="149" t="s">
        <v>124</v>
      </c>
      <c r="D29" s="149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49" t="s">
        <v>370</v>
      </c>
      <c r="C30" s="149" t="s">
        <v>371</v>
      </c>
      <c r="D30" s="149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49" t="s">
        <v>372</v>
      </c>
      <c r="C31" s="149" t="s">
        <v>373</v>
      </c>
      <c r="D31" s="149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49" t="s">
        <v>374</v>
      </c>
      <c r="C32" s="149" t="s">
        <v>375</v>
      </c>
      <c r="D32" s="149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49" t="s">
        <v>376</v>
      </c>
      <c r="C33" s="149" t="s">
        <v>338</v>
      </c>
      <c r="D33" s="149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49" t="s">
        <v>377</v>
      </c>
      <c r="C34" s="149" t="s">
        <v>322</v>
      </c>
      <c r="D34" s="149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49" t="s">
        <v>378</v>
      </c>
      <c r="C35" s="149" t="s">
        <v>379</v>
      </c>
      <c r="D35" s="149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49" t="s">
        <v>380</v>
      </c>
      <c r="C36" s="149" t="s">
        <v>381</v>
      </c>
      <c r="D36" s="149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49" t="s">
        <v>380</v>
      </c>
      <c r="C37" s="149" t="s">
        <v>382</v>
      </c>
      <c r="D37" s="149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49" t="s">
        <v>383</v>
      </c>
      <c r="C38" s="149" t="s">
        <v>340</v>
      </c>
      <c r="D38" s="149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49" t="s">
        <v>384</v>
      </c>
      <c r="C39" s="149" t="s">
        <v>353</v>
      </c>
      <c r="D39" s="149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49" t="s">
        <v>385</v>
      </c>
      <c r="C40" s="149" t="s">
        <v>386</v>
      </c>
      <c r="D40" s="149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49" t="s">
        <v>387</v>
      </c>
      <c r="C41" s="149" t="s">
        <v>330</v>
      </c>
      <c r="D41" s="149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49" t="s">
        <v>388</v>
      </c>
      <c r="C42" s="149" t="s">
        <v>389</v>
      </c>
      <c r="D42" s="149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49" t="s">
        <v>390</v>
      </c>
      <c r="C43" s="149" t="s">
        <v>348</v>
      </c>
      <c r="D43" s="149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49" t="s">
        <v>391</v>
      </c>
      <c r="C44" s="149" t="s">
        <v>392</v>
      </c>
      <c r="D44" s="149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49" t="s">
        <v>393</v>
      </c>
      <c r="C45" s="149" t="s">
        <v>394</v>
      </c>
      <c r="D45" s="149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49" t="s">
        <v>395</v>
      </c>
      <c r="C46" s="149" t="s">
        <v>396</v>
      </c>
      <c r="D46" s="149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49" t="s">
        <v>397</v>
      </c>
      <c r="C47" s="149" t="s">
        <v>398</v>
      </c>
      <c r="D47" s="149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49" t="s">
        <v>399</v>
      </c>
      <c r="C48" s="149" t="s">
        <v>400</v>
      </c>
      <c r="D48" s="149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49" t="s">
        <v>399</v>
      </c>
      <c r="C49" s="149" t="s">
        <v>401</v>
      </c>
      <c r="D49" s="149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49" t="s">
        <v>402</v>
      </c>
      <c r="C50" s="149" t="s">
        <v>403</v>
      </c>
      <c r="D50" s="149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49" t="s">
        <v>404</v>
      </c>
      <c r="C51" s="149" t="s">
        <v>405</v>
      </c>
      <c r="D51" s="149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49" t="s">
        <v>406</v>
      </c>
      <c r="C52" s="149" t="s">
        <v>379</v>
      </c>
      <c r="D52" s="149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49" t="s">
        <v>407</v>
      </c>
      <c r="C53" s="149" t="s">
        <v>408</v>
      </c>
      <c r="D53" s="149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49" t="s">
        <v>409</v>
      </c>
      <c r="C54" s="149" t="s">
        <v>353</v>
      </c>
      <c r="D54" s="149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49" t="s">
        <v>410</v>
      </c>
      <c r="C55" s="149" t="s">
        <v>323</v>
      </c>
      <c r="D55" s="149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49" t="s">
        <v>411</v>
      </c>
      <c r="C56" s="149" t="s">
        <v>412</v>
      </c>
      <c r="D56" s="149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49" t="s">
        <v>413</v>
      </c>
      <c r="C57" s="149" t="s">
        <v>290</v>
      </c>
      <c r="D57" s="149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49" t="s">
        <v>414</v>
      </c>
      <c r="C58" s="149" t="s">
        <v>415</v>
      </c>
      <c r="D58" s="149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49" t="s">
        <v>416</v>
      </c>
      <c r="C59" s="149" t="s">
        <v>417</v>
      </c>
      <c r="D59" s="149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49" t="s">
        <v>418</v>
      </c>
      <c r="C60" s="149" t="s">
        <v>419</v>
      </c>
      <c r="D60" s="149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49" t="s">
        <v>418</v>
      </c>
      <c r="C61" s="149" t="s">
        <v>351</v>
      </c>
      <c r="D61" s="149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49" t="s">
        <v>420</v>
      </c>
      <c r="C62" s="149" t="s">
        <v>421</v>
      </c>
      <c r="D62" s="149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49" t="s">
        <v>422</v>
      </c>
      <c r="C63" s="149" t="s">
        <v>326</v>
      </c>
      <c r="D63" s="149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49" t="s">
        <v>423</v>
      </c>
      <c r="C64" s="149" t="s">
        <v>424</v>
      </c>
      <c r="D64" s="149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49" t="s">
        <v>425</v>
      </c>
      <c r="C65" s="149" t="s">
        <v>426</v>
      </c>
      <c r="D65" s="149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49" t="s">
        <v>427</v>
      </c>
      <c r="C66" s="149" t="s">
        <v>351</v>
      </c>
      <c r="D66" s="149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49" t="s">
        <v>428</v>
      </c>
      <c r="C67" s="149" t="s">
        <v>429</v>
      </c>
      <c r="D67" s="149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49" t="s">
        <v>430</v>
      </c>
      <c r="C68" s="149" t="s">
        <v>338</v>
      </c>
      <c r="D68" s="149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49" t="s">
        <v>431</v>
      </c>
      <c r="C69" s="149" t="s">
        <v>432</v>
      </c>
      <c r="D69" s="149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49" t="s">
        <v>383</v>
      </c>
      <c r="C70" s="149" t="s">
        <v>358</v>
      </c>
      <c r="D70" s="149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OX137"/>
  <sheetViews>
    <sheetView workbookViewId="0"/>
  </sheetViews>
  <sheetFormatPr baseColWidth="10" defaultRowHeight="13"/>
  <cols>
    <col min="1" max="1" width="8.33203125" style="90" bestFit="1" customWidth="1"/>
    <col min="2" max="2" width="17.83203125" customWidth="1"/>
    <col min="3" max="3" width="24.83203125" customWidth="1"/>
    <col min="4" max="4" width="14.1640625" style="90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4" style="25" bestFit="1" customWidth="1"/>
    <col min="10" max="23" width="10.83203125" style="25"/>
    <col min="24" max="24" width="0" style="25" hidden="1" customWidth="1"/>
    <col min="25" max="414" width="10.83203125" style="25"/>
  </cols>
  <sheetData>
    <row r="1" spans="1:24" s="25" customFormat="1" ht="14" thickBot="1">
      <c r="A1" s="90"/>
      <c r="D1" s="90"/>
      <c r="X1" s="25" t="s">
        <v>566</v>
      </c>
    </row>
    <row r="2" spans="1:24" ht="19" customHeight="1">
      <c r="B2" s="234" t="s">
        <v>254</v>
      </c>
      <c r="C2" s="234"/>
      <c r="E2" s="235" t="s">
        <v>255</v>
      </c>
      <c r="F2" s="236"/>
      <c r="G2" s="236"/>
      <c r="H2" s="237"/>
      <c r="X2" s="25" t="s">
        <v>560</v>
      </c>
    </row>
    <row r="3" spans="1:24" ht="19" customHeight="1">
      <c r="B3" s="234"/>
      <c r="C3" s="234"/>
      <c r="E3" s="238"/>
      <c r="F3" s="239"/>
      <c r="G3" s="239"/>
      <c r="H3" s="240"/>
      <c r="X3" s="25" t="s">
        <v>598</v>
      </c>
    </row>
    <row r="4" spans="1:24" ht="19" customHeight="1" thickBot="1">
      <c r="B4" s="234"/>
      <c r="C4" s="234"/>
      <c r="E4" s="241"/>
      <c r="F4" s="242"/>
      <c r="G4" s="242"/>
      <c r="H4" s="243"/>
      <c r="X4" s="25" t="s">
        <v>600</v>
      </c>
    </row>
    <row r="5" spans="1:24" s="25" customFormat="1">
      <c r="A5" s="90"/>
      <c r="D5" s="90"/>
      <c r="X5" s="25" t="s">
        <v>570</v>
      </c>
    </row>
    <row r="6" spans="1:24">
      <c r="B6" s="69" t="s">
        <v>234</v>
      </c>
      <c r="C6" s="70" t="s">
        <v>444</v>
      </c>
      <c r="E6" t="s">
        <v>118</v>
      </c>
      <c r="F6" t="s">
        <v>119</v>
      </c>
      <c r="G6" t="s">
        <v>202</v>
      </c>
      <c r="H6" t="s">
        <v>201</v>
      </c>
      <c r="X6" s="25" t="s">
        <v>564</v>
      </c>
    </row>
    <row r="7" spans="1:24">
      <c r="B7" s="25"/>
      <c r="C7" s="25"/>
      <c r="E7">
        <v>1</v>
      </c>
      <c r="F7" t="s">
        <v>560</v>
      </c>
      <c r="G7" t="s">
        <v>204</v>
      </c>
      <c r="X7" s="25" t="s">
        <v>572</v>
      </c>
    </row>
    <row r="8" spans="1:24">
      <c r="B8" s="69" t="s">
        <v>263</v>
      </c>
      <c r="C8" s="70">
        <v>46285</v>
      </c>
      <c r="E8">
        <v>2</v>
      </c>
      <c r="F8" t="s">
        <v>562</v>
      </c>
      <c r="G8" t="s">
        <v>204</v>
      </c>
      <c r="X8" s="25" t="s">
        <v>592</v>
      </c>
    </row>
    <row r="9" spans="1:24">
      <c r="B9" s="25"/>
      <c r="C9" s="25"/>
      <c r="E9">
        <v>3</v>
      </c>
      <c r="F9" t="s">
        <v>564</v>
      </c>
      <c r="G9" t="s">
        <v>204</v>
      </c>
      <c r="X9" s="25" t="s">
        <v>578</v>
      </c>
    </row>
    <row r="10" spans="1:24">
      <c r="B10" s="69" t="s">
        <v>235</v>
      </c>
      <c r="C10" s="70" t="s">
        <v>439</v>
      </c>
      <c r="E10">
        <v>4</v>
      </c>
      <c r="F10" t="s">
        <v>566</v>
      </c>
      <c r="G10" t="s">
        <v>204</v>
      </c>
      <c r="X10" s="25" t="s">
        <v>596</v>
      </c>
    </row>
    <row r="11" spans="1:24">
      <c r="B11" s="25"/>
      <c r="C11" s="25"/>
      <c r="E11">
        <v>5</v>
      </c>
      <c r="F11" t="s">
        <v>568</v>
      </c>
      <c r="G11" t="s">
        <v>204</v>
      </c>
      <c r="X11" s="25" t="s">
        <v>576</v>
      </c>
    </row>
    <row r="12" spans="1:24">
      <c r="B12" s="69" t="s">
        <v>262</v>
      </c>
      <c r="C12" s="70" t="s">
        <v>231</v>
      </c>
      <c r="E12">
        <v>6</v>
      </c>
      <c r="F12" t="s">
        <v>558</v>
      </c>
      <c r="G12" t="s">
        <v>204</v>
      </c>
      <c r="X12" s="25" t="s">
        <v>562</v>
      </c>
    </row>
    <row r="13" spans="1:24">
      <c r="B13" s="25"/>
      <c r="C13" s="25"/>
      <c r="E13">
        <v>7</v>
      </c>
      <c r="F13" t="s">
        <v>570</v>
      </c>
      <c r="G13" t="s">
        <v>204</v>
      </c>
      <c r="X13" s="25" t="s">
        <v>584</v>
      </c>
    </row>
    <row r="14" spans="1:24">
      <c r="B14" s="69" t="s">
        <v>236</v>
      </c>
      <c r="C14" s="70" t="s">
        <v>232</v>
      </c>
      <c r="E14">
        <v>8</v>
      </c>
      <c r="F14" t="s">
        <v>572</v>
      </c>
      <c r="G14" t="s">
        <v>204</v>
      </c>
      <c r="X14" s="25" t="s">
        <v>582</v>
      </c>
    </row>
    <row r="15" spans="1:24">
      <c r="B15" s="25"/>
      <c r="C15" s="91"/>
      <c r="E15" s="62">
        <v>9</v>
      </c>
      <c r="F15" s="62" t="s">
        <v>574</v>
      </c>
      <c r="G15" s="62" t="s">
        <v>222</v>
      </c>
      <c r="H15" s="62"/>
      <c r="X15" s="25" t="s">
        <v>580</v>
      </c>
    </row>
    <row r="16" spans="1:24">
      <c r="B16" s="69" t="s">
        <v>237</v>
      </c>
      <c r="C16" s="71">
        <v>1</v>
      </c>
      <c r="E16">
        <v>10</v>
      </c>
      <c r="F16" t="s">
        <v>576</v>
      </c>
      <c r="G16" t="s">
        <v>222</v>
      </c>
      <c r="X16" s="25" t="s">
        <v>558</v>
      </c>
    </row>
    <row r="17" spans="1:24">
      <c r="B17" s="25"/>
      <c r="C17" s="25"/>
      <c r="E17">
        <v>11</v>
      </c>
      <c r="F17" t="s">
        <v>578</v>
      </c>
      <c r="G17" t="s">
        <v>222</v>
      </c>
      <c r="X17" s="25" t="s">
        <v>568</v>
      </c>
    </row>
    <row r="18" spans="1:24">
      <c r="B18" s="69" t="s">
        <v>238</v>
      </c>
      <c r="C18" s="70" t="s">
        <v>247</v>
      </c>
      <c r="E18">
        <v>12</v>
      </c>
      <c r="F18" t="s">
        <v>580</v>
      </c>
      <c r="G18" t="s">
        <v>222</v>
      </c>
      <c r="X18" s="25" t="s">
        <v>574</v>
      </c>
    </row>
    <row r="19" spans="1:24">
      <c r="B19" s="25"/>
      <c r="C19" s="91"/>
      <c r="E19">
        <v>13</v>
      </c>
      <c r="F19" t="s">
        <v>582</v>
      </c>
      <c r="G19" t="s">
        <v>222</v>
      </c>
      <c r="X19" s="25" t="s">
        <v>588</v>
      </c>
    </row>
    <row r="20" spans="1:24">
      <c r="B20" s="69" t="s">
        <v>261</v>
      </c>
      <c r="C20" s="70" t="s">
        <v>258</v>
      </c>
      <c r="E20">
        <v>14</v>
      </c>
      <c r="F20" t="s">
        <v>584</v>
      </c>
      <c r="G20" t="s">
        <v>222</v>
      </c>
      <c r="X20" s="25" t="s">
        <v>590</v>
      </c>
    </row>
    <row r="21" spans="1:24">
      <c r="B21" s="25"/>
      <c r="C21" s="25"/>
      <c r="E21" s="57">
        <v>15</v>
      </c>
      <c r="F21" s="57" t="s">
        <v>586</v>
      </c>
      <c r="G21" s="57" t="s">
        <v>222</v>
      </c>
      <c r="H21" s="57"/>
      <c r="X21" s="25" t="s">
        <v>594</v>
      </c>
    </row>
    <row r="22" spans="1:24">
      <c r="B22" s="25"/>
      <c r="C22" s="25"/>
      <c r="E22">
        <v>16</v>
      </c>
      <c r="F22" t="s">
        <v>588</v>
      </c>
      <c r="G22" t="s">
        <v>204</v>
      </c>
      <c r="X22" s="25" t="s">
        <v>586</v>
      </c>
    </row>
    <row r="23" spans="1:24">
      <c r="B23" s="25"/>
      <c r="C23" s="25"/>
      <c r="E23">
        <v>17</v>
      </c>
      <c r="F23" t="s">
        <v>590</v>
      </c>
      <c r="G23" t="s">
        <v>204</v>
      </c>
      <c r="X23" s="25" t="s">
        <v>92</v>
      </c>
    </row>
    <row r="24" spans="1:24">
      <c r="B24" s="25"/>
      <c r="C24" s="25"/>
      <c r="E24">
        <v>18</v>
      </c>
      <c r="F24" t="s">
        <v>592</v>
      </c>
      <c r="G24" t="s">
        <v>204</v>
      </c>
      <c r="X24" s="25" t="s">
        <v>82</v>
      </c>
    </row>
    <row r="25" spans="1:24">
      <c r="B25" s="25"/>
      <c r="C25" s="25"/>
      <c r="E25">
        <v>19</v>
      </c>
      <c r="F25" t="s">
        <v>594</v>
      </c>
      <c r="G25" t="s">
        <v>204</v>
      </c>
    </row>
    <row r="26" spans="1:24">
      <c r="B26" s="25"/>
      <c r="C26" s="25"/>
      <c r="E26">
        <v>20</v>
      </c>
      <c r="F26" t="s">
        <v>596</v>
      </c>
      <c r="G26" t="s">
        <v>222</v>
      </c>
    </row>
    <row r="27" spans="1:24">
      <c r="B27" s="25"/>
      <c r="C27" s="25"/>
      <c r="E27">
        <v>21</v>
      </c>
      <c r="F27" t="s">
        <v>598</v>
      </c>
      <c r="G27" t="s">
        <v>222</v>
      </c>
    </row>
    <row r="28" spans="1:24">
      <c r="B28" s="25"/>
      <c r="C28" s="25"/>
      <c r="E28">
        <v>22</v>
      </c>
      <c r="F28" t="s">
        <v>600</v>
      </c>
      <c r="G28" t="s">
        <v>222</v>
      </c>
    </row>
    <row r="29" spans="1:24" s="25" customFormat="1" hidden="1">
      <c r="A29" s="90"/>
      <c r="D29" s="90"/>
    </row>
    <row r="30" spans="1:24" s="25" customFormat="1">
      <c r="A30" s="90"/>
      <c r="D30" s="90"/>
    </row>
    <row r="31" spans="1:24" s="25" customFormat="1">
      <c r="A31" s="90"/>
      <c r="D31" s="90"/>
    </row>
    <row r="32" spans="1:24" s="25" customFormat="1">
      <c r="A32" s="90"/>
      <c r="D32" s="90"/>
    </row>
    <row r="33" spans="1:6" s="25" customFormat="1">
      <c r="A33" s="90"/>
      <c r="D33" s="90"/>
    </row>
    <row r="34" spans="1:6" s="25" customFormat="1">
      <c r="A34" s="90"/>
      <c r="D34" s="90"/>
      <c r="F34" s="200"/>
    </row>
    <row r="35" spans="1:6" s="25" customFormat="1">
      <c r="A35" s="90"/>
      <c r="D35" s="90"/>
    </row>
    <row r="36" spans="1:6" s="25" customFormat="1">
      <c r="A36" s="90"/>
      <c r="D36" s="90"/>
      <c r="F36" s="25" t="s">
        <v>117</v>
      </c>
    </row>
    <row r="37" spans="1:6" s="25" customFormat="1">
      <c r="A37" s="90"/>
      <c r="D37" s="90"/>
    </row>
    <row r="38" spans="1:6" s="25" customFormat="1">
      <c r="A38" s="90"/>
      <c r="D38" s="90"/>
    </row>
    <row r="39" spans="1:6" s="25" customFormat="1">
      <c r="A39" s="90"/>
      <c r="D39" s="90"/>
    </row>
    <row r="40" spans="1:6" s="25" customFormat="1">
      <c r="A40" s="90"/>
      <c r="D40" s="90"/>
    </row>
    <row r="41" spans="1:6" s="25" customFormat="1">
      <c r="A41" s="90"/>
      <c r="D41" s="90"/>
    </row>
    <row r="42" spans="1:6" s="25" customFormat="1">
      <c r="A42" s="90"/>
      <c r="D42" s="90"/>
    </row>
    <row r="43" spans="1:6" s="25" customFormat="1">
      <c r="A43" s="90"/>
      <c r="D43" s="90"/>
    </row>
    <row r="44" spans="1:6" s="25" customFormat="1">
      <c r="A44" s="90"/>
      <c r="D44" s="90"/>
    </row>
    <row r="45" spans="1:6" s="25" customFormat="1">
      <c r="A45" s="90"/>
      <c r="D45" s="90"/>
    </row>
    <row r="46" spans="1:6" s="25" customFormat="1">
      <c r="A46" s="90"/>
      <c r="D46" s="90"/>
    </row>
    <row r="47" spans="1:6" s="25" customFormat="1">
      <c r="A47" s="90"/>
      <c r="D47" s="90"/>
    </row>
    <row r="48" spans="1:6" s="25" customFormat="1">
      <c r="A48" s="90"/>
      <c r="D48" s="90"/>
    </row>
    <row r="49" spans="1:4" s="25" customFormat="1">
      <c r="A49" s="90"/>
      <c r="D49" s="90"/>
    </row>
    <row r="50" spans="1:4" s="25" customFormat="1">
      <c r="A50" s="90"/>
      <c r="D50" s="90"/>
    </row>
    <row r="51" spans="1:4" s="25" customFormat="1">
      <c r="A51" s="90"/>
      <c r="D51" s="90"/>
    </row>
    <row r="52" spans="1:4" s="25" customFormat="1">
      <c r="A52" s="90"/>
      <c r="D52" s="90"/>
    </row>
    <row r="53" spans="1:4" s="25" customFormat="1">
      <c r="A53" s="90"/>
      <c r="D53" s="90"/>
    </row>
    <row r="54" spans="1:4" s="25" customFormat="1">
      <c r="A54" s="90"/>
      <c r="D54" s="90"/>
    </row>
    <row r="55" spans="1:4" s="25" customFormat="1">
      <c r="A55" s="90"/>
      <c r="D55" s="90"/>
    </row>
    <row r="56" spans="1:4" s="25" customFormat="1">
      <c r="A56" s="90"/>
      <c r="D56" s="90"/>
    </row>
    <row r="57" spans="1:4" s="25" customFormat="1">
      <c r="A57" s="90"/>
      <c r="D57" s="90"/>
    </row>
    <row r="58" spans="1:4" s="25" customFormat="1">
      <c r="A58" s="90"/>
      <c r="D58" s="90"/>
    </row>
    <row r="59" spans="1:4" s="25" customFormat="1" hidden="1">
      <c r="A59" s="90"/>
      <c r="B59" s="25" t="s">
        <v>239</v>
      </c>
      <c r="C59" s="25" t="s">
        <v>468</v>
      </c>
      <c r="D59" s="90"/>
    </row>
    <row r="60" spans="1:4" s="25" customFormat="1">
      <c r="A60" s="90"/>
      <c r="D60" s="90"/>
    </row>
    <row r="61" spans="1:4" s="25" customFormat="1">
      <c r="A61" s="90"/>
      <c r="D61" s="90"/>
    </row>
    <row r="62" spans="1:4" s="25" customFormat="1">
      <c r="A62" s="90"/>
      <c r="D62" s="90"/>
    </row>
    <row r="63" spans="1:4" s="25" customFormat="1">
      <c r="A63" s="90"/>
      <c r="D63" s="90"/>
    </row>
    <row r="64" spans="1:4" s="25" customFormat="1">
      <c r="A64" s="90"/>
      <c r="D64" s="90"/>
    </row>
    <row r="65" spans="1:4" s="25" customFormat="1">
      <c r="A65" s="90"/>
      <c r="D65" s="90"/>
    </row>
    <row r="66" spans="1:4" s="25" customFormat="1">
      <c r="A66" s="90"/>
      <c r="D66" s="90"/>
    </row>
    <row r="67" spans="1:4" s="25" customFormat="1">
      <c r="A67" s="90"/>
      <c r="D67" s="90"/>
    </row>
    <row r="68" spans="1:4" s="25" customFormat="1">
      <c r="A68" s="90"/>
      <c r="D68" s="90"/>
    </row>
    <row r="69" spans="1:4" s="25" customFormat="1">
      <c r="A69" s="90"/>
      <c r="D69" s="90"/>
    </row>
    <row r="70" spans="1:4" s="25" customFormat="1">
      <c r="A70" s="90"/>
      <c r="D70" s="90"/>
    </row>
    <row r="71" spans="1:4" s="25" customFormat="1">
      <c r="A71" s="90"/>
      <c r="D71" s="90"/>
    </row>
    <row r="72" spans="1:4" s="25" customFormat="1">
      <c r="A72" s="90"/>
      <c r="D72" s="90"/>
    </row>
    <row r="73" spans="1:4" s="25" customFormat="1">
      <c r="A73" s="90"/>
      <c r="D73" s="90"/>
    </row>
    <row r="74" spans="1:4" s="25" customFormat="1">
      <c r="A74" s="90"/>
      <c r="D74" s="90"/>
    </row>
    <row r="75" spans="1:4" s="25" customFormat="1">
      <c r="A75" s="90"/>
      <c r="D75" s="90"/>
    </row>
    <row r="76" spans="1:4" s="25" customFormat="1">
      <c r="A76" s="90"/>
      <c r="D76" s="90"/>
    </row>
    <row r="77" spans="1:4" s="25" customFormat="1">
      <c r="A77" s="90"/>
      <c r="D77" s="90"/>
    </row>
    <row r="78" spans="1:4" s="25" customFormat="1">
      <c r="A78" s="90"/>
      <c r="D78" s="90"/>
    </row>
    <row r="79" spans="1:4" s="25" customFormat="1">
      <c r="A79" s="90"/>
      <c r="D79" s="90"/>
    </row>
    <row r="80" spans="1:4" s="25" customFormat="1">
      <c r="A80" s="90"/>
      <c r="D80" s="90"/>
    </row>
    <row r="81" spans="1:4" s="25" customFormat="1">
      <c r="A81" s="90"/>
      <c r="D81" s="90"/>
    </row>
    <row r="82" spans="1:4" s="25" customFormat="1">
      <c r="A82" s="90"/>
      <c r="D82" s="90"/>
    </row>
    <row r="83" spans="1:4" s="25" customFormat="1">
      <c r="A83" s="90"/>
      <c r="D83" s="90"/>
    </row>
    <row r="84" spans="1:4" s="25" customFormat="1">
      <c r="A84" s="90"/>
      <c r="D84" s="90"/>
    </row>
    <row r="85" spans="1:4" s="25" customFormat="1">
      <c r="A85" s="90"/>
      <c r="D85" s="90"/>
    </row>
    <row r="86" spans="1:4" s="25" customFormat="1">
      <c r="A86" s="90"/>
      <c r="D86" s="90"/>
    </row>
    <row r="87" spans="1:4" s="25" customFormat="1">
      <c r="A87" s="90"/>
      <c r="D87" s="90"/>
    </row>
    <row r="88" spans="1:4" s="25" customFormat="1">
      <c r="A88" s="90"/>
      <c r="D88" s="90"/>
    </row>
    <row r="89" spans="1:4" s="25" customFormat="1">
      <c r="A89" s="90"/>
      <c r="D89" s="90"/>
    </row>
    <row r="90" spans="1:4" s="25" customFormat="1">
      <c r="A90" s="90"/>
      <c r="D90" s="90"/>
    </row>
    <row r="91" spans="1:4" s="25" customFormat="1">
      <c r="A91" s="90"/>
      <c r="D91" s="90"/>
    </row>
    <row r="92" spans="1:4" s="25" customFormat="1">
      <c r="A92" s="90"/>
      <c r="D92" s="90"/>
    </row>
    <row r="93" spans="1:4" s="25" customFormat="1">
      <c r="A93" s="90"/>
      <c r="D93" s="90"/>
    </row>
    <row r="94" spans="1:4" s="25" customFormat="1">
      <c r="A94" s="90"/>
      <c r="D94" s="90"/>
    </row>
    <row r="95" spans="1:4" s="25" customFormat="1">
      <c r="A95" s="90"/>
      <c r="D95" s="90"/>
    </row>
    <row r="96" spans="1:4" s="25" customFormat="1">
      <c r="A96" s="90"/>
      <c r="D96" s="90"/>
    </row>
    <row r="97" spans="1:4" s="25" customFormat="1">
      <c r="A97" s="90"/>
      <c r="D97" s="90"/>
    </row>
    <row r="98" spans="1:4" s="25" customFormat="1">
      <c r="A98" s="90"/>
      <c r="D98" s="90"/>
    </row>
    <row r="99" spans="1:4" s="25" customFormat="1">
      <c r="A99" s="90"/>
      <c r="D99" s="90"/>
    </row>
    <row r="100" spans="1:4" s="25" customFormat="1">
      <c r="A100" s="90"/>
      <c r="D100" s="90"/>
    </row>
    <row r="101" spans="1:4" s="25" customFormat="1">
      <c r="A101" s="90"/>
      <c r="D101" s="90"/>
    </row>
    <row r="102" spans="1:4" s="25" customFormat="1">
      <c r="A102" s="90"/>
      <c r="D102" s="90"/>
    </row>
    <row r="103" spans="1:4" s="25" customFormat="1">
      <c r="A103" s="90"/>
      <c r="D103" s="90"/>
    </row>
    <row r="104" spans="1:4" s="25" customFormat="1">
      <c r="A104" s="90"/>
      <c r="D104" s="90"/>
    </row>
    <row r="105" spans="1:4" s="25" customFormat="1">
      <c r="A105" s="90"/>
      <c r="D105" s="90"/>
    </row>
    <row r="106" spans="1:4" s="25" customFormat="1">
      <c r="A106" s="90"/>
      <c r="D106" s="90"/>
    </row>
    <row r="107" spans="1:4" s="25" customFormat="1">
      <c r="A107" s="90"/>
      <c r="D107" s="90"/>
    </row>
    <row r="108" spans="1:4" s="25" customFormat="1">
      <c r="A108" s="90"/>
      <c r="D108" s="90"/>
    </row>
    <row r="109" spans="1:4" s="25" customFormat="1">
      <c r="A109" s="90"/>
      <c r="D109" s="90"/>
    </row>
    <row r="110" spans="1:4" s="25" customFormat="1">
      <c r="A110" s="90"/>
      <c r="D110" s="90"/>
    </row>
    <row r="111" spans="1:4" s="25" customFormat="1">
      <c r="A111" s="90"/>
      <c r="D111" s="90"/>
    </row>
    <row r="112" spans="1:4" s="25" customFormat="1">
      <c r="A112" s="90"/>
      <c r="D112" s="90"/>
    </row>
    <row r="113" spans="1:4" s="25" customFormat="1">
      <c r="A113" s="90"/>
      <c r="D113" s="90"/>
    </row>
    <row r="114" spans="1:4" s="25" customFormat="1">
      <c r="A114" s="90"/>
      <c r="D114" s="90"/>
    </row>
    <row r="115" spans="1:4" s="25" customFormat="1">
      <c r="A115" s="90"/>
      <c r="D115" s="90"/>
    </row>
    <row r="116" spans="1:4" s="25" customFormat="1">
      <c r="A116" s="90"/>
      <c r="D116" s="90"/>
    </row>
    <row r="117" spans="1:4" s="25" customFormat="1">
      <c r="A117" s="90"/>
      <c r="D117" s="90"/>
    </row>
    <row r="118" spans="1:4" s="25" customFormat="1">
      <c r="A118" s="90"/>
      <c r="D118" s="90"/>
    </row>
    <row r="119" spans="1:4" s="25" customFormat="1">
      <c r="A119" s="90"/>
      <c r="D119" s="90"/>
    </row>
    <row r="120" spans="1:4" s="25" customFormat="1">
      <c r="A120" s="90"/>
      <c r="D120" s="90"/>
    </row>
    <row r="121" spans="1:4" s="25" customFormat="1">
      <c r="A121" s="90"/>
      <c r="D121" s="90"/>
    </row>
    <row r="122" spans="1:4" s="25" customFormat="1">
      <c r="A122" s="90"/>
      <c r="D122" s="90"/>
    </row>
    <row r="123" spans="1:4" s="25" customFormat="1">
      <c r="A123" s="90"/>
      <c r="D123" s="90"/>
    </row>
    <row r="124" spans="1:4" s="25" customFormat="1">
      <c r="A124" s="90"/>
      <c r="D124" s="90"/>
    </row>
    <row r="125" spans="1:4" s="25" customFormat="1">
      <c r="A125" s="90"/>
      <c r="D125" s="90"/>
    </row>
    <row r="126" spans="1:4" s="25" customFormat="1">
      <c r="A126" s="90"/>
      <c r="D126" s="90"/>
    </row>
    <row r="127" spans="1:4" s="25" customFormat="1">
      <c r="A127" s="90"/>
      <c r="D127" s="90"/>
    </row>
    <row r="128" spans="1:4" s="25" customFormat="1">
      <c r="A128" s="90"/>
      <c r="D128" s="90"/>
    </row>
    <row r="129" spans="1:4" s="25" customFormat="1">
      <c r="A129" s="90"/>
      <c r="D129" s="90"/>
    </row>
    <row r="130" spans="1:4" s="25" customFormat="1">
      <c r="A130" s="90"/>
      <c r="D130" s="90"/>
    </row>
    <row r="131" spans="1:4" s="25" customFormat="1">
      <c r="A131" s="90"/>
      <c r="D131" s="90"/>
    </row>
    <row r="132" spans="1:4" s="25" customFormat="1">
      <c r="A132" s="90"/>
      <c r="D132" s="90"/>
    </row>
    <row r="133" spans="1:4" s="25" customFormat="1">
      <c r="A133" s="90"/>
      <c r="D133" s="90"/>
    </row>
    <row r="134" spans="1:4" s="25" customFormat="1">
      <c r="A134" s="90"/>
      <c r="D134" s="90"/>
    </row>
    <row r="135" spans="1:4" s="25" customFormat="1">
      <c r="A135" s="90"/>
      <c r="D135" s="90"/>
    </row>
    <row r="136" spans="1:4" s="25" customFormat="1">
      <c r="A136" s="90"/>
      <c r="D136" s="90"/>
    </row>
    <row r="137" spans="1:4" s="25" customFormat="1">
      <c r="A137" s="90"/>
      <c r="D137" s="90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R26" sqref="R26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2.6640625" style="25" customWidth="1"/>
    <col min="19" max="19" width="1.83203125" style="25" customWidth="1"/>
    <col min="20" max="20" width="9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1.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51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"/>
      <c r="AZ1" s="174" t="s">
        <v>176</v>
      </c>
    </row>
    <row r="2" spans="1:52" ht="10" customHeight="1" thickBot="1">
      <c r="A2" s="25"/>
      <c r="B2" s="25"/>
      <c r="C2" s="48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8"/>
      <c r="P2" s="25"/>
    </row>
    <row r="3" spans="1:52" ht="10" customHeight="1" thickTop="1">
      <c r="A3" s="25"/>
      <c r="B3" s="25"/>
      <c r="C3" s="49"/>
      <c r="D3" s="122"/>
      <c r="E3" s="122"/>
      <c r="F3" s="121"/>
      <c r="G3" s="123"/>
      <c r="H3" s="121"/>
      <c r="I3" s="123"/>
      <c r="J3" s="123"/>
      <c r="K3" s="123"/>
      <c r="L3" s="121"/>
      <c r="M3" s="123"/>
      <c r="N3" s="121"/>
      <c r="O3" s="134"/>
      <c r="P3" s="146"/>
      <c r="Q3" s="160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2"/>
      <c r="AD3" s="169"/>
      <c r="AE3" s="165"/>
      <c r="AF3" s="165"/>
      <c r="AG3" s="165"/>
      <c r="AH3" s="165"/>
      <c r="AI3" s="168"/>
    </row>
    <row r="4" spans="1:52" ht="42" customHeight="1">
      <c r="A4" s="25"/>
      <c r="B4" s="25"/>
      <c r="C4" s="124"/>
      <c r="D4" s="252" t="s">
        <v>175</v>
      </c>
      <c r="E4" s="253"/>
      <c r="F4" s="33" t="s">
        <v>89</v>
      </c>
      <c r="G4" s="125"/>
      <c r="H4" s="34" t="s">
        <v>106</v>
      </c>
      <c r="I4" s="126"/>
      <c r="J4" s="127"/>
      <c r="K4" s="128"/>
      <c r="L4" s="33" t="s">
        <v>93</v>
      </c>
      <c r="M4" s="129"/>
      <c r="N4" s="28" t="s">
        <v>94</v>
      </c>
      <c r="O4" s="147"/>
      <c r="P4" s="146"/>
      <c r="Q4" s="163"/>
      <c r="R4" s="174" t="s">
        <v>88</v>
      </c>
      <c r="S4" s="169"/>
      <c r="T4" s="38" t="s">
        <v>79</v>
      </c>
      <c r="U4" s="169"/>
      <c r="V4" s="38" t="s">
        <v>102</v>
      </c>
      <c r="W4" s="169"/>
      <c r="X4" s="38" t="s">
        <v>192</v>
      </c>
      <c r="Y4" s="169"/>
      <c r="Z4" s="38" t="s">
        <v>80</v>
      </c>
      <c r="AA4" s="169"/>
      <c r="AB4" s="38" t="s">
        <v>81</v>
      </c>
      <c r="AC4" s="172"/>
      <c r="AD4" s="169"/>
      <c r="AE4" s="165"/>
      <c r="AF4" s="165"/>
      <c r="AG4" s="165"/>
      <c r="AH4" s="165"/>
      <c r="AI4" s="168"/>
    </row>
    <row r="5" spans="1:52" ht="10" customHeight="1" thickBot="1">
      <c r="A5" s="25"/>
      <c r="B5" s="25"/>
      <c r="C5" s="124"/>
      <c r="D5" s="130"/>
      <c r="E5" s="130"/>
      <c r="F5" s="131"/>
      <c r="G5" s="132"/>
      <c r="H5" s="131"/>
      <c r="I5" s="132"/>
      <c r="J5" s="132"/>
      <c r="K5" s="132"/>
      <c r="L5" s="131"/>
      <c r="M5" s="132"/>
      <c r="N5" s="133"/>
      <c r="O5" s="48"/>
      <c r="P5" s="146"/>
      <c r="Q5" s="166"/>
      <c r="R5" s="171"/>
      <c r="S5" s="167"/>
      <c r="T5" s="171"/>
      <c r="U5" s="167"/>
      <c r="V5" s="171"/>
      <c r="W5" s="167"/>
      <c r="X5" s="171"/>
      <c r="Y5" s="167"/>
      <c r="Z5" s="171"/>
      <c r="AA5" s="167"/>
      <c r="AB5" s="171"/>
      <c r="AC5" s="173"/>
      <c r="AD5" s="169"/>
      <c r="AE5" s="165"/>
      <c r="AF5" s="165"/>
      <c r="AG5" s="165"/>
      <c r="AH5" s="165"/>
      <c r="AI5" s="168"/>
    </row>
    <row r="6" spans="1:52" ht="10" customHeight="1" thickTop="1" thickBot="1">
      <c r="A6" s="25"/>
      <c r="B6" s="25"/>
      <c r="C6" s="134"/>
      <c r="D6" s="122"/>
      <c r="E6" s="122"/>
      <c r="F6" s="123"/>
      <c r="G6" s="123"/>
      <c r="H6" s="123"/>
      <c r="I6" s="123"/>
      <c r="J6" s="123"/>
      <c r="K6" s="123"/>
      <c r="L6" s="123"/>
      <c r="M6" s="123"/>
      <c r="N6" s="123"/>
      <c r="O6" s="134"/>
      <c r="P6" s="148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65"/>
      <c r="AE6" s="165"/>
      <c r="AF6" s="165"/>
      <c r="AG6" s="165"/>
      <c r="AH6" s="165"/>
      <c r="AI6" s="168"/>
    </row>
    <row r="7" spans="1:52" ht="10" customHeight="1" thickTop="1">
      <c r="A7" s="25"/>
      <c r="B7" s="25"/>
      <c r="C7" s="50"/>
      <c r="D7" s="136"/>
      <c r="E7" s="137"/>
      <c r="F7" s="135"/>
      <c r="G7" s="137"/>
      <c r="H7" s="135"/>
      <c r="I7" s="137"/>
      <c r="J7" s="135"/>
      <c r="K7" s="137"/>
      <c r="L7" s="135"/>
      <c r="M7" s="137"/>
      <c r="N7" s="137"/>
      <c r="O7" s="137"/>
      <c r="P7" s="146"/>
      <c r="Q7" s="160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2"/>
      <c r="AD7" s="169"/>
      <c r="AE7" s="165"/>
      <c r="AF7" s="165"/>
      <c r="AG7" s="165"/>
      <c r="AH7" s="165"/>
      <c r="AI7" s="168"/>
    </row>
    <row r="8" spans="1:52" ht="26" customHeight="1">
      <c r="A8" s="25"/>
      <c r="B8" s="25"/>
      <c r="C8" s="138"/>
      <c r="D8" s="139" t="s">
        <v>298</v>
      </c>
      <c r="E8" s="140"/>
      <c r="F8" s="228"/>
      <c r="G8" s="141"/>
      <c r="H8" s="119"/>
      <c r="I8" s="141"/>
      <c r="J8" s="120"/>
      <c r="K8" s="141"/>
      <c r="L8" s="229"/>
      <c r="M8" s="126"/>
      <c r="N8" s="132"/>
      <c r="O8" s="145"/>
      <c r="P8" s="146"/>
      <c r="Q8" s="163"/>
      <c r="R8" s="174" t="s">
        <v>99</v>
      </c>
      <c r="S8" s="169"/>
      <c r="T8" s="31" t="s">
        <v>83</v>
      </c>
      <c r="U8" s="169"/>
      <c r="V8" s="31" t="s">
        <v>84</v>
      </c>
      <c r="W8" s="169"/>
      <c r="X8" s="31" t="s">
        <v>85</v>
      </c>
      <c r="Y8" s="169"/>
      <c r="Z8" s="31" t="s">
        <v>86</v>
      </c>
      <c r="AA8" s="169"/>
      <c r="AB8" s="24" t="s">
        <v>87</v>
      </c>
      <c r="AC8" s="172"/>
      <c r="AD8" s="169"/>
      <c r="AE8" s="165"/>
      <c r="AF8" s="34" t="s">
        <v>602</v>
      </c>
      <c r="AG8" s="165"/>
      <c r="AH8" s="165"/>
      <c r="AI8" s="168"/>
    </row>
    <row r="9" spans="1:52" ht="10" customHeight="1" thickBot="1">
      <c r="A9" s="25"/>
      <c r="B9" s="25"/>
      <c r="C9" s="124"/>
      <c r="D9" s="142"/>
      <c r="E9" s="130"/>
      <c r="F9" s="131"/>
      <c r="G9" s="132"/>
      <c r="H9" s="131"/>
      <c r="I9" s="132"/>
      <c r="J9" s="131"/>
      <c r="K9" s="132"/>
      <c r="L9" s="131"/>
      <c r="M9" s="132"/>
      <c r="N9" s="143"/>
      <c r="O9" s="48"/>
      <c r="P9" s="146"/>
      <c r="Q9" s="166"/>
      <c r="R9" s="171"/>
      <c r="S9" s="167"/>
      <c r="T9" s="171"/>
      <c r="U9" s="167"/>
      <c r="V9" s="171"/>
      <c r="W9" s="167"/>
      <c r="X9" s="171"/>
      <c r="Y9" s="167"/>
      <c r="Z9" s="171"/>
      <c r="AA9" s="167"/>
      <c r="AB9" s="171"/>
      <c r="AC9" s="173"/>
      <c r="AD9" s="169"/>
      <c r="AE9" s="165"/>
      <c r="AF9" s="165"/>
      <c r="AG9" s="165"/>
      <c r="AH9" s="165"/>
      <c r="AI9" s="168"/>
    </row>
    <row r="10" spans="1:52" ht="10" customHeight="1" thickTop="1" thickBot="1">
      <c r="A10" s="25"/>
      <c r="B10" s="25"/>
      <c r="C10" s="137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37"/>
      <c r="P10" s="148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65"/>
      <c r="AE10" s="165"/>
      <c r="AF10" s="165"/>
      <c r="AG10" s="165"/>
      <c r="AH10" s="165"/>
      <c r="AI10" s="168"/>
    </row>
    <row r="11" spans="1:52" ht="10" customHeight="1" thickTop="1">
      <c r="A11" s="25"/>
      <c r="B11" s="25" t="s">
        <v>95</v>
      </c>
      <c r="C11" s="160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79"/>
      <c r="O11" s="162"/>
      <c r="P11" s="177"/>
      <c r="Q11" s="160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2"/>
    </row>
    <row r="12" spans="1:52" ht="15" customHeight="1">
      <c r="A12" s="25"/>
      <c r="B12" s="25"/>
      <c r="C12" s="163"/>
      <c r="D12" s="254" t="s">
        <v>68</v>
      </c>
      <c r="E12" s="255"/>
      <c r="F12" s="255"/>
      <c r="G12" s="255"/>
      <c r="H12" s="255"/>
      <c r="I12" s="255"/>
      <c r="J12" s="255"/>
      <c r="K12" s="255"/>
      <c r="L12" s="255"/>
      <c r="M12" s="255"/>
      <c r="N12" s="256"/>
      <c r="O12" s="164"/>
      <c r="P12" s="177"/>
      <c r="Q12" s="163"/>
      <c r="R12" s="244" t="s">
        <v>69</v>
      </c>
      <c r="S12" s="244"/>
      <c r="T12" s="244"/>
      <c r="U12" s="244"/>
      <c r="V12" s="244"/>
      <c r="W12" s="244"/>
      <c r="X12" s="244"/>
      <c r="Y12" s="244"/>
      <c r="Z12" s="244"/>
      <c r="AA12" s="244"/>
      <c r="AB12" s="244"/>
      <c r="AC12" s="244"/>
      <c r="AD12" s="244"/>
      <c r="AE12" s="244"/>
      <c r="AF12" s="244"/>
      <c r="AG12" s="245"/>
      <c r="AH12" s="246"/>
      <c r="AI12" s="172"/>
    </row>
    <row r="13" spans="1:52">
      <c r="A13" s="25"/>
      <c r="B13" s="25"/>
      <c r="C13" s="163"/>
      <c r="D13" s="180"/>
      <c r="E13" s="165"/>
      <c r="F13" s="180"/>
      <c r="G13" s="165"/>
      <c r="H13" s="180"/>
      <c r="I13" s="165"/>
      <c r="J13" s="180"/>
      <c r="K13" s="165"/>
      <c r="L13" s="180"/>
      <c r="M13" s="165"/>
      <c r="N13" s="180"/>
      <c r="O13" s="164"/>
      <c r="P13" s="177"/>
      <c r="Q13" s="163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64"/>
    </row>
    <row r="14" spans="1:52" ht="42" customHeight="1">
      <c r="A14" s="25"/>
      <c r="B14" s="25"/>
      <c r="C14" s="184"/>
      <c r="D14" s="185" t="s">
        <v>561</v>
      </c>
      <c r="E14" s="187"/>
      <c r="F14" s="185" t="s">
        <v>563</v>
      </c>
      <c r="G14" s="187"/>
      <c r="H14" s="185" t="s">
        <v>565</v>
      </c>
      <c r="I14" s="187"/>
      <c r="J14" s="185" t="s">
        <v>567</v>
      </c>
      <c r="K14" s="187"/>
      <c r="L14" s="185" t="s">
        <v>569</v>
      </c>
      <c r="M14" s="187"/>
      <c r="N14" s="185" t="s">
        <v>559</v>
      </c>
      <c r="O14" s="188"/>
      <c r="P14" s="177"/>
      <c r="Q14" s="163"/>
      <c r="R14" s="174" t="s">
        <v>321</v>
      </c>
      <c r="S14" s="169"/>
      <c r="T14" s="29" t="s">
        <v>72</v>
      </c>
      <c r="U14" s="169"/>
      <c r="V14" s="29" t="s">
        <v>70</v>
      </c>
      <c r="W14" s="169"/>
      <c r="X14" s="29" t="s">
        <v>73</v>
      </c>
      <c r="Y14" s="169"/>
      <c r="Z14" s="29" t="s">
        <v>74</v>
      </c>
      <c r="AA14" s="169"/>
      <c r="AB14" s="29" t="s">
        <v>71</v>
      </c>
      <c r="AC14" s="169"/>
      <c r="AD14" s="174" t="s">
        <v>277</v>
      </c>
      <c r="AE14" s="169"/>
      <c r="AF14" s="29" t="s">
        <v>75</v>
      </c>
      <c r="AG14" s="169"/>
      <c r="AH14" s="29" t="s">
        <v>76</v>
      </c>
      <c r="AI14" s="172"/>
    </row>
    <row r="15" spans="1:52" ht="10" customHeight="1">
      <c r="A15" s="25"/>
      <c r="B15" s="25"/>
      <c r="C15" s="163"/>
      <c r="D15" s="186"/>
      <c r="E15" s="165"/>
      <c r="F15" s="186"/>
      <c r="G15" s="165"/>
      <c r="H15" s="186"/>
      <c r="I15" s="165"/>
      <c r="J15" s="186"/>
      <c r="K15" s="165"/>
      <c r="L15" s="186"/>
      <c r="M15" s="165"/>
      <c r="N15" s="186"/>
      <c r="O15" s="164"/>
      <c r="P15" s="177"/>
      <c r="Q15" s="163"/>
      <c r="R15" s="170"/>
      <c r="S15" s="165"/>
      <c r="T15" s="170"/>
      <c r="U15" s="165"/>
      <c r="V15" s="170"/>
      <c r="W15" s="165"/>
      <c r="X15" s="170"/>
      <c r="Y15" s="165"/>
      <c r="Z15" s="170"/>
      <c r="AA15" s="165"/>
      <c r="AB15" s="170"/>
      <c r="AC15" s="165"/>
      <c r="AD15" s="170"/>
      <c r="AE15" s="165"/>
      <c r="AF15" s="170"/>
      <c r="AG15" s="165"/>
      <c r="AH15" s="170"/>
      <c r="AI15" s="164"/>
    </row>
    <row r="16" spans="1:52" ht="42" customHeight="1">
      <c r="A16" s="25"/>
      <c r="B16" s="25"/>
      <c r="C16" s="184"/>
      <c r="D16" s="185" t="s">
        <v>571</v>
      </c>
      <c r="E16" s="187"/>
      <c r="F16" s="185" t="s">
        <v>573</v>
      </c>
      <c r="G16" s="187"/>
      <c r="H16" s="185" t="s">
        <v>575</v>
      </c>
      <c r="I16" s="187"/>
      <c r="J16" s="185" t="s">
        <v>577</v>
      </c>
      <c r="K16" s="187"/>
      <c r="L16" s="185" t="s">
        <v>579</v>
      </c>
      <c r="M16" s="187"/>
      <c r="N16" s="185" t="s">
        <v>581</v>
      </c>
      <c r="O16" s="188"/>
      <c r="P16" s="177"/>
      <c r="Q16" s="163"/>
      <c r="R16" s="174" t="s">
        <v>276</v>
      </c>
      <c r="S16" s="169"/>
      <c r="T16" s="29" t="s">
        <v>75</v>
      </c>
      <c r="U16" s="169"/>
      <c r="V16" s="29" t="s">
        <v>76</v>
      </c>
      <c r="W16" s="169"/>
      <c r="X16" s="29" t="s">
        <v>96</v>
      </c>
      <c r="Y16" s="169"/>
      <c r="Z16" s="165"/>
      <c r="AA16" s="165"/>
      <c r="AB16" s="175" t="s">
        <v>459</v>
      </c>
      <c r="AC16" s="169"/>
      <c r="AD16" s="38" t="s">
        <v>299</v>
      </c>
      <c r="AE16" s="169"/>
      <c r="AF16" s="38" t="s">
        <v>457</v>
      </c>
      <c r="AG16" s="169"/>
      <c r="AH16" s="38" t="s">
        <v>458</v>
      </c>
      <c r="AI16" s="172"/>
    </row>
    <row r="17" spans="1:35" ht="10" customHeight="1">
      <c r="A17" s="25"/>
      <c r="B17" s="25"/>
      <c r="C17" s="163"/>
      <c r="D17" s="186"/>
      <c r="E17" s="165"/>
      <c r="F17" s="186"/>
      <c r="G17" s="165"/>
      <c r="H17" s="186"/>
      <c r="I17" s="165"/>
      <c r="J17" s="186"/>
      <c r="K17" s="165"/>
      <c r="L17" s="186"/>
      <c r="M17" s="165"/>
      <c r="N17" s="186"/>
      <c r="O17" s="164"/>
      <c r="P17" s="177"/>
      <c r="Q17" s="163"/>
      <c r="R17" s="170"/>
      <c r="S17" s="165"/>
      <c r="T17" s="170"/>
      <c r="U17" s="165"/>
      <c r="V17" s="170"/>
      <c r="W17" s="165"/>
      <c r="X17" s="170"/>
      <c r="Y17" s="165"/>
      <c r="Z17" s="165"/>
      <c r="AA17" s="165"/>
      <c r="AB17" s="170"/>
      <c r="AC17" s="165"/>
      <c r="AD17" s="170"/>
      <c r="AE17" s="165"/>
      <c r="AF17" s="170"/>
      <c r="AG17" s="165"/>
      <c r="AH17" s="170"/>
      <c r="AI17" s="164"/>
    </row>
    <row r="18" spans="1:35" ht="42" customHeight="1">
      <c r="A18" s="25"/>
      <c r="B18" s="25"/>
      <c r="C18" s="184"/>
      <c r="D18" s="185" t="s">
        <v>583</v>
      </c>
      <c r="E18" s="187"/>
      <c r="F18" s="185" t="s">
        <v>585</v>
      </c>
      <c r="G18" s="187"/>
      <c r="H18" s="185" t="s">
        <v>587</v>
      </c>
      <c r="I18" s="187"/>
      <c r="J18" s="185" t="s">
        <v>589</v>
      </c>
      <c r="K18" s="187"/>
      <c r="L18" s="185" t="s">
        <v>591</v>
      </c>
      <c r="M18" s="187"/>
      <c r="N18" s="185" t="s">
        <v>593</v>
      </c>
      <c r="O18" s="188"/>
      <c r="P18" s="177"/>
      <c r="Q18" s="163"/>
      <c r="R18" s="174" t="s">
        <v>176</v>
      </c>
      <c r="S18" s="169"/>
      <c r="T18" s="29" t="s">
        <v>177</v>
      </c>
      <c r="U18" s="169"/>
      <c r="V18" s="29" t="s">
        <v>178</v>
      </c>
      <c r="W18" s="169"/>
      <c r="X18" s="29" t="s">
        <v>179</v>
      </c>
      <c r="Y18" s="169"/>
      <c r="Z18" s="29" t="s">
        <v>180</v>
      </c>
      <c r="AA18" s="169"/>
      <c r="AB18" s="29" t="s">
        <v>60</v>
      </c>
      <c r="AC18" s="169"/>
      <c r="AD18" s="29" t="s">
        <v>77</v>
      </c>
      <c r="AE18" s="169"/>
      <c r="AF18" s="29" t="s">
        <v>273</v>
      </c>
      <c r="AG18" s="169"/>
      <c r="AH18" s="29" t="s">
        <v>452</v>
      </c>
      <c r="AI18" s="172"/>
    </row>
    <row r="19" spans="1:35" s="25" customFormat="1" ht="10" customHeight="1">
      <c r="C19" s="163"/>
      <c r="D19" s="186"/>
      <c r="E19" s="165"/>
      <c r="F19" s="186"/>
      <c r="G19" s="165"/>
      <c r="H19" s="186"/>
      <c r="I19" s="165"/>
      <c r="J19" s="186"/>
      <c r="K19" s="165"/>
      <c r="L19" s="186"/>
      <c r="M19" s="165"/>
      <c r="N19" s="186"/>
      <c r="O19" s="164"/>
      <c r="P19" s="177"/>
      <c r="Q19" s="163"/>
      <c r="R19" s="170"/>
      <c r="S19" s="165"/>
      <c r="T19" s="170"/>
      <c r="U19" s="165"/>
      <c r="V19" s="170"/>
      <c r="W19" s="165"/>
      <c r="X19" s="170"/>
      <c r="Y19" s="165"/>
      <c r="Z19" s="170"/>
      <c r="AA19" s="165"/>
      <c r="AB19" s="170"/>
      <c r="AC19" s="165"/>
      <c r="AD19" s="170"/>
      <c r="AE19" s="165"/>
      <c r="AF19" s="170"/>
      <c r="AG19" s="165"/>
      <c r="AH19" s="170"/>
      <c r="AI19" s="164"/>
    </row>
    <row r="20" spans="1:35" ht="42" customHeight="1">
      <c r="A20" s="25"/>
      <c r="B20" s="25"/>
      <c r="C20" s="184"/>
      <c r="D20" s="185" t="s">
        <v>595</v>
      </c>
      <c r="E20" s="187"/>
      <c r="F20" s="185" t="s">
        <v>597</v>
      </c>
      <c r="G20" s="187"/>
      <c r="H20" s="185" t="s">
        <v>599</v>
      </c>
      <c r="I20" s="187"/>
      <c r="J20" s="185" t="s">
        <v>601</v>
      </c>
      <c r="K20" s="187"/>
      <c r="L20" s="189" t="s">
        <v>92</v>
      </c>
      <c r="M20" s="187"/>
      <c r="N20" s="189" t="s">
        <v>82</v>
      </c>
      <c r="O20" s="183"/>
      <c r="P20" s="177"/>
      <c r="Q20" s="163"/>
      <c r="R20" s="174" t="s">
        <v>116</v>
      </c>
      <c r="S20" s="169"/>
      <c r="T20" s="33" t="s">
        <v>210</v>
      </c>
      <c r="U20" s="169"/>
      <c r="V20" s="30" t="s">
        <v>211</v>
      </c>
      <c r="W20" s="169"/>
      <c r="X20" s="174" t="s">
        <v>205</v>
      </c>
      <c r="Y20" s="169"/>
      <c r="Z20" s="30" t="s">
        <v>206</v>
      </c>
      <c r="AA20" s="169"/>
      <c r="AB20" s="30" t="s">
        <v>207</v>
      </c>
      <c r="AC20" s="169"/>
      <c r="AD20" s="30" t="s">
        <v>208</v>
      </c>
      <c r="AE20" s="169"/>
      <c r="AF20" s="30" t="s">
        <v>209</v>
      </c>
      <c r="AG20" s="169"/>
      <c r="AH20" s="30" t="s">
        <v>135</v>
      </c>
      <c r="AI20" s="172"/>
    </row>
    <row r="21" spans="1:35" ht="10" customHeight="1" thickBot="1">
      <c r="A21" s="25"/>
      <c r="B21" s="25"/>
      <c r="C21" s="163"/>
      <c r="D21" s="190"/>
      <c r="E21" s="165"/>
      <c r="F21" s="190"/>
      <c r="G21" s="165"/>
      <c r="H21" s="190"/>
      <c r="I21" s="165"/>
      <c r="J21" s="190"/>
      <c r="K21" s="165"/>
      <c r="L21" s="190"/>
      <c r="M21" s="165"/>
      <c r="N21" s="191"/>
      <c r="O21" s="176"/>
      <c r="P21" s="178"/>
      <c r="Q21" s="166"/>
      <c r="R21" s="171"/>
      <c r="S21" s="167"/>
      <c r="T21" s="171"/>
      <c r="U21" s="167"/>
      <c r="V21" s="171"/>
      <c r="W21" s="167"/>
      <c r="X21" s="171"/>
      <c r="Y21" s="167"/>
      <c r="Z21" s="171"/>
      <c r="AA21" s="167"/>
      <c r="AB21" s="171"/>
      <c r="AC21" s="167"/>
      <c r="AD21" s="171"/>
      <c r="AE21" s="167"/>
      <c r="AF21" s="171"/>
      <c r="AG21" s="167"/>
      <c r="AH21" s="171"/>
      <c r="AI21" s="173"/>
    </row>
    <row r="22" spans="1:35" ht="10" customHeight="1" thickTop="1" thickBot="1">
      <c r="A22" s="25"/>
      <c r="B22" s="25"/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92"/>
      <c r="P22" s="25"/>
    </row>
    <row r="23" spans="1:35" ht="10" customHeight="1" thickTop="1">
      <c r="A23" s="25"/>
      <c r="B23" s="25"/>
      <c r="C23" s="160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79"/>
      <c r="O23" s="162"/>
      <c r="P23" s="25"/>
    </row>
    <row r="24" spans="1:35" ht="15" customHeight="1">
      <c r="A24" s="25"/>
      <c r="B24" s="25"/>
      <c r="C24" s="163"/>
      <c r="D24" s="244" t="s">
        <v>90</v>
      </c>
      <c r="E24" s="247"/>
      <c r="F24" s="247"/>
      <c r="G24" s="247"/>
      <c r="H24" s="247"/>
      <c r="I24" s="247"/>
      <c r="J24" s="247"/>
      <c r="K24" s="247"/>
      <c r="L24" s="247"/>
      <c r="M24" s="247"/>
      <c r="N24" s="246"/>
      <c r="O24" s="164"/>
      <c r="P24" s="25"/>
    </row>
    <row r="25" spans="1:35" s="25" customFormat="1" ht="10" customHeight="1">
      <c r="C25" s="163"/>
      <c r="D25" s="181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4"/>
    </row>
    <row r="26" spans="1:35" ht="15" customHeight="1">
      <c r="A26" s="25"/>
      <c r="B26" s="25"/>
      <c r="C26" s="193"/>
      <c r="D26" s="194" t="s">
        <v>91</v>
      </c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4"/>
      <c r="P26" s="25"/>
    </row>
    <row r="27" spans="1:35" ht="10" customHeight="1">
      <c r="A27" s="25"/>
      <c r="B27" s="25"/>
      <c r="C27" s="163"/>
      <c r="D27" s="165"/>
      <c r="E27" s="165"/>
      <c r="F27" s="181"/>
      <c r="G27" s="165"/>
      <c r="H27" s="180"/>
      <c r="I27" s="165"/>
      <c r="J27" s="180"/>
      <c r="K27" s="165"/>
      <c r="L27" s="180"/>
      <c r="M27" s="165"/>
      <c r="N27" s="180"/>
      <c r="O27" s="164"/>
      <c r="P27" s="25"/>
    </row>
    <row r="28" spans="1:35" ht="42" customHeight="1">
      <c r="A28" s="25"/>
      <c r="B28" s="25"/>
      <c r="C28" s="163"/>
      <c r="D28" s="248">
        <v>8.6315587037037039E-3</v>
      </c>
      <c r="E28" s="249"/>
      <c r="F28" s="250"/>
      <c r="G28" s="195"/>
      <c r="H28" s="196" t="s">
        <v>62</v>
      </c>
      <c r="I28" s="187"/>
      <c r="J28" s="197" t="s">
        <v>61</v>
      </c>
      <c r="K28" s="187"/>
      <c r="L28" s="196" t="s">
        <v>169</v>
      </c>
      <c r="M28" s="187"/>
      <c r="N28" s="198" t="s">
        <v>63</v>
      </c>
      <c r="O28" s="183"/>
      <c r="P28" s="25"/>
      <c r="R28" s="25" t="s">
        <v>117</v>
      </c>
    </row>
    <row r="29" spans="1:35" ht="90" customHeight="1" thickBot="1">
      <c r="A29" s="25"/>
      <c r="B29" s="25"/>
      <c r="C29" s="163"/>
      <c r="D29" s="165"/>
      <c r="E29" s="165"/>
      <c r="F29" s="165"/>
      <c r="G29" s="165"/>
      <c r="H29" s="190"/>
      <c r="I29" s="165"/>
      <c r="J29" s="190"/>
      <c r="K29" s="165"/>
      <c r="L29" s="190"/>
      <c r="M29" s="165"/>
      <c r="N29" s="191"/>
      <c r="O29" s="176"/>
      <c r="P29" s="25"/>
    </row>
    <row r="30" spans="1:35" ht="106" customHeight="1" thickTop="1">
      <c r="A30" s="25"/>
      <c r="B30" s="25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92"/>
      <c r="P30" s="25"/>
    </row>
    <row r="31" spans="1:35" ht="10" customHeight="1">
      <c r="A31" s="25"/>
      <c r="B31" s="25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8"/>
      <c r="P31" s="25"/>
    </row>
    <row r="32" spans="1:35" ht="42" customHeight="1">
      <c r="A32" s="25"/>
      <c r="B32" s="25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8"/>
      <c r="P32" s="25"/>
    </row>
    <row r="33" spans="1:21" ht="15" customHeight="1">
      <c r="A33" s="25"/>
      <c r="B33" s="25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8"/>
      <c r="P33" s="25"/>
    </row>
    <row r="34" spans="1:21" ht="15" customHeight="1">
      <c r="A34" s="25"/>
      <c r="B34" s="25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8"/>
      <c r="P34" s="25"/>
    </row>
    <row r="35" spans="1:21" ht="15" customHeight="1">
      <c r="A35" s="25"/>
      <c r="B35" s="25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8"/>
      <c r="P35" s="25"/>
    </row>
    <row r="36" spans="1:21" ht="15" customHeight="1">
      <c r="A36" s="25"/>
      <c r="B36" s="25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8"/>
      <c r="P36" s="25"/>
    </row>
    <row r="37" spans="1:21" ht="15" customHeight="1">
      <c r="A37" s="25"/>
      <c r="B37" s="25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8"/>
      <c r="P37" s="25"/>
    </row>
    <row r="38" spans="1:21" ht="15" customHeight="1">
      <c r="A38" s="25"/>
      <c r="B38" s="25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8"/>
      <c r="P38" s="25"/>
    </row>
    <row r="39" spans="1:21" ht="15" customHeight="1">
      <c r="A39" s="25"/>
      <c r="B39" s="25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8"/>
      <c r="P39" s="25"/>
    </row>
    <row r="40" spans="1:21" ht="15" customHeight="1">
      <c r="A40" s="25"/>
      <c r="B40" s="25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8"/>
      <c r="P40" s="25"/>
      <c r="R40" s="26"/>
      <c r="S40" s="26"/>
    </row>
    <row r="41" spans="1:21" ht="15" customHeight="1">
      <c r="A41" s="25"/>
      <c r="B41" s="25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8"/>
      <c r="P41" s="25"/>
      <c r="R41" s="26"/>
      <c r="S41" s="26"/>
    </row>
    <row r="42" spans="1:21" ht="15" customHeight="1">
      <c r="A42" s="25"/>
      <c r="B42" s="25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8"/>
      <c r="P42" s="25"/>
    </row>
    <row r="43" spans="1:21" s="25" customFormat="1" ht="15" customHeight="1"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8"/>
    </row>
    <row r="44" spans="1:21" ht="15" customHeight="1">
      <c r="A44" s="25"/>
      <c r="B44" s="25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8"/>
      <c r="P44" s="25"/>
    </row>
    <row r="45" spans="1:21" ht="15" customHeight="1">
      <c r="A45" s="25"/>
      <c r="B45" s="25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8"/>
      <c r="P45" s="25"/>
      <c r="Q45" s="27"/>
      <c r="T45" s="26"/>
      <c r="U45" s="26"/>
    </row>
    <row r="46" spans="1:21" ht="15" customHeight="1">
      <c r="A46" s="25"/>
      <c r="B46" s="25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8"/>
      <c r="P46" s="25"/>
      <c r="U46" s="26"/>
    </row>
    <row r="47" spans="1:21" ht="15" customHeight="1">
      <c r="A47" s="25"/>
      <c r="B47" s="25"/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8"/>
      <c r="P47" s="25"/>
      <c r="U47" s="26"/>
    </row>
    <row r="48" spans="1:21" ht="15" customHeight="1">
      <c r="A48" s="25"/>
      <c r="B48" s="2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8"/>
      <c r="P48" s="25"/>
      <c r="Q48" s="25" t="s">
        <v>117</v>
      </c>
      <c r="U48" s="26"/>
    </row>
    <row r="49" spans="1:18" ht="15" customHeight="1">
      <c r="A49" s="25"/>
      <c r="B49" s="25"/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8"/>
      <c r="P49" s="25"/>
    </row>
    <row r="50" spans="1:18" ht="15" customHeight="1">
      <c r="A50" s="25"/>
      <c r="B50" s="25"/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8"/>
      <c r="P50" s="25"/>
    </row>
    <row r="51" spans="1:18" ht="15" customHeight="1">
      <c r="A51" s="25"/>
      <c r="B51" s="25"/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8"/>
      <c r="P51" s="25"/>
      <c r="R51" s="25" t="s">
        <v>117</v>
      </c>
    </row>
    <row r="52" spans="1:18" ht="15" customHeight="1">
      <c r="A52" s="25"/>
      <c r="B52" s="2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8"/>
      <c r="P52" s="25"/>
    </row>
    <row r="53" spans="1:18" s="25" customFormat="1" ht="15" customHeight="1"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2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4"/>
      <c r="M413" s="74"/>
    </row>
    <row r="414" spans="12:13" s="25" customFormat="1">
      <c r="L414" s="74"/>
      <c r="M414" s="74"/>
    </row>
    <row r="415" spans="12:13" s="25" customFormat="1">
      <c r="L415" s="74"/>
      <c r="M415" s="74"/>
    </row>
    <row r="416" spans="12:13" s="25" customFormat="1">
      <c r="L416" s="74"/>
      <c r="M416" s="74"/>
    </row>
    <row r="417" spans="12:29" s="25" customFormat="1">
      <c r="L417" s="74"/>
      <c r="M417" s="74"/>
    </row>
    <row r="418" spans="12:29" s="25" customFormat="1">
      <c r="L418" s="74"/>
      <c r="M418" s="74"/>
    </row>
    <row r="419" spans="12:29" s="25" customFormat="1">
      <c r="L419" s="74"/>
      <c r="M419" s="74"/>
    </row>
    <row r="420" spans="12:29" s="25" customFormat="1">
      <c r="L420" s="74"/>
      <c r="M420" s="74"/>
    </row>
    <row r="421" spans="12:29" s="25" customFormat="1">
      <c r="L421" s="74"/>
      <c r="M421" s="74"/>
    </row>
    <row r="422" spans="12:29" s="25" customFormat="1">
      <c r="L422" s="74"/>
      <c r="M422" s="74"/>
    </row>
    <row r="423" spans="12:29" s="25" customFormat="1">
      <c r="L423" s="74"/>
      <c r="M423" s="74"/>
    </row>
    <row r="424" spans="12:29" s="25" customFormat="1">
      <c r="L424" s="74"/>
      <c r="M424" s="74"/>
    </row>
    <row r="425" spans="12:29" s="25" customFormat="1">
      <c r="L425" s="74"/>
      <c r="M425" s="74"/>
    </row>
    <row r="426" spans="12:29" s="25" customFormat="1">
      <c r="L426" s="74"/>
      <c r="M426" s="74"/>
    </row>
    <row r="427" spans="12:29" s="25" customFormat="1">
      <c r="L427" s="74"/>
      <c r="M427" s="74"/>
    </row>
    <row r="428" spans="12:29" s="25" customFormat="1">
      <c r="L428" s="74"/>
      <c r="M428" s="74"/>
    </row>
    <row r="429" spans="12:29" s="25" customFormat="1">
      <c r="L429" s="74"/>
      <c r="M429" s="74"/>
    </row>
    <row r="430" spans="12:29" s="25" customFormat="1">
      <c r="L430" s="74"/>
      <c r="M430" s="74"/>
    </row>
    <row r="431" spans="12:29" s="25" customFormat="1">
      <c r="L431" s="74"/>
      <c r="M431" s="74"/>
      <c r="Y431" s="73"/>
      <c r="Z431" s="73"/>
      <c r="AA431" s="73"/>
      <c r="AC431" s="73"/>
    </row>
    <row r="432" spans="12:29" s="25" customFormat="1">
      <c r="L432" s="74"/>
      <c r="M432" s="74"/>
    </row>
    <row r="433" spans="12:13" s="25" customFormat="1">
      <c r="L433" s="74"/>
      <c r="M433" s="74"/>
    </row>
    <row r="434" spans="12:13" s="25" customFormat="1">
      <c r="L434" s="74"/>
      <c r="M434" s="74"/>
    </row>
    <row r="435" spans="12:13" s="25" customFormat="1">
      <c r="L435" s="74"/>
      <c r="M435" s="74"/>
    </row>
    <row r="436" spans="12:13" s="25" customFormat="1">
      <c r="L436" s="74"/>
      <c r="M436" s="74"/>
    </row>
    <row r="437" spans="12:13" s="25" customFormat="1">
      <c r="L437" s="74"/>
      <c r="M437" s="74"/>
    </row>
    <row r="438" spans="12:13" s="25" customFormat="1">
      <c r="L438" s="74"/>
      <c r="M438" s="74"/>
    </row>
    <row r="439" spans="12:13" s="25" customFormat="1">
      <c r="L439" s="74"/>
      <c r="M439" s="74"/>
    </row>
    <row r="440" spans="12:13" s="25" customFormat="1">
      <c r="L440" s="74"/>
      <c r="M440" s="74"/>
    </row>
    <row r="441" spans="12:13" s="25" customFormat="1">
      <c r="L441" s="74"/>
      <c r="M441" s="74"/>
    </row>
    <row r="442" spans="12:13" s="25" customFormat="1">
      <c r="L442" s="74"/>
      <c r="M442" s="74"/>
    </row>
    <row r="443" spans="12:13" s="25" customFormat="1">
      <c r="L443" s="74"/>
      <c r="M443" s="74"/>
    </row>
    <row r="444" spans="12:13" s="25" customFormat="1">
      <c r="L444" s="74"/>
      <c r="M444" s="74"/>
    </row>
    <row r="445" spans="12:13" s="25" customFormat="1">
      <c r="L445" s="74"/>
      <c r="M445" s="74"/>
    </row>
    <row r="446" spans="12:13" s="25" customFormat="1">
      <c r="L446" s="74"/>
      <c r="M446" s="74"/>
    </row>
    <row r="447" spans="12:13" s="25" customFormat="1">
      <c r="L447" s="74"/>
      <c r="M447" s="74"/>
    </row>
    <row r="448" spans="12:13" s="25" customFormat="1">
      <c r="L448" s="74"/>
      <c r="M448" s="74"/>
    </row>
    <row r="449" spans="12:13" s="25" customFormat="1">
      <c r="L449" s="74"/>
      <c r="M449" s="74"/>
    </row>
    <row r="450" spans="12:13" s="25" customFormat="1">
      <c r="L450" s="74"/>
      <c r="M450" s="74"/>
    </row>
    <row r="451" spans="12:13" s="25" customFormat="1">
      <c r="L451" s="74"/>
      <c r="M451" s="74"/>
    </row>
    <row r="452" spans="12:13" s="25" customFormat="1">
      <c r="L452" s="74"/>
      <c r="M452" s="74"/>
    </row>
    <row r="453" spans="12:13" s="25" customFormat="1">
      <c r="L453" s="74"/>
      <c r="M453" s="74"/>
    </row>
    <row r="454" spans="12:13" s="25" customFormat="1">
      <c r="L454" s="74"/>
      <c r="M454" s="74"/>
    </row>
    <row r="455" spans="12:13" s="25" customFormat="1">
      <c r="L455" s="74"/>
      <c r="M455" s="74"/>
    </row>
    <row r="456" spans="12:13" s="25" customFormat="1">
      <c r="L456" s="74"/>
      <c r="M456" s="74"/>
    </row>
    <row r="457" spans="12:13" s="25" customFormat="1">
      <c r="L457" s="74"/>
      <c r="M457" s="74"/>
    </row>
    <row r="458" spans="12:13" s="25" customFormat="1">
      <c r="L458" s="74"/>
      <c r="M458" s="74"/>
    </row>
    <row r="459" spans="12:13" s="25" customFormat="1">
      <c r="L459" s="74"/>
      <c r="M459" s="74"/>
    </row>
    <row r="460" spans="12:13" s="25" customFormat="1">
      <c r="L460" s="74"/>
      <c r="M460" s="74"/>
    </row>
    <row r="461" spans="12:13" s="25" customFormat="1">
      <c r="L461" s="74"/>
      <c r="M461" s="74"/>
    </row>
    <row r="462" spans="12:13" s="25" customFormat="1">
      <c r="L462" s="74"/>
      <c r="M462" s="74"/>
    </row>
    <row r="463" spans="12:13" s="25" customFormat="1">
      <c r="L463" s="74"/>
      <c r="M463" s="74"/>
    </row>
    <row r="464" spans="12:13" s="25" customFormat="1">
      <c r="L464" s="74"/>
      <c r="M464" s="74"/>
    </row>
    <row r="465" spans="12:13" s="25" customFormat="1">
      <c r="L465" s="74"/>
      <c r="M465" s="74"/>
    </row>
    <row r="466" spans="12:13" s="25" customFormat="1">
      <c r="L466" s="74"/>
      <c r="M466" s="74"/>
    </row>
    <row r="467" spans="12:13" s="25" customFormat="1">
      <c r="L467" s="74"/>
      <c r="M467" s="74"/>
    </row>
    <row r="468" spans="12:13" s="25" customFormat="1">
      <c r="L468" s="74"/>
      <c r="M468" s="74"/>
    </row>
    <row r="469" spans="12:13" s="25" customFormat="1">
      <c r="L469" s="74"/>
      <c r="M469" s="74"/>
    </row>
    <row r="470" spans="12:13" s="25" customFormat="1">
      <c r="L470" s="74"/>
      <c r="M470" s="74"/>
    </row>
    <row r="471" spans="12:13" s="25" customFormat="1">
      <c r="L471" s="74"/>
      <c r="M471" s="74"/>
    </row>
    <row r="472" spans="12:13" s="25" customFormat="1">
      <c r="L472" s="74"/>
      <c r="M472" s="74"/>
    </row>
    <row r="473" spans="12:13" s="25" customFormat="1">
      <c r="L473" s="74"/>
      <c r="M473" s="74"/>
    </row>
    <row r="474" spans="12:13" s="25" customFormat="1">
      <c r="L474" s="74"/>
      <c r="M474" s="74"/>
    </row>
    <row r="475" spans="12:13" s="25" customFormat="1">
      <c r="L475" s="74"/>
      <c r="M475" s="74"/>
    </row>
    <row r="476" spans="12:13" s="25" customFormat="1">
      <c r="L476" s="74"/>
      <c r="M476" s="74"/>
    </row>
    <row r="477" spans="12:13" s="25" customFormat="1">
      <c r="L477" s="74"/>
      <c r="M477" s="74"/>
    </row>
    <row r="478" spans="12:13" s="25" customFormat="1">
      <c r="L478" s="74"/>
      <c r="M478" s="74"/>
    </row>
    <row r="479" spans="12:13" s="25" customFormat="1">
      <c r="L479" s="74"/>
      <c r="M479" s="74"/>
    </row>
    <row r="480" spans="12:13" s="25" customFormat="1">
      <c r="L480" s="74"/>
      <c r="M480" s="74"/>
    </row>
    <row r="481" spans="12:13" s="25" customFormat="1">
      <c r="L481" s="74"/>
      <c r="M481" s="74"/>
    </row>
    <row r="482" spans="12:13" s="25" customFormat="1">
      <c r="L482" s="74"/>
      <c r="M482" s="74"/>
    </row>
    <row r="483" spans="12:13" s="25" customFormat="1">
      <c r="L483" s="74"/>
      <c r="M483" s="74"/>
    </row>
    <row r="484" spans="12:13" s="25" customFormat="1">
      <c r="L484" s="74"/>
      <c r="M484" s="74"/>
    </row>
    <row r="485" spans="12:13" s="25" customFormat="1">
      <c r="L485" s="74"/>
      <c r="M485" s="74"/>
    </row>
    <row r="486" spans="12:13" s="25" customFormat="1">
      <c r="L486" s="74"/>
      <c r="M486" s="74"/>
    </row>
    <row r="487" spans="12:13" s="25" customFormat="1">
      <c r="L487" s="74"/>
      <c r="M487" s="74"/>
    </row>
    <row r="488" spans="12:13" s="25" customFormat="1">
      <c r="L488" s="74"/>
      <c r="M488" s="74"/>
    </row>
    <row r="489" spans="12:13" s="25" customFormat="1">
      <c r="L489" s="74"/>
      <c r="M489" s="74"/>
    </row>
    <row r="490" spans="12:13" s="25" customFormat="1">
      <c r="L490" s="74"/>
      <c r="M490" s="74"/>
    </row>
    <row r="491" spans="12:13" s="25" customFormat="1">
      <c r="L491" s="74"/>
      <c r="M491" s="74"/>
    </row>
    <row r="492" spans="12:13" s="25" customFormat="1">
      <c r="L492" s="74"/>
      <c r="M492" s="74"/>
    </row>
    <row r="493" spans="12:13" s="25" customFormat="1">
      <c r="L493" s="74"/>
      <c r="M493" s="74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43"/>
  <sheetViews>
    <sheetView tabSelected="1" workbookViewId="0">
      <selection activeCell="C12" sqref="C1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8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8"/>
      <c r="B2"/>
      <c r="C2"/>
      <c r="D2"/>
      <c r="E2"/>
      <c r="F2"/>
      <c r="G2"/>
      <c r="H2"/>
      <c r="I2" s="306"/>
      <c r="J2"/>
      <c r="K2"/>
      <c r="L2" s="305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56D5D5C0-E019-2D44-A02B-7AE4105A36D0}">
      <formula1>LISTE_MT_JOURNAL</formula1>
    </dataValidation>
    <dataValidation type="list" allowBlank="1" showErrorMessage="1" sqref="C2" xr:uid="{E1A12D3B-8DF1-CD46-B506-E5BAD02970F7}">
      <formula1>LISTE_JOUEURS_JOURNAL</formula1>
    </dataValidation>
    <dataValidation type="list" allowBlank="1" showErrorMessage="1" sqref="E2" xr:uid="{E1CA17BA-8A22-A244-8FAA-8C67F2D29CF9}">
      <formula1>LISTE_ACTIONS_JOURNAL</formula1>
    </dataValidation>
    <dataValidation type="list" allowBlank="1" showErrorMessage="1" sqref="G2" xr:uid="{21C002EA-9669-304B-B2AD-5E8142E8D4D9}">
      <formula1>LISTE_EQUIPES_JOURNAL</formula1>
    </dataValidation>
    <dataValidation type="list" allowBlank="1" showErrorMessage="1" sqref="F2" xr:uid="{DA2EDEAC-49AC-6A4C-B667-EC7C8D82FF73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workbookViewId="0"/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93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</row>
    <row r="4" spans="2:37" s="25" customFormat="1" ht="20" customHeight="1">
      <c r="B4" s="293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4"/>
    </row>
    <row r="5" spans="2:37" s="25" customFormat="1"/>
    <row r="6" spans="2:37" ht="14" customHeight="1">
      <c r="B6" s="285" t="s">
        <v>64</v>
      </c>
      <c r="C6" s="267" t="str">
        <f>ACT_PL_NORMAL</f>
        <v>Plaquage normal</v>
      </c>
      <c r="D6" s="268"/>
      <c r="E6" s="267" t="str">
        <f>ACT_PL_OFF</f>
        <v>Plaquage offensif</v>
      </c>
      <c r="F6" s="268"/>
      <c r="G6" s="267" t="str">
        <f>ACT_PL_RATE</f>
        <v>Plaquage raté</v>
      </c>
      <c r="H6" s="268"/>
      <c r="I6" s="267" t="str">
        <f>ACT_PL_A2</f>
        <v>Plaquage à 2</v>
      </c>
      <c r="J6" s="270"/>
      <c r="K6" s="270" t="str">
        <f>ACT_PL_HAUT</f>
        <v>Plaquage haut</v>
      </c>
      <c r="L6" s="268"/>
      <c r="M6" s="270" t="str">
        <f>ACT_GRATTAGE</f>
        <v>Grattage</v>
      </c>
      <c r="N6" s="268"/>
      <c r="O6" s="270" t="str">
        <f>ACT_FRANCHISSEMENT</f>
        <v>Franchissement</v>
      </c>
      <c r="P6" s="268"/>
      <c r="Q6" s="270" t="str">
        <f>ACT_AVANCEE</f>
        <v>Avancée au contact</v>
      </c>
      <c r="R6" s="268"/>
      <c r="S6" s="270" t="str">
        <f>ACT_ATT_NULLE</f>
        <v>Recul ou sans progression</v>
      </c>
      <c r="T6" s="268"/>
      <c r="U6" s="257" t="s">
        <v>286</v>
      </c>
      <c r="V6" s="258"/>
      <c r="W6" s="258"/>
      <c r="X6" s="258"/>
      <c r="Y6" s="258"/>
      <c r="Z6" s="259"/>
      <c r="AF6"/>
      <c r="AG6"/>
    </row>
    <row r="7" spans="2:37" ht="13" customHeight="1">
      <c r="B7" s="286"/>
      <c r="C7" s="76" t="s">
        <v>97</v>
      </c>
      <c r="D7" s="77" t="s">
        <v>94</v>
      </c>
      <c r="E7" s="78" t="s">
        <v>97</v>
      </c>
      <c r="F7" s="78" t="s">
        <v>94</v>
      </c>
      <c r="G7" s="76" t="s">
        <v>97</v>
      </c>
      <c r="H7" s="77" t="s">
        <v>94</v>
      </c>
      <c r="I7" s="76" t="s">
        <v>97</v>
      </c>
      <c r="J7" s="77" t="s">
        <v>94</v>
      </c>
      <c r="K7" s="76" t="s">
        <v>97</v>
      </c>
      <c r="L7" s="77" t="s">
        <v>94</v>
      </c>
      <c r="M7" s="78" t="s">
        <v>97</v>
      </c>
      <c r="N7" s="77" t="s">
        <v>94</v>
      </c>
      <c r="O7" s="78" t="s">
        <v>97</v>
      </c>
      <c r="P7" s="77" t="s">
        <v>94</v>
      </c>
      <c r="Q7" s="78" t="s">
        <v>97</v>
      </c>
      <c r="R7" s="77" t="s">
        <v>94</v>
      </c>
      <c r="S7" s="78" t="s">
        <v>97</v>
      </c>
      <c r="T7" s="77" t="s">
        <v>94</v>
      </c>
      <c r="U7" s="94" t="str">
        <f>ACT_PEN_MAUL</f>
        <v>Maul</v>
      </c>
      <c r="V7" s="94" t="str">
        <f>ACT_PEN_HORS_JEU</f>
        <v>Hors-jeu</v>
      </c>
      <c r="W7" s="94" t="str">
        <f>ACT_PEN_PL_A_2</f>
        <v>Plaquage à 2</v>
      </c>
      <c r="X7" s="94" t="str">
        <f>ACT_PEN_PL_HAUT</f>
        <v>Plaquage haut</v>
      </c>
      <c r="Y7" s="94" t="str">
        <f>ACT_PEN_RUCK</f>
        <v>Ruck</v>
      </c>
      <c r="Z7" s="94" t="str">
        <f>ACT_PEN_UNKNOWN</f>
        <v>?</v>
      </c>
      <c r="AF7"/>
      <c r="AG7"/>
    </row>
    <row r="8" spans="2:37">
      <c r="B8" s="55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0" t="str">
        <f>IF(COUNTIFS(JournalActions[Joueur],$B8,JournalActions[Action],$C$6,JournalActions[Mi-temps],C$7)=0,"",COUNTIFS(JournalActions[Joueur],$B8,JournalActions[Action],$C$6,JournalActions[Mi-temps],C$7))</f>
        <v/>
      </c>
      <c r="D8" s="61" t="str">
        <f>IF(COUNTIFS(JournalActions[Joueur],$B8,JournalActions[Action],$C$6,JournalActions[Mi-temps],D$7)=0,"",COUNTIFS(JournalActions[Joueur],$B8,JournalActions[Action],$C$6,JournalActions[Mi-temps],D$7))</f>
        <v/>
      </c>
      <c r="E8" s="60" t="str">
        <f>IF(COUNTIFS(JournalActions[Joueur],$B8,JournalActions[Action],$E$6,JournalActions[Mi-temps],E$7)=0,"",COUNTIFS(JournalActions[Joueur],$B8,JournalActions[Action],$E$6,JournalActions[Mi-temps],E$7))</f>
        <v/>
      </c>
      <c r="F8" s="62" t="str">
        <f>IF(COUNTIFS(JournalActions[Joueur],$B8,JournalActions[Action],$E$6,JournalActions[Mi-temps],F$7)=0,"",COUNTIFS(JournalActions[Joueur],$B8,JournalActions[Action],$E$6,JournalActions[Mi-temps],F$7))</f>
        <v/>
      </c>
      <c r="G8" s="60" t="str">
        <f>IF(COUNTIFS(JournalActions[Joueur],$B8,JournalActions[Action],$G$6,JournalActions[Mi-temps],G$7)=0,"",COUNTIFS(JournalActions[Joueur],$B8,JournalActions[Action],$G$6,JournalActions[Mi-temps],G$7))</f>
        <v/>
      </c>
      <c r="H8" s="61" t="str">
        <f>IF(COUNTIFS(JournalActions[Joueur],$B8,JournalActions[Action],$G$6,JournalActions[Mi-temps],H$7)=0,"",COUNTIFS(JournalActions[Joueur],$B8,JournalActions[Action],$G$6,JournalActions[Mi-temps],H$7))</f>
        <v/>
      </c>
      <c r="I8" s="60" t="str">
        <f>IF(COUNTIFS(JournalActions[Joueur],$B8,JournalActions[Action],$I$6,JournalActions[Mi-temps],I$7)=0,"",COUNTIFS(JournalActions[Joueur],$B8,JournalActions[Action],$I$6,JournalActions[Mi-temps],I$7))</f>
        <v/>
      </c>
      <c r="J8" s="61" t="str">
        <f>IF(COUNTIFS(JournalActions[Joueur],$B8,JournalActions[Action],$I$6,JournalActions[Mi-temps],J$7)=0,"",COUNTIFS(JournalActions[Joueur],$B8,JournalActions[Action],$I$6,JournalActions[Mi-temps],J$7))</f>
        <v/>
      </c>
      <c r="K8" s="60" t="str">
        <f>IF(COUNTIFS(JournalActions[Joueur],$B8,JournalActions[Action],$K$6,JournalActions[Mi-temps],K$7)=0,"",COUNTIFS(JournalActions[Joueur],$B8,JournalActions[Action],$K$6,JournalActions[Mi-temps],K$7))</f>
        <v/>
      </c>
      <c r="L8" s="61" t="str">
        <f>IF(COUNTIFS(JournalActions[Joueur],$B8,JournalActions[Action],$K$6,JournalActions[Mi-temps],L$7)=0,"",COUNTIFS(JournalActions[Joueur],$B8,JournalActions[Action],$K$6,JournalActions[Mi-temps],L$7))</f>
        <v/>
      </c>
      <c r="M8" s="60" t="str">
        <f>IF(COUNTIFS(JournalActions[Joueur],$B8,JournalActions[Action],$M$6,JournalActions[Mi-temps],M$7)=0,"",COUNTIFS(JournalActions[Joueur],$B8,JournalActions[Action],$M$6,JournalActions[Mi-temps],M$7))</f>
        <v/>
      </c>
      <c r="N8" s="61" t="str">
        <f>IF(COUNTIFS(JournalActions[Joueur],$B8,JournalActions[Action],$M$6,JournalActions[Mi-temps],N$7)=0,"",COUNTIFS(JournalActions[Joueur],$B8,JournalActions[Action],$M$6,JournalActions[Mi-temps],N$7))</f>
        <v/>
      </c>
      <c r="O8" s="60" t="str">
        <f>IF(COUNTIFS(JournalActions[Joueur],$B8,JournalActions[Action],$O$6,JournalActions[Mi-temps],O$7)=0,"",COUNTIFS(JournalActions[Joueur],$B8,JournalActions[Action],$O$6,JournalActions[Mi-temps],O$7))</f>
        <v/>
      </c>
      <c r="P8" s="61" t="str">
        <f>IF(COUNTIFS(JournalActions[Joueur],$B8,JournalActions[Action],$O$6,JournalActions[Mi-temps],P$7)=0,"",COUNTIFS(JournalActions[Joueur],$B8,JournalActions[Action],$O$6,JournalActions[Mi-temps],P$7))</f>
        <v/>
      </c>
      <c r="Q8" s="60" t="str">
        <f>IF(COUNTIFS(JournalActions[Joueur],$B8,JournalActions[Action],$Q$6,JournalActions[Mi-temps],Q$7)=0,"",COUNTIFS(JournalActions[Joueur],$B8,JournalActions[Action],$Q$6,JournalActions[Mi-temps],Q$7))</f>
        <v/>
      </c>
      <c r="R8" s="61" t="str">
        <f>IF(COUNTIFS(JournalActions[Joueur],$B8,JournalActions[Action],$Q$6,JournalActions[Mi-temps],R$7)=0,"",COUNTIFS(JournalActions[Joueur],$B8,JournalActions[Action],$Q$6,JournalActions[Mi-temps],R$7))</f>
        <v/>
      </c>
      <c r="S8" s="60" t="str">
        <f>IF(COUNTIFS(JournalActions[Joueur],$B8,JournalActions[Action],$S$6,JournalActions[Mi-temps],S$7)=0,"",COUNTIFS(JournalActions[Joueur],$B8,JournalActions[Action],$S$6,JournalActions[Mi-temps],S$7))</f>
        <v/>
      </c>
      <c r="T8" s="61" t="str">
        <f>IF(COUNTIFS(JournalActions[Joueur],$B8,JournalActions[Action],$S$6,JournalActions[Mi-temps],T$7)=0,"",COUNTIFS(JournalActions[Joueur],$B8,JournalActions[Action],$S$6,JournalActions[Mi-temps],T$7))</f>
        <v/>
      </c>
      <c r="U8" s="88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8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8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8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8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8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5" t="str">
        <v>ABADIE Quentin</v>
      </c>
      <c r="C9" s="55" t="str">
        <f>IF(COUNTIFS(JournalActions[Joueur],$B9,JournalActions[Action],$C$6,JournalActions[Mi-temps],C$7)=0,"",COUNTIFS(JournalActions[Joueur],$B9,JournalActions[Action],$C$6,JournalActions[Mi-temps],C$7))</f>
        <v/>
      </c>
      <c r="D9" s="56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5" t="str">
        <f>IF(COUNTIFS(JournalActions[Joueur],$B9,JournalActions[Action],$G$6,JournalActions[Mi-temps],G$7)=0,"",COUNTIFS(JournalActions[Joueur],$B9,JournalActions[Action],$G$6,JournalActions[Mi-temps],G$7))</f>
        <v/>
      </c>
      <c r="H9" s="56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5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5" t="str">
        <f>IF(COUNTIFS(JournalActions[Joueur],$B9,JournalActions[Action],$M$6,JournalActions[Mi-temps],M$7)=0,"",COUNTIFS(JournalActions[Joueur],$B9,JournalActions[Action],$M$6,JournalActions[Mi-temps],M$7))</f>
        <v/>
      </c>
      <c r="N9" s="56" t="str">
        <f>IF(COUNTIFS(JournalActions[Joueur],$B9,JournalActions[Action],$M$6,JournalActions[Mi-temps],N$7)=0,"",COUNTIFS(JournalActions[Joueur],$B9,JournalActions[Action],$M$6,JournalActions[Mi-temps],N$7))</f>
        <v/>
      </c>
      <c r="O9" s="55" t="str">
        <f>IF(COUNTIFS(JournalActions[Joueur],$B9,JournalActions[Action],$O$6,JournalActions[Mi-temps],O$7)=0,"",COUNTIFS(JournalActions[Joueur],$B9,JournalActions[Action],$O$6,JournalActions[Mi-temps],O$7))</f>
        <v/>
      </c>
      <c r="P9" s="56" t="str">
        <f>IF(COUNTIFS(JournalActions[Joueur],$B9,JournalActions[Action],$O$6,JournalActions[Mi-temps],P$7)=0,"",COUNTIFS(JournalActions[Joueur],$B9,JournalActions[Action],$O$6,JournalActions[Mi-temps],P$7))</f>
        <v/>
      </c>
      <c r="Q9" s="55" t="str">
        <f>IF(COUNTIFS(JournalActions[Joueur],$B9,JournalActions[Action],$Q$6,JournalActions[Mi-temps],Q$7)=0,"",COUNTIFS(JournalActions[Joueur],$B9,JournalActions[Action],$Q$6,JournalActions[Mi-temps],Q$7))</f>
        <v/>
      </c>
      <c r="R9" s="56" t="str">
        <f>IF(COUNTIFS(JournalActions[Joueur],$B9,JournalActions[Action],$Q$6,JournalActions[Mi-temps],R$7)=0,"",COUNTIFS(JournalActions[Joueur],$B9,JournalActions[Action],$Q$6,JournalActions[Mi-temps],R$7))</f>
        <v/>
      </c>
      <c r="S9" s="55" t="str">
        <f>IF(COUNTIFS(JournalActions[Joueur],$B9,JournalActions[Action],$S$6,JournalActions[Mi-temps],S$7)=0,"",COUNTIFS(JournalActions[Joueur],$B9,JournalActions[Action],$S$6,JournalActions[Mi-temps],S$7))</f>
        <v/>
      </c>
      <c r="T9" s="56" t="str">
        <f>IF(COUNTIFS(JournalActions[Joueur],$B9,JournalActions[Action],$S$6,JournalActions[Mi-temps],T$7)=0,"",COUNTIFS(JournalActions[Joueur],$B9,JournalActions[Action],$S$6,JournalActions[Mi-temps],T$7))</f>
        <v/>
      </c>
      <c r="U9" s="95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5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5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5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5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5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5" t="str">
        <v>ABADIE Thomas</v>
      </c>
      <c r="C10" s="55" t="str">
        <f>IF(COUNTIFS(JournalActions[Joueur],$B10,JournalActions[Action],$C$6,JournalActions[Mi-temps],C$7)=0,"",COUNTIFS(JournalActions[Joueur],$B10,JournalActions[Action],$C$6,JournalActions[Mi-temps],C$7))</f>
        <v/>
      </c>
      <c r="D10" s="56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5" t="str">
        <f>IF(COUNTIFS(JournalActions[Joueur],$B10,JournalActions[Action],$G$6,JournalActions[Mi-temps],G$7)=0,"",COUNTIFS(JournalActions[Joueur],$B10,JournalActions[Action],$G$6,JournalActions[Mi-temps],G$7))</f>
        <v/>
      </c>
      <c r="H10" s="56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5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5" t="str">
        <f>IF(COUNTIFS(JournalActions[Joueur],$B10,JournalActions[Action],$M$6,JournalActions[Mi-temps],M$7)=0,"",COUNTIFS(JournalActions[Joueur],$B10,JournalActions[Action],$M$6,JournalActions[Mi-temps],M$7))</f>
        <v/>
      </c>
      <c r="N10" s="56" t="str">
        <f>IF(COUNTIFS(JournalActions[Joueur],$B10,JournalActions[Action],$M$6,JournalActions[Mi-temps],N$7)=0,"",COUNTIFS(JournalActions[Joueur],$B10,JournalActions[Action],$M$6,JournalActions[Mi-temps],N$7))</f>
        <v/>
      </c>
      <c r="O10" s="55" t="str">
        <f>IF(COUNTIFS(JournalActions[Joueur],$B10,JournalActions[Action],$O$6,JournalActions[Mi-temps],O$7)=0,"",COUNTIFS(JournalActions[Joueur],$B10,JournalActions[Action],$O$6,JournalActions[Mi-temps],O$7))</f>
        <v/>
      </c>
      <c r="P10" s="56" t="str">
        <f>IF(COUNTIFS(JournalActions[Joueur],$B10,JournalActions[Action],$O$6,JournalActions[Mi-temps],P$7)=0,"",COUNTIFS(JournalActions[Joueur],$B10,JournalActions[Action],$O$6,JournalActions[Mi-temps],P$7))</f>
        <v/>
      </c>
      <c r="Q10" s="55" t="str">
        <f>IF(COUNTIFS(JournalActions[Joueur],$B10,JournalActions[Action],$Q$6,JournalActions[Mi-temps],Q$7)=0,"",COUNTIFS(JournalActions[Joueur],$B10,JournalActions[Action],$Q$6,JournalActions[Mi-temps],Q$7))</f>
        <v/>
      </c>
      <c r="R10" s="56" t="str">
        <f>IF(COUNTIFS(JournalActions[Joueur],$B10,JournalActions[Action],$Q$6,JournalActions[Mi-temps],R$7)=0,"",COUNTIFS(JournalActions[Joueur],$B10,JournalActions[Action],$Q$6,JournalActions[Mi-temps],R$7))</f>
        <v/>
      </c>
      <c r="S10" s="55" t="str">
        <f>IF(COUNTIFS(JournalActions[Joueur],$B10,JournalActions[Action],$S$6,JournalActions[Mi-temps],S$7)=0,"",COUNTIFS(JournalActions[Joueur],$B10,JournalActions[Action],$S$6,JournalActions[Mi-temps],S$7))</f>
        <v/>
      </c>
      <c r="T10" s="56" t="str">
        <f>IF(COUNTIFS(JournalActions[Joueur],$B10,JournalActions[Action],$S$6,JournalActions[Mi-temps],T$7)=0,"",COUNTIFS(JournalActions[Joueur],$B10,JournalActions[Action],$S$6,JournalActions[Mi-temps],T$7))</f>
        <v/>
      </c>
      <c r="U10" s="95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5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5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5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5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5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5" t="str">
        <v>BAQUE Lucas</v>
      </c>
      <c r="C11" s="55" t="str">
        <f>IF(COUNTIFS(JournalActions[Joueur],$B11,JournalActions[Action],$C$6,JournalActions[Mi-temps],C$7)=0,"",COUNTIFS(JournalActions[Joueur],$B11,JournalActions[Action],$C$6,JournalActions[Mi-temps],C$7))</f>
        <v/>
      </c>
      <c r="D11" s="56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5" t="str">
        <f>IF(COUNTIFS(JournalActions[Joueur],$B11,JournalActions[Action],$G$6,JournalActions[Mi-temps],G$7)=0,"",COUNTIFS(JournalActions[Joueur],$B11,JournalActions[Action],$G$6,JournalActions[Mi-temps],G$7))</f>
        <v/>
      </c>
      <c r="H11" s="56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5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5" t="str">
        <f>IF(COUNTIFS(JournalActions[Joueur],$B11,JournalActions[Action],$M$6,JournalActions[Mi-temps],M$7)=0,"",COUNTIFS(JournalActions[Joueur],$B11,JournalActions[Action],$M$6,JournalActions[Mi-temps],M$7))</f>
        <v/>
      </c>
      <c r="N11" s="56" t="str">
        <f>IF(COUNTIFS(JournalActions[Joueur],$B11,JournalActions[Action],$M$6,JournalActions[Mi-temps],N$7)=0,"",COUNTIFS(JournalActions[Joueur],$B11,JournalActions[Action],$M$6,JournalActions[Mi-temps],N$7))</f>
        <v/>
      </c>
      <c r="O11" s="55" t="str">
        <f>IF(COUNTIFS(JournalActions[Joueur],$B11,JournalActions[Action],$O$6,JournalActions[Mi-temps],O$7)=0,"",COUNTIFS(JournalActions[Joueur],$B11,JournalActions[Action],$O$6,JournalActions[Mi-temps],O$7))</f>
        <v/>
      </c>
      <c r="P11" s="56" t="str">
        <f>IF(COUNTIFS(JournalActions[Joueur],$B11,JournalActions[Action],$O$6,JournalActions[Mi-temps],P$7)=0,"",COUNTIFS(JournalActions[Joueur],$B11,JournalActions[Action],$O$6,JournalActions[Mi-temps],P$7))</f>
        <v/>
      </c>
      <c r="Q11" s="55" t="str">
        <f>IF(COUNTIFS(JournalActions[Joueur],$B11,JournalActions[Action],$Q$6,JournalActions[Mi-temps],Q$7)=0,"",COUNTIFS(JournalActions[Joueur],$B11,JournalActions[Action],$Q$6,JournalActions[Mi-temps],Q$7))</f>
        <v/>
      </c>
      <c r="R11" s="56" t="str">
        <f>IF(COUNTIFS(JournalActions[Joueur],$B11,JournalActions[Action],$Q$6,JournalActions[Mi-temps],R$7)=0,"",COUNTIFS(JournalActions[Joueur],$B11,JournalActions[Action],$Q$6,JournalActions[Mi-temps],R$7))</f>
        <v/>
      </c>
      <c r="S11" s="55" t="str">
        <f>IF(COUNTIFS(JournalActions[Joueur],$B11,JournalActions[Action],$S$6,JournalActions[Mi-temps],S$7)=0,"",COUNTIFS(JournalActions[Joueur],$B11,JournalActions[Action],$S$6,JournalActions[Mi-temps],S$7))</f>
        <v/>
      </c>
      <c r="T11" s="56" t="str">
        <f>IF(COUNTIFS(JournalActions[Joueur],$B11,JournalActions[Action],$S$6,JournalActions[Mi-temps],T$7)=0,"",COUNTIFS(JournalActions[Joueur],$B11,JournalActions[Action],$S$6,JournalActions[Mi-temps],T$7))</f>
        <v/>
      </c>
      <c r="U11" s="95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5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5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5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5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5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5" t="str">
        <v>BARATGIN Julian</v>
      </c>
      <c r="C12" s="55" t="str">
        <f>IF(COUNTIFS(JournalActions[Joueur],$B12,JournalActions[Action],$C$6,JournalActions[Mi-temps],C$7)=0,"",COUNTIFS(JournalActions[Joueur],$B12,JournalActions[Action],$C$6,JournalActions[Mi-temps],C$7))</f>
        <v/>
      </c>
      <c r="D12" s="56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5" t="str">
        <f>IF(COUNTIFS(JournalActions[Joueur],$B12,JournalActions[Action],$G$6,JournalActions[Mi-temps],G$7)=0,"",COUNTIFS(JournalActions[Joueur],$B12,JournalActions[Action],$G$6,JournalActions[Mi-temps],G$7))</f>
        <v/>
      </c>
      <c r="H12" s="56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5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5" t="str">
        <f>IF(COUNTIFS(JournalActions[Joueur],$B12,JournalActions[Action],$M$6,JournalActions[Mi-temps],M$7)=0,"",COUNTIFS(JournalActions[Joueur],$B12,JournalActions[Action],$M$6,JournalActions[Mi-temps],M$7))</f>
        <v/>
      </c>
      <c r="N12" s="56" t="str">
        <f>IF(COUNTIFS(JournalActions[Joueur],$B12,JournalActions[Action],$M$6,JournalActions[Mi-temps],N$7)=0,"",COUNTIFS(JournalActions[Joueur],$B12,JournalActions[Action],$M$6,JournalActions[Mi-temps],N$7))</f>
        <v/>
      </c>
      <c r="O12" s="55" t="str">
        <f>IF(COUNTIFS(JournalActions[Joueur],$B12,JournalActions[Action],$O$6,JournalActions[Mi-temps],O$7)=0,"",COUNTIFS(JournalActions[Joueur],$B12,JournalActions[Action],$O$6,JournalActions[Mi-temps],O$7))</f>
        <v/>
      </c>
      <c r="P12" s="56" t="str">
        <f>IF(COUNTIFS(JournalActions[Joueur],$B12,JournalActions[Action],$O$6,JournalActions[Mi-temps],P$7)=0,"",COUNTIFS(JournalActions[Joueur],$B12,JournalActions[Action],$O$6,JournalActions[Mi-temps],P$7))</f>
        <v/>
      </c>
      <c r="Q12" s="55" t="str">
        <f>IF(COUNTIFS(JournalActions[Joueur],$B12,JournalActions[Action],$Q$6,JournalActions[Mi-temps],Q$7)=0,"",COUNTIFS(JournalActions[Joueur],$B12,JournalActions[Action],$Q$6,JournalActions[Mi-temps],Q$7))</f>
        <v/>
      </c>
      <c r="R12" s="56" t="str">
        <f>IF(COUNTIFS(JournalActions[Joueur],$B12,JournalActions[Action],$Q$6,JournalActions[Mi-temps],R$7)=0,"",COUNTIFS(JournalActions[Joueur],$B12,JournalActions[Action],$Q$6,JournalActions[Mi-temps],R$7))</f>
        <v/>
      </c>
      <c r="S12" s="55" t="str">
        <f>IF(COUNTIFS(JournalActions[Joueur],$B12,JournalActions[Action],$S$6,JournalActions[Mi-temps],S$7)=0,"",COUNTIFS(JournalActions[Joueur],$B12,JournalActions[Action],$S$6,JournalActions[Mi-temps],S$7))</f>
        <v/>
      </c>
      <c r="T12" s="56" t="str">
        <f>IF(COUNTIFS(JournalActions[Joueur],$B12,JournalActions[Action],$S$6,JournalActions[Mi-temps],T$7)=0,"",COUNTIFS(JournalActions[Joueur],$B12,JournalActions[Action],$S$6,JournalActions[Mi-temps],T$7))</f>
        <v/>
      </c>
      <c r="U12" s="95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5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5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5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5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5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5" t="str">
        <v>BAUP Bastien</v>
      </c>
      <c r="C13" s="55" t="str">
        <f>IF(COUNTIFS(JournalActions[Joueur],$B13,JournalActions[Action],$C$6,JournalActions[Mi-temps],C$7)=0,"",COUNTIFS(JournalActions[Joueur],$B13,JournalActions[Action],$C$6,JournalActions[Mi-temps],C$7))</f>
        <v/>
      </c>
      <c r="D13" s="56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5" t="str">
        <f>IF(COUNTIFS(JournalActions[Joueur],$B13,JournalActions[Action],$G$6,JournalActions[Mi-temps],G$7)=0,"",COUNTIFS(JournalActions[Joueur],$B13,JournalActions[Action],$G$6,JournalActions[Mi-temps],G$7))</f>
        <v/>
      </c>
      <c r="H13" s="56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5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5" t="str">
        <f>IF(COUNTIFS(JournalActions[Joueur],$B13,JournalActions[Action],$M$6,JournalActions[Mi-temps],M$7)=0,"",COUNTIFS(JournalActions[Joueur],$B13,JournalActions[Action],$M$6,JournalActions[Mi-temps],M$7))</f>
        <v/>
      </c>
      <c r="N13" s="56" t="str">
        <f>IF(COUNTIFS(JournalActions[Joueur],$B13,JournalActions[Action],$M$6,JournalActions[Mi-temps],N$7)=0,"",COUNTIFS(JournalActions[Joueur],$B13,JournalActions[Action],$M$6,JournalActions[Mi-temps],N$7))</f>
        <v/>
      </c>
      <c r="O13" s="55" t="str">
        <f>IF(COUNTIFS(JournalActions[Joueur],$B13,JournalActions[Action],$O$6,JournalActions[Mi-temps],O$7)=0,"",COUNTIFS(JournalActions[Joueur],$B13,JournalActions[Action],$O$6,JournalActions[Mi-temps],O$7))</f>
        <v/>
      </c>
      <c r="P13" s="56" t="str">
        <f>IF(COUNTIFS(JournalActions[Joueur],$B13,JournalActions[Action],$O$6,JournalActions[Mi-temps],P$7)=0,"",COUNTIFS(JournalActions[Joueur],$B13,JournalActions[Action],$O$6,JournalActions[Mi-temps],P$7))</f>
        <v/>
      </c>
      <c r="Q13" s="55" t="str">
        <f>IF(COUNTIFS(JournalActions[Joueur],$B13,JournalActions[Action],$Q$6,JournalActions[Mi-temps],Q$7)=0,"",COUNTIFS(JournalActions[Joueur],$B13,JournalActions[Action],$Q$6,JournalActions[Mi-temps],Q$7))</f>
        <v/>
      </c>
      <c r="R13" s="56" t="str">
        <f>IF(COUNTIFS(JournalActions[Joueur],$B13,JournalActions[Action],$Q$6,JournalActions[Mi-temps],R$7)=0,"",COUNTIFS(JournalActions[Joueur],$B13,JournalActions[Action],$Q$6,JournalActions[Mi-temps],R$7))</f>
        <v/>
      </c>
      <c r="S13" s="55" t="str">
        <f>IF(COUNTIFS(JournalActions[Joueur],$B13,JournalActions[Action],$S$6,JournalActions[Mi-temps],S$7)=0,"",COUNTIFS(JournalActions[Joueur],$B13,JournalActions[Action],$S$6,JournalActions[Mi-temps],S$7))</f>
        <v/>
      </c>
      <c r="T13" s="56" t="str">
        <f>IF(COUNTIFS(JournalActions[Joueur],$B13,JournalActions[Action],$S$6,JournalActions[Mi-temps],T$7)=0,"",COUNTIFS(JournalActions[Joueur],$B13,JournalActions[Action],$S$6,JournalActions[Mi-temps],T$7))</f>
        <v/>
      </c>
      <c r="U13" s="95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5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5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5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5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5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5" t="str">
        <v>BAYLE Jean</v>
      </c>
      <c r="C14" s="55" t="str">
        <f>IF(COUNTIFS(JournalActions[Joueur],$B14,JournalActions[Action],$C$6,JournalActions[Mi-temps],C$7)=0,"",COUNTIFS(JournalActions[Joueur],$B14,JournalActions[Action],$C$6,JournalActions[Mi-temps],C$7))</f>
        <v/>
      </c>
      <c r="D14" s="56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5" t="str">
        <f>IF(COUNTIFS(JournalActions[Joueur],$B14,JournalActions[Action],$G$6,JournalActions[Mi-temps],G$7)=0,"",COUNTIFS(JournalActions[Joueur],$B14,JournalActions[Action],$G$6,JournalActions[Mi-temps],G$7))</f>
        <v/>
      </c>
      <c r="H14" s="56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5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5" t="str">
        <f>IF(COUNTIFS(JournalActions[Joueur],$B14,JournalActions[Action],$M$6,JournalActions[Mi-temps],M$7)=0,"",COUNTIFS(JournalActions[Joueur],$B14,JournalActions[Action],$M$6,JournalActions[Mi-temps],M$7))</f>
        <v/>
      </c>
      <c r="N14" s="56" t="str">
        <f>IF(COUNTIFS(JournalActions[Joueur],$B14,JournalActions[Action],$M$6,JournalActions[Mi-temps],N$7)=0,"",COUNTIFS(JournalActions[Joueur],$B14,JournalActions[Action],$M$6,JournalActions[Mi-temps],N$7))</f>
        <v/>
      </c>
      <c r="O14" s="55" t="str">
        <f>IF(COUNTIFS(JournalActions[Joueur],$B14,JournalActions[Action],$O$6,JournalActions[Mi-temps],O$7)=0,"",COUNTIFS(JournalActions[Joueur],$B14,JournalActions[Action],$O$6,JournalActions[Mi-temps],O$7))</f>
        <v/>
      </c>
      <c r="P14" s="56" t="str">
        <f>IF(COUNTIFS(JournalActions[Joueur],$B14,JournalActions[Action],$O$6,JournalActions[Mi-temps],P$7)=0,"",COUNTIFS(JournalActions[Joueur],$B14,JournalActions[Action],$O$6,JournalActions[Mi-temps],P$7))</f>
        <v/>
      </c>
      <c r="Q14" s="55" t="str">
        <f>IF(COUNTIFS(JournalActions[Joueur],$B14,JournalActions[Action],$Q$6,JournalActions[Mi-temps],Q$7)=0,"",COUNTIFS(JournalActions[Joueur],$B14,JournalActions[Action],$Q$6,JournalActions[Mi-temps],Q$7))</f>
        <v/>
      </c>
      <c r="R14" s="56" t="str">
        <f>IF(COUNTIFS(JournalActions[Joueur],$B14,JournalActions[Action],$Q$6,JournalActions[Mi-temps],R$7)=0,"",COUNTIFS(JournalActions[Joueur],$B14,JournalActions[Action],$Q$6,JournalActions[Mi-temps],R$7))</f>
        <v/>
      </c>
      <c r="S14" s="55" t="str">
        <f>IF(COUNTIFS(JournalActions[Joueur],$B14,JournalActions[Action],$S$6,JournalActions[Mi-temps],S$7)=0,"",COUNTIFS(JournalActions[Joueur],$B14,JournalActions[Action],$S$6,JournalActions[Mi-temps],S$7))</f>
        <v/>
      </c>
      <c r="T14" s="56" t="str">
        <f>IF(COUNTIFS(JournalActions[Joueur],$B14,JournalActions[Action],$S$6,JournalActions[Mi-temps],T$7)=0,"",COUNTIFS(JournalActions[Joueur],$B14,JournalActions[Action],$S$6,JournalActions[Mi-temps],T$7))</f>
        <v/>
      </c>
      <c r="U14" s="95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5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5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5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5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5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5" t="str">
        <v>BIFFI Pierre</v>
      </c>
      <c r="C15" s="55" t="str">
        <f>IF(COUNTIFS(JournalActions[Joueur],$B15,JournalActions[Action],$C$6,JournalActions[Mi-temps],C$7)=0,"",COUNTIFS(JournalActions[Joueur],$B15,JournalActions[Action],$C$6,JournalActions[Mi-temps],C$7))</f>
        <v/>
      </c>
      <c r="D15" s="56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5" t="str">
        <f>IF(COUNTIFS(JournalActions[Joueur],$B15,JournalActions[Action],$G$6,JournalActions[Mi-temps],G$7)=0,"",COUNTIFS(JournalActions[Joueur],$B15,JournalActions[Action],$G$6,JournalActions[Mi-temps],G$7))</f>
        <v/>
      </c>
      <c r="H15" s="56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5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5" t="str">
        <f>IF(COUNTIFS(JournalActions[Joueur],$B15,JournalActions[Action],$M$6,JournalActions[Mi-temps],M$7)=0,"",COUNTIFS(JournalActions[Joueur],$B15,JournalActions[Action],$M$6,JournalActions[Mi-temps],M$7))</f>
        <v/>
      </c>
      <c r="N15" s="56" t="str">
        <f>IF(COUNTIFS(JournalActions[Joueur],$B15,JournalActions[Action],$M$6,JournalActions[Mi-temps],N$7)=0,"",COUNTIFS(JournalActions[Joueur],$B15,JournalActions[Action],$M$6,JournalActions[Mi-temps],N$7))</f>
        <v/>
      </c>
      <c r="O15" s="55" t="str">
        <f>IF(COUNTIFS(JournalActions[Joueur],$B15,JournalActions[Action],$O$6,JournalActions[Mi-temps],O$7)=0,"",COUNTIFS(JournalActions[Joueur],$B15,JournalActions[Action],$O$6,JournalActions[Mi-temps],O$7))</f>
        <v/>
      </c>
      <c r="P15" s="56" t="str">
        <f>IF(COUNTIFS(JournalActions[Joueur],$B15,JournalActions[Action],$O$6,JournalActions[Mi-temps],P$7)=0,"",COUNTIFS(JournalActions[Joueur],$B15,JournalActions[Action],$O$6,JournalActions[Mi-temps],P$7))</f>
        <v/>
      </c>
      <c r="Q15" s="55" t="str">
        <f>IF(COUNTIFS(JournalActions[Joueur],$B15,JournalActions[Action],$Q$6,JournalActions[Mi-temps],Q$7)=0,"",COUNTIFS(JournalActions[Joueur],$B15,JournalActions[Action],$Q$6,JournalActions[Mi-temps],Q$7))</f>
        <v/>
      </c>
      <c r="R15" s="56" t="str">
        <f>IF(COUNTIFS(JournalActions[Joueur],$B15,JournalActions[Action],$Q$6,JournalActions[Mi-temps],R$7)=0,"",COUNTIFS(JournalActions[Joueur],$B15,JournalActions[Action],$Q$6,JournalActions[Mi-temps],R$7))</f>
        <v/>
      </c>
      <c r="S15" s="55" t="str">
        <f>IF(COUNTIFS(JournalActions[Joueur],$B15,JournalActions[Action],$S$6,JournalActions[Mi-temps],S$7)=0,"",COUNTIFS(JournalActions[Joueur],$B15,JournalActions[Action],$S$6,JournalActions[Mi-temps],S$7))</f>
        <v/>
      </c>
      <c r="T15" s="56" t="str">
        <f>IF(COUNTIFS(JournalActions[Joueur],$B15,JournalActions[Action],$S$6,JournalActions[Mi-temps],T$7)=0,"",COUNTIFS(JournalActions[Joueur],$B15,JournalActions[Action],$S$6,JournalActions[Mi-temps],T$7))</f>
        <v/>
      </c>
      <c r="U15" s="95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5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5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5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5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5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5" t="str">
        <v>BOURREC Anthony</v>
      </c>
      <c r="C16" s="55" t="str">
        <f>IF(COUNTIFS(JournalActions[Joueur],$B16,JournalActions[Action],$C$6,JournalActions[Mi-temps],C$7)=0,"",COUNTIFS(JournalActions[Joueur],$B16,JournalActions[Action],$C$6,JournalActions[Mi-temps],C$7))</f>
        <v/>
      </c>
      <c r="D16" s="56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5" t="str">
        <f>IF(COUNTIFS(JournalActions[Joueur],$B16,JournalActions[Action],$G$6,JournalActions[Mi-temps],G$7)=0,"",COUNTIFS(JournalActions[Joueur],$B16,JournalActions[Action],$G$6,JournalActions[Mi-temps],G$7))</f>
        <v/>
      </c>
      <c r="H16" s="56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5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5" t="str">
        <f>IF(COUNTIFS(JournalActions[Joueur],$B16,JournalActions[Action],$M$6,JournalActions[Mi-temps],M$7)=0,"",COUNTIFS(JournalActions[Joueur],$B16,JournalActions[Action],$M$6,JournalActions[Mi-temps],M$7))</f>
        <v/>
      </c>
      <c r="N16" s="56" t="str">
        <f>IF(COUNTIFS(JournalActions[Joueur],$B16,JournalActions[Action],$M$6,JournalActions[Mi-temps],N$7)=0,"",COUNTIFS(JournalActions[Joueur],$B16,JournalActions[Action],$M$6,JournalActions[Mi-temps],N$7))</f>
        <v/>
      </c>
      <c r="O16" s="55" t="str">
        <f>IF(COUNTIFS(JournalActions[Joueur],$B16,JournalActions[Action],$O$6,JournalActions[Mi-temps],O$7)=0,"",COUNTIFS(JournalActions[Joueur],$B16,JournalActions[Action],$O$6,JournalActions[Mi-temps],O$7))</f>
        <v/>
      </c>
      <c r="P16" s="56" t="str">
        <f>IF(COUNTIFS(JournalActions[Joueur],$B16,JournalActions[Action],$O$6,JournalActions[Mi-temps],P$7)=0,"",COUNTIFS(JournalActions[Joueur],$B16,JournalActions[Action],$O$6,JournalActions[Mi-temps],P$7))</f>
        <v/>
      </c>
      <c r="Q16" s="55" t="str">
        <f>IF(COUNTIFS(JournalActions[Joueur],$B16,JournalActions[Action],$Q$6,JournalActions[Mi-temps],Q$7)=0,"",COUNTIFS(JournalActions[Joueur],$B16,JournalActions[Action],$Q$6,JournalActions[Mi-temps],Q$7))</f>
        <v/>
      </c>
      <c r="R16" s="56" t="str">
        <f>IF(COUNTIFS(JournalActions[Joueur],$B16,JournalActions[Action],$Q$6,JournalActions[Mi-temps],R$7)=0,"",COUNTIFS(JournalActions[Joueur],$B16,JournalActions[Action],$Q$6,JournalActions[Mi-temps],R$7))</f>
        <v/>
      </c>
      <c r="S16" s="55" t="str">
        <f>IF(COUNTIFS(JournalActions[Joueur],$B16,JournalActions[Action],$S$6,JournalActions[Mi-temps],S$7)=0,"",COUNTIFS(JournalActions[Joueur],$B16,JournalActions[Action],$S$6,JournalActions[Mi-temps],S$7))</f>
        <v/>
      </c>
      <c r="T16" s="56" t="str">
        <f>IF(COUNTIFS(JournalActions[Joueur],$B16,JournalActions[Action],$S$6,JournalActions[Mi-temps],T$7)=0,"",COUNTIFS(JournalActions[Joueur],$B16,JournalActions[Action],$S$6,JournalActions[Mi-temps],T$7))</f>
        <v/>
      </c>
      <c r="U16" s="95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5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5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5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5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5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5" t="str">
        <v>CESCA Sacha</v>
      </c>
      <c r="C17" s="55" t="str">
        <f>IF(COUNTIFS(JournalActions[Joueur],$B17,JournalActions[Action],$C$6,JournalActions[Mi-temps],C$7)=0,"",COUNTIFS(JournalActions[Joueur],$B17,JournalActions[Action],$C$6,JournalActions[Mi-temps],C$7))</f>
        <v/>
      </c>
      <c r="D17" s="56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5" t="str">
        <f>IF(COUNTIFS(JournalActions[Joueur],$B17,JournalActions[Action],$G$6,JournalActions[Mi-temps],G$7)=0,"",COUNTIFS(JournalActions[Joueur],$B17,JournalActions[Action],$G$6,JournalActions[Mi-temps],G$7))</f>
        <v/>
      </c>
      <c r="H17" s="56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5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5" t="str">
        <f>IF(COUNTIFS(JournalActions[Joueur],$B17,JournalActions[Action],$M$6,JournalActions[Mi-temps],M$7)=0,"",COUNTIFS(JournalActions[Joueur],$B17,JournalActions[Action],$M$6,JournalActions[Mi-temps],M$7))</f>
        <v/>
      </c>
      <c r="N17" s="56" t="str">
        <f>IF(COUNTIFS(JournalActions[Joueur],$B17,JournalActions[Action],$M$6,JournalActions[Mi-temps],N$7)=0,"",COUNTIFS(JournalActions[Joueur],$B17,JournalActions[Action],$M$6,JournalActions[Mi-temps],N$7))</f>
        <v/>
      </c>
      <c r="O17" s="55" t="str">
        <f>IF(COUNTIFS(JournalActions[Joueur],$B17,JournalActions[Action],$O$6,JournalActions[Mi-temps],O$7)=0,"",COUNTIFS(JournalActions[Joueur],$B17,JournalActions[Action],$O$6,JournalActions[Mi-temps],O$7))</f>
        <v/>
      </c>
      <c r="P17" s="56" t="str">
        <f>IF(COUNTIFS(JournalActions[Joueur],$B17,JournalActions[Action],$O$6,JournalActions[Mi-temps],P$7)=0,"",COUNTIFS(JournalActions[Joueur],$B17,JournalActions[Action],$O$6,JournalActions[Mi-temps],P$7))</f>
        <v/>
      </c>
      <c r="Q17" s="55" t="str">
        <f>IF(COUNTIFS(JournalActions[Joueur],$B17,JournalActions[Action],$Q$6,JournalActions[Mi-temps],Q$7)=0,"",COUNTIFS(JournalActions[Joueur],$B17,JournalActions[Action],$Q$6,JournalActions[Mi-temps],Q$7))</f>
        <v/>
      </c>
      <c r="R17" s="56" t="str">
        <f>IF(COUNTIFS(JournalActions[Joueur],$B17,JournalActions[Action],$Q$6,JournalActions[Mi-temps],R$7)=0,"",COUNTIFS(JournalActions[Joueur],$B17,JournalActions[Action],$Q$6,JournalActions[Mi-temps],R$7))</f>
        <v/>
      </c>
      <c r="S17" s="55" t="str">
        <f>IF(COUNTIFS(JournalActions[Joueur],$B17,JournalActions[Action],$S$6,JournalActions[Mi-temps],S$7)=0,"",COUNTIFS(JournalActions[Joueur],$B17,JournalActions[Action],$S$6,JournalActions[Mi-temps],S$7))</f>
        <v/>
      </c>
      <c r="T17" s="56" t="str">
        <f>IF(COUNTIFS(JournalActions[Joueur],$B17,JournalActions[Action],$S$6,JournalActions[Mi-temps],T$7)=0,"",COUNTIFS(JournalActions[Joueur],$B17,JournalActions[Action],$S$6,JournalActions[Mi-temps],T$7))</f>
        <v/>
      </c>
      <c r="U17" s="95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5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5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5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5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5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5" t="str">
        <v>COURREGES Romain</v>
      </c>
      <c r="C18" s="55" t="str">
        <f>IF(COUNTIFS(JournalActions[Joueur],$B18,JournalActions[Action],$C$6,JournalActions[Mi-temps],C$7)=0,"",COUNTIFS(JournalActions[Joueur],$B18,JournalActions[Action],$C$6,JournalActions[Mi-temps],C$7))</f>
        <v/>
      </c>
      <c r="D18" s="56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5" t="str">
        <f>IF(COUNTIFS(JournalActions[Joueur],$B18,JournalActions[Action],$G$6,JournalActions[Mi-temps],G$7)=0,"",COUNTIFS(JournalActions[Joueur],$B18,JournalActions[Action],$G$6,JournalActions[Mi-temps],G$7))</f>
        <v/>
      </c>
      <c r="H18" s="56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5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5" t="str">
        <f>IF(COUNTIFS(JournalActions[Joueur],$B18,JournalActions[Action],$M$6,JournalActions[Mi-temps],M$7)=0,"",COUNTIFS(JournalActions[Joueur],$B18,JournalActions[Action],$M$6,JournalActions[Mi-temps],M$7))</f>
        <v/>
      </c>
      <c r="N18" s="56" t="str">
        <f>IF(COUNTIFS(JournalActions[Joueur],$B18,JournalActions[Action],$M$6,JournalActions[Mi-temps],N$7)=0,"",COUNTIFS(JournalActions[Joueur],$B18,JournalActions[Action],$M$6,JournalActions[Mi-temps],N$7))</f>
        <v/>
      </c>
      <c r="O18" s="55" t="str">
        <f>IF(COUNTIFS(JournalActions[Joueur],$B18,JournalActions[Action],$O$6,JournalActions[Mi-temps],O$7)=0,"",COUNTIFS(JournalActions[Joueur],$B18,JournalActions[Action],$O$6,JournalActions[Mi-temps],O$7))</f>
        <v/>
      </c>
      <c r="P18" s="56" t="str">
        <f>IF(COUNTIFS(JournalActions[Joueur],$B18,JournalActions[Action],$O$6,JournalActions[Mi-temps],P$7)=0,"",COUNTIFS(JournalActions[Joueur],$B18,JournalActions[Action],$O$6,JournalActions[Mi-temps],P$7))</f>
        <v/>
      </c>
      <c r="Q18" s="55" t="str">
        <f>IF(COUNTIFS(JournalActions[Joueur],$B18,JournalActions[Action],$Q$6,JournalActions[Mi-temps],Q$7)=0,"",COUNTIFS(JournalActions[Joueur],$B18,JournalActions[Action],$Q$6,JournalActions[Mi-temps],Q$7))</f>
        <v/>
      </c>
      <c r="R18" s="56" t="str">
        <f>IF(COUNTIFS(JournalActions[Joueur],$B18,JournalActions[Action],$Q$6,JournalActions[Mi-temps],R$7)=0,"",COUNTIFS(JournalActions[Joueur],$B18,JournalActions[Action],$Q$6,JournalActions[Mi-temps],R$7))</f>
        <v/>
      </c>
      <c r="S18" s="55" t="str">
        <f>IF(COUNTIFS(JournalActions[Joueur],$B18,JournalActions[Action],$S$6,JournalActions[Mi-temps],S$7)=0,"",COUNTIFS(JournalActions[Joueur],$B18,JournalActions[Action],$S$6,JournalActions[Mi-temps],S$7))</f>
        <v/>
      </c>
      <c r="T18" s="56" t="str">
        <f>IF(COUNTIFS(JournalActions[Joueur],$B18,JournalActions[Action],$S$6,JournalActions[Mi-temps],T$7)=0,"",COUNTIFS(JournalActions[Joueur],$B18,JournalActions[Action],$S$6,JournalActions[Mi-temps],T$7))</f>
        <v/>
      </c>
      <c r="U18" s="95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5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5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5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5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5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5" t="str">
        <v>DALLA ROSA Jonah</v>
      </c>
      <c r="C19" s="55" t="str">
        <f>IF(COUNTIFS(JournalActions[Joueur],$B19,JournalActions[Action],$C$6,JournalActions[Mi-temps],C$7)=0,"",COUNTIFS(JournalActions[Joueur],$B19,JournalActions[Action],$C$6,JournalActions[Mi-temps],C$7))</f>
        <v/>
      </c>
      <c r="D19" s="56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5" t="str">
        <f>IF(COUNTIFS(JournalActions[Joueur],$B19,JournalActions[Action],$G$6,JournalActions[Mi-temps],G$7)=0,"",COUNTIFS(JournalActions[Joueur],$B19,JournalActions[Action],$G$6,JournalActions[Mi-temps],G$7))</f>
        <v/>
      </c>
      <c r="H19" s="56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5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5" t="str">
        <f>IF(COUNTIFS(JournalActions[Joueur],$B19,JournalActions[Action],$M$6,JournalActions[Mi-temps],M$7)=0,"",COUNTIFS(JournalActions[Joueur],$B19,JournalActions[Action],$M$6,JournalActions[Mi-temps],M$7))</f>
        <v/>
      </c>
      <c r="N19" s="56" t="str">
        <f>IF(COUNTIFS(JournalActions[Joueur],$B19,JournalActions[Action],$M$6,JournalActions[Mi-temps],N$7)=0,"",COUNTIFS(JournalActions[Joueur],$B19,JournalActions[Action],$M$6,JournalActions[Mi-temps],N$7))</f>
        <v/>
      </c>
      <c r="O19" s="55" t="str">
        <f>IF(COUNTIFS(JournalActions[Joueur],$B19,JournalActions[Action],$O$6,JournalActions[Mi-temps],O$7)=0,"",COUNTIFS(JournalActions[Joueur],$B19,JournalActions[Action],$O$6,JournalActions[Mi-temps],O$7))</f>
        <v/>
      </c>
      <c r="P19" s="56" t="str">
        <f>IF(COUNTIFS(JournalActions[Joueur],$B19,JournalActions[Action],$O$6,JournalActions[Mi-temps],P$7)=0,"",COUNTIFS(JournalActions[Joueur],$B19,JournalActions[Action],$O$6,JournalActions[Mi-temps],P$7))</f>
        <v/>
      </c>
      <c r="Q19" s="55" t="str">
        <f>IF(COUNTIFS(JournalActions[Joueur],$B19,JournalActions[Action],$Q$6,JournalActions[Mi-temps],Q$7)=0,"",COUNTIFS(JournalActions[Joueur],$B19,JournalActions[Action],$Q$6,JournalActions[Mi-temps],Q$7))</f>
        <v/>
      </c>
      <c r="R19" s="56" t="str">
        <f>IF(COUNTIFS(JournalActions[Joueur],$B19,JournalActions[Action],$Q$6,JournalActions[Mi-temps],R$7)=0,"",COUNTIFS(JournalActions[Joueur],$B19,JournalActions[Action],$Q$6,JournalActions[Mi-temps],R$7))</f>
        <v/>
      </c>
      <c r="S19" s="55" t="str">
        <f>IF(COUNTIFS(JournalActions[Joueur],$B19,JournalActions[Action],$S$6,JournalActions[Mi-temps],S$7)=0,"",COUNTIFS(JournalActions[Joueur],$B19,JournalActions[Action],$S$6,JournalActions[Mi-temps],S$7))</f>
        <v/>
      </c>
      <c r="T19" s="56" t="str">
        <f>IF(COUNTIFS(JournalActions[Joueur],$B19,JournalActions[Action],$S$6,JournalActions[Mi-temps],T$7)=0,"",COUNTIFS(JournalActions[Joueur],$B19,JournalActions[Action],$S$6,JournalActions[Mi-temps],T$7))</f>
        <v/>
      </c>
      <c r="U19" s="95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5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5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5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5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5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5" t="str">
        <v>JOUNAUX Joris</v>
      </c>
      <c r="C20" s="55" t="str">
        <f>IF(COUNTIFS(JournalActions[Joueur],$B20,JournalActions[Action],$C$6,JournalActions[Mi-temps],C$7)=0,"",COUNTIFS(JournalActions[Joueur],$B20,JournalActions[Action],$C$6,JournalActions[Mi-temps],C$7))</f>
        <v/>
      </c>
      <c r="D20" s="56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5" t="str">
        <f>IF(COUNTIFS(JournalActions[Joueur],$B20,JournalActions[Action],$G$6,JournalActions[Mi-temps],G$7)=0,"",COUNTIFS(JournalActions[Joueur],$B20,JournalActions[Action],$G$6,JournalActions[Mi-temps],G$7))</f>
        <v/>
      </c>
      <c r="H20" s="56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5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5" t="str">
        <f>IF(COUNTIFS(JournalActions[Joueur],$B20,JournalActions[Action],$M$6,JournalActions[Mi-temps],M$7)=0,"",COUNTIFS(JournalActions[Joueur],$B20,JournalActions[Action],$M$6,JournalActions[Mi-temps],M$7))</f>
        <v/>
      </c>
      <c r="N20" s="56" t="str">
        <f>IF(COUNTIFS(JournalActions[Joueur],$B20,JournalActions[Action],$M$6,JournalActions[Mi-temps],N$7)=0,"",COUNTIFS(JournalActions[Joueur],$B20,JournalActions[Action],$M$6,JournalActions[Mi-temps],N$7))</f>
        <v/>
      </c>
      <c r="O20" s="55" t="str">
        <f>IF(COUNTIFS(JournalActions[Joueur],$B20,JournalActions[Action],$O$6,JournalActions[Mi-temps],O$7)=0,"",COUNTIFS(JournalActions[Joueur],$B20,JournalActions[Action],$O$6,JournalActions[Mi-temps],O$7))</f>
        <v/>
      </c>
      <c r="P20" s="56" t="str">
        <f>IF(COUNTIFS(JournalActions[Joueur],$B20,JournalActions[Action],$O$6,JournalActions[Mi-temps],P$7)=0,"",COUNTIFS(JournalActions[Joueur],$B20,JournalActions[Action],$O$6,JournalActions[Mi-temps],P$7))</f>
        <v/>
      </c>
      <c r="Q20" s="55" t="str">
        <f>IF(COUNTIFS(JournalActions[Joueur],$B20,JournalActions[Action],$Q$6,JournalActions[Mi-temps],Q$7)=0,"",COUNTIFS(JournalActions[Joueur],$B20,JournalActions[Action],$Q$6,JournalActions[Mi-temps],Q$7))</f>
        <v/>
      </c>
      <c r="R20" s="56" t="str">
        <f>IF(COUNTIFS(JournalActions[Joueur],$B20,JournalActions[Action],$Q$6,JournalActions[Mi-temps],R$7)=0,"",COUNTIFS(JournalActions[Joueur],$B20,JournalActions[Action],$Q$6,JournalActions[Mi-temps],R$7))</f>
        <v/>
      </c>
      <c r="S20" s="55" t="str">
        <f>IF(COUNTIFS(JournalActions[Joueur],$B20,JournalActions[Action],$S$6,JournalActions[Mi-temps],S$7)=0,"",COUNTIFS(JournalActions[Joueur],$B20,JournalActions[Action],$S$6,JournalActions[Mi-temps],S$7))</f>
        <v/>
      </c>
      <c r="T20" s="56" t="str">
        <f>IF(COUNTIFS(JournalActions[Joueur],$B20,JournalActions[Action],$S$6,JournalActions[Mi-temps],T$7)=0,"",COUNTIFS(JournalActions[Joueur],$B20,JournalActions[Action],$S$6,JournalActions[Mi-temps],T$7))</f>
        <v/>
      </c>
      <c r="U20" s="95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5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5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5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5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5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5" t="str">
        <v>KAPFER Bastien</v>
      </c>
      <c r="C21" s="55" t="str">
        <f>IF(COUNTIFS(JournalActions[Joueur],$B21,JournalActions[Action],$C$6,JournalActions[Mi-temps],C$7)=0,"",COUNTIFS(JournalActions[Joueur],$B21,JournalActions[Action],$C$6,JournalActions[Mi-temps],C$7))</f>
        <v/>
      </c>
      <c r="D21" s="56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5" t="str">
        <f>IF(COUNTIFS(JournalActions[Joueur],$B21,JournalActions[Action],$G$6,JournalActions[Mi-temps],G$7)=0,"",COUNTIFS(JournalActions[Joueur],$B21,JournalActions[Action],$G$6,JournalActions[Mi-temps],G$7))</f>
        <v/>
      </c>
      <c r="H21" s="56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5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5" t="str">
        <f>IF(COUNTIFS(JournalActions[Joueur],$B21,JournalActions[Action],$M$6,JournalActions[Mi-temps],M$7)=0,"",COUNTIFS(JournalActions[Joueur],$B21,JournalActions[Action],$M$6,JournalActions[Mi-temps],M$7))</f>
        <v/>
      </c>
      <c r="N21" s="56" t="str">
        <f>IF(COUNTIFS(JournalActions[Joueur],$B21,JournalActions[Action],$M$6,JournalActions[Mi-temps],N$7)=0,"",COUNTIFS(JournalActions[Joueur],$B21,JournalActions[Action],$M$6,JournalActions[Mi-temps],N$7))</f>
        <v/>
      </c>
      <c r="O21" s="55" t="str">
        <f>IF(COUNTIFS(JournalActions[Joueur],$B21,JournalActions[Action],$O$6,JournalActions[Mi-temps],O$7)=0,"",COUNTIFS(JournalActions[Joueur],$B21,JournalActions[Action],$O$6,JournalActions[Mi-temps],O$7))</f>
        <v/>
      </c>
      <c r="P21" s="56" t="str">
        <f>IF(COUNTIFS(JournalActions[Joueur],$B21,JournalActions[Action],$O$6,JournalActions[Mi-temps],P$7)=0,"",COUNTIFS(JournalActions[Joueur],$B21,JournalActions[Action],$O$6,JournalActions[Mi-temps],P$7))</f>
        <v/>
      </c>
      <c r="Q21" s="55" t="str">
        <f>IF(COUNTIFS(JournalActions[Joueur],$B21,JournalActions[Action],$Q$6,JournalActions[Mi-temps],Q$7)=0,"",COUNTIFS(JournalActions[Joueur],$B21,JournalActions[Action],$Q$6,JournalActions[Mi-temps],Q$7))</f>
        <v/>
      </c>
      <c r="R21" s="56" t="str">
        <f>IF(COUNTIFS(JournalActions[Joueur],$B21,JournalActions[Action],$Q$6,JournalActions[Mi-temps],R$7)=0,"",COUNTIFS(JournalActions[Joueur],$B21,JournalActions[Action],$Q$6,JournalActions[Mi-temps],R$7))</f>
        <v/>
      </c>
      <c r="S21" s="55" t="str">
        <f>IF(COUNTIFS(JournalActions[Joueur],$B21,JournalActions[Action],$S$6,JournalActions[Mi-temps],S$7)=0,"",COUNTIFS(JournalActions[Joueur],$B21,JournalActions[Action],$S$6,JournalActions[Mi-temps],S$7))</f>
        <v/>
      </c>
      <c r="T21" s="56" t="str">
        <f>IF(COUNTIFS(JournalActions[Joueur],$B21,JournalActions[Action],$S$6,JournalActions[Mi-temps],T$7)=0,"",COUNTIFS(JournalActions[Joueur],$B21,JournalActions[Action],$S$6,JournalActions[Mi-temps],T$7))</f>
        <v/>
      </c>
      <c r="U21" s="95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5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5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5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5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5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5" t="str">
        <v>LAUDET Jean Baptiste</v>
      </c>
      <c r="C22" s="55" t="str">
        <f>IF(COUNTIFS(JournalActions[Joueur],$B22,JournalActions[Action],$C$6,JournalActions[Mi-temps],C$7)=0,"",COUNTIFS(JournalActions[Joueur],$B22,JournalActions[Action],$C$6,JournalActions[Mi-temps],C$7))</f>
        <v/>
      </c>
      <c r="D22" s="56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5" t="str">
        <f>IF(COUNTIFS(JournalActions[Joueur],$B22,JournalActions[Action],$G$6,JournalActions[Mi-temps],G$7)=0,"",COUNTIFS(JournalActions[Joueur],$B22,JournalActions[Action],$G$6,JournalActions[Mi-temps],G$7))</f>
        <v/>
      </c>
      <c r="H22" s="56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5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5" t="str">
        <f>IF(COUNTIFS(JournalActions[Joueur],$B22,JournalActions[Action],$M$6,JournalActions[Mi-temps],M$7)=0,"",COUNTIFS(JournalActions[Joueur],$B22,JournalActions[Action],$M$6,JournalActions[Mi-temps],M$7))</f>
        <v/>
      </c>
      <c r="N22" s="56" t="str">
        <f>IF(COUNTIFS(JournalActions[Joueur],$B22,JournalActions[Action],$M$6,JournalActions[Mi-temps],N$7)=0,"",COUNTIFS(JournalActions[Joueur],$B22,JournalActions[Action],$M$6,JournalActions[Mi-temps],N$7))</f>
        <v/>
      </c>
      <c r="O22" s="55" t="str">
        <f>IF(COUNTIFS(JournalActions[Joueur],$B22,JournalActions[Action],$O$6,JournalActions[Mi-temps],O$7)=0,"",COUNTIFS(JournalActions[Joueur],$B22,JournalActions[Action],$O$6,JournalActions[Mi-temps],O$7))</f>
        <v/>
      </c>
      <c r="P22" s="56" t="str">
        <f>IF(COUNTIFS(JournalActions[Joueur],$B22,JournalActions[Action],$O$6,JournalActions[Mi-temps],P$7)=0,"",COUNTIFS(JournalActions[Joueur],$B22,JournalActions[Action],$O$6,JournalActions[Mi-temps],P$7))</f>
        <v/>
      </c>
      <c r="Q22" s="55" t="str">
        <f>IF(COUNTIFS(JournalActions[Joueur],$B22,JournalActions[Action],$Q$6,JournalActions[Mi-temps],Q$7)=0,"",COUNTIFS(JournalActions[Joueur],$B22,JournalActions[Action],$Q$6,JournalActions[Mi-temps],Q$7))</f>
        <v/>
      </c>
      <c r="R22" s="56" t="str">
        <f>IF(COUNTIFS(JournalActions[Joueur],$B22,JournalActions[Action],$Q$6,JournalActions[Mi-temps],R$7)=0,"",COUNTIFS(JournalActions[Joueur],$B22,JournalActions[Action],$Q$6,JournalActions[Mi-temps],R$7))</f>
        <v/>
      </c>
      <c r="S22" s="55" t="str">
        <f>IF(COUNTIFS(JournalActions[Joueur],$B22,JournalActions[Action],$S$6,JournalActions[Mi-temps],S$7)=0,"",COUNTIFS(JournalActions[Joueur],$B22,JournalActions[Action],$S$6,JournalActions[Mi-temps],S$7))</f>
        <v/>
      </c>
      <c r="T22" s="56" t="str">
        <f>IF(COUNTIFS(JournalActions[Joueur],$B22,JournalActions[Action],$S$6,JournalActions[Mi-temps],T$7)=0,"",COUNTIFS(JournalActions[Joueur],$B22,JournalActions[Action],$S$6,JournalActions[Mi-temps],T$7))</f>
        <v/>
      </c>
      <c r="U22" s="95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5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5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5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5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5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5" t="str">
        <v>LOUREIRO LABAZUY Antonio</v>
      </c>
      <c r="C23" s="55" t="str">
        <f>IF(COUNTIFS(JournalActions[Joueur],$B23,JournalActions[Action],$C$6,JournalActions[Mi-temps],C$7)=0,"",COUNTIFS(JournalActions[Joueur],$B23,JournalActions[Action],$C$6,JournalActions[Mi-temps],C$7))</f>
        <v/>
      </c>
      <c r="D23" s="56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5" t="str">
        <f>IF(COUNTIFS(JournalActions[Joueur],$B23,JournalActions[Action],$G$6,JournalActions[Mi-temps],G$7)=0,"",COUNTIFS(JournalActions[Joueur],$B23,JournalActions[Action],$G$6,JournalActions[Mi-temps],G$7))</f>
        <v/>
      </c>
      <c r="H23" s="56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5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5" t="str">
        <f>IF(COUNTIFS(JournalActions[Joueur],$B23,JournalActions[Action],$M$6,JournalActions[Mi-temps],M$7)=0,"",COUNTIFS(JournalActions[Joueur],$B23,JournalActions[Action],$M$6,JournalActions[Mi-temps],M$7))</f>
        <v/>
      </c>
      <c r="N23" s="56" t="str">
        <f>IF(COUNTIFS(JournalActions[Joueur],$B23,JournalActions[Action],$M$6,JournalActions[Mi-temps],N$7)=0,"",COUNTIFS(JournalActions[Joueur],$B23,JournalActions[Action],$M$6,JournalActions[Mi-temps],N$7))</f>
        <v/>
      </c>
      <c r="O23" s="55" t="str">
        <f>IF(COUNTIFS(JournalActions[Joueur],$B23,JournalActions[Action],$O$6,JournalActions[Mi-temps],O$7)=0,"",COUNTIFS(JournalActions[Joueur],$B23,JournalActions[Action],$O$6,JournalActions[Mi-temps],O$7))</f>
        <v/>
      </c>
      <c r="P23" s="56" t="str">
        <f>IF(COUNTIFS(JournalActions[Joueur],$B23,JournalActions[Action],$O$6,JournalActions[Mi-temps],P$7)=0,"",COUNTIFS(JournalActions[Joueur],$B23,JournalActions[Action],$O$6,JournalActions[Mi-temps],P$7))</f>
        <v/>
      </c>
      <c r="Q23" s="55" t="str">
        <f>IF(COUNTIFS(JournalActions[Joueur],$B23,JournalActions[Action],$Q$6,JournalActions[Mi-temps],Q$7)=0,"",COUNTIFS(JournalActions[Joueur],$B23,JournalActions[Action],$Q$6,JournalActions[Mi-temps],Q$7))</f>
        <v/>
      </c>
      <c r="R23" s="56" t="str">
        <f>IF(COUNTIFS(JournalActions[Joueur],$B23,JournalActions[Action],$Q$6,JournalActions[Mi-temps],R$7)=0,"",COUNTIFS(JournalActions[Joueur],$B23,JournalActions[Action],$Q$6,JournalActions[Mi-temps],R$7))</f>
        <v/>
      </c>
      <c r="S23" s="55" t="str">
        <f>IF(COUNTIFS(JournalActions[Joueur],$B23,JournalActions[Action],$S$6,JournalActions[Mi-temps],S$7)=0,"",COUNTIFS(JournalActions[Joueur],$B23,JournalActions[Action],$S$6,JournalActions[Mi-temps],S$7))</f>
        <v/>
      </c>
      <c r="T23" s="56" t="str">
        <f>IF(COUNTIFS(JournalActions[Joueur],$B23,JournalActions[Action],$S$6,JournalActions[Mi-temps],T$7)=0,"",COUNTIFS(JournalActions[Joueur],$B23,JournalActions[Action],$S$6,JournalActions[Mi-temps],T$7))</f>
        <v/>
      </c>
      <c r="U23" s="95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5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5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5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5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5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5" t="str">
        <v>MICHELIN Paul</v>
      </c>
      <c r="C24" s="55" t="str">
        <f>IF(COUNTIFS(JournalActions[Joueur],$B24,JournalActions[Action],$C$6,JournalActions[Mi-temps],C$7)=0,"",COUNTIFS(JournalActions[Joueur],$B24,JournalActions[Action],$C$6,JournalActions[Mi-temps],C$7))</f>
        <v/>
      </c>
      <c r="D24" s="56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5" t="str">
        <f>IF(COUNTIFS(JournalActions[Joueur],$B24,JournalActions[Action],$G$6,JournalActions[Mi-temps],G$7)=0,"",COUNTIFS(JournalActions[Joueur],$B24,JournalActions[Action],$G$6,JournalActions[Mi-temps],G$7))</f>
        <v/>
      </c>
      <c r="H24" s="56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5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5" t="str">
        <f>IF(COUNTIFS(JournalActions[Joueur],$B24,JournalActions[Action],$M$6,JournalActions[Mi-temps],M$7)=0,"",COUNTIFS(JournalActions[Joueur],$B24,JournalActions[Action],$M$6,JournalActions[Mi-temps],M$7))</f>
        <v/>
      </c>
      <c r="N24" s="56" t="str">
        <f>IF(COUNTIFS(JournalActions[Joueur],$B24,JournalActions[Action],$M$6,JournalActions[Mi-temps],N$7)=0,"",COUNTIFS(JournalActions[Joueur],$B24,JournalActions[Action],$M$6,JournalActions[Mi-temps],N$7))</f>
        <v/>
      </c>
      <c r="O24" s="55" t="str">
        <f>IF(COUNTIFS(JournalActions[Joueur],$B24,JournalActions[Action],$O$6,JournalActions[Mi-temps],O$7)=0,"",COUNTIFS(JournalActions[Joueur],$B24,JournalActions[Action],$O$6,JournalActions[Mi-temps],O$7))</f>
        <v/>
      </c>
      <c r="P24" s="56" t="str">
        <f>IF(COUNTIFS(JournalActions[Joueur],$B24,JournalActions[Action],$O$6,JournalActions[Mi-temps],P$7)=0,"",COUNTIFS(JournalActions[Joueur],$B24,JournalActions[Action],$O$6,JournalActions[Mi-temps],P$7))</f>
        <v/>
      </c>
      <c r="Q24" s="55" t="str">
        <f>IF(COUNTIFS(JournalActions[Joueur],$B24,JournalActions[Action],$Q$6,JournalActions[Mi-temps],Q$7)=0,"",COUNTIFS(JournalActions[Joueur],$B24,JournalActions[Action],$Q$6,JournalActions[Mi-temps],Q$7))</f>
        <v/>
      </c>
      <c r="R24" s="56" t="str">
        <f>IF(COUNTIFS(JournalActions[Joueur],$B24,JournalActions[Action],$Q$6,JournalActions[Mi-temps],R$7)=0,"",COUNTIFS(JournalActions[Joueur],$B24,JournalActions[Action],$Q$6,JournalActions[Mi-temps],R$7))</f>
        <v/>
      </c>
      <c r="S24" s="55" t="str">
        <f>IF(COUNTIFS(JournalActions[Joueur],$B24,JournalActions[Action],$S$6,JournalActions[Mi-temps],S$7)=0,"",COUNTIFS(JournalActions[Joueur],$B24,JournalActions[Action],$S$6,JournalActions[Mi-temps],S$7))</f>
        <v/>
      </c>
      <c r="T24" s="56" t="str">
        <f>IF(COUNTIFS(JournalActions[Joueur],$B24,JournalActions[Action],$S$6,JournalActions[Mi-temps],T$7)=0,"",COUNTIFS(JournalActions[Joueur],$B24,JournalActions[Action],$S$6,JournalActions[Mi-temps],T$7))</f>
        <v/>
      </c>
      <c r="U24" s="95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5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5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5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5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5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5" t="str">
        <v>MOUDENS Alexis</v>
      </c>
      <c r="C25" s="55" t="str">
        <f>IF(COUNTIFS(JournalActions[Joueur],$B25,JournalActions[Action],$C$6,JournalActions[Mi-temps],C$7)=0,"",COUNTIFS(JournalActions[Joueur],$B25,JournalActions[Action],$C$6,JournalActions[Mi-temps],C$7))</f>
        <v/>
      </c>
      <c r="D25" s="56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5" t="str">
        <f>IF(COUNTIFS(JournalActions[Joueur],$B25,JournalActions[Action],$G$6,JournalActions[Mi-temps],G$7)=0,"",COUNTIFS(JournalActions[Joueur],$B25,JournalActions[Action],$G$6,JournalActions[Mi-temps],G$7))</f>
        <v/>
      </c>
      <c r="H25" s="56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5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5" t="str">
        <f>IF(COUNTIFS(JournalActions[Joueur],$B25,JournalActions[Action],$M$6,JournalActions[Mi-temps],M$7)=0,"",COUNTIFS(JournalActions[Joueur],$B25,JournalActions[Action],$M$6,JournalActions[Mi-temps],M$7))</f>
        <v/>
      </c>
      <c r="N25" s="56" t="str">
        <f>IF(COUNTIFS(JournalActions[Joueur],$B25,JournalActions[Action],$M$6,JournalActions[Mi-temps],N$7)=0,"",COUNTIFS(JournalActions[Joueur],$B25,JournalActions[Action],$M$6,JournalActions[Mi-temps],N$7))</f>
        <v/>
      </c>
      <c r="O25" s="55" t="str">
        <f>IF(COUNTIFS(JournalActions[Joueur],$B25,JournalActions[Action],$O$6,JournalActions[Mi-temps],O$7)=0,"",COUNTIFS(JournalActions[Joueur],$B25,JournalActions[Action],$O$6,JournalActions[Mi-temps],O$7))</f>
        <v/>
      </c>
      <c r="P25" s="56" t="str">
        <f>IF(COUNTIFS(JournalActions[Joueur],$B25,JournalActions[Action],$O$6,JournalActions[Mi-temps],P$7)=0,"",COUNTIFS(JournalActions[Joueur],$B25,JournalActions[Action],$O$6,JournalActions[Mi-temps],P$7))</f>
        <v/>
      </c>
      <c r="Q25" s="55" t="str">
        <f>IF(COUNTIFS(JournalActions[Joueur],$B25,JournalActions[Action],$Q$6,JournalActions[Mi-temps],Q$7)=0,"",COUNTIFS(JournalActions[Joueur],$B25,JournalActions[Action],$Q$6,JournalActions[Mi-temps],Q$7))</f>
        <v/>
      </c>
      <c r="R25" s="56" t="str">
        <f>IF(COUNTIFS(JournalActions[Joueur],$B25,JournalActions[Action],$Q$6,JournalActions[Mi-temps],R$7)=0,"",COUNTIFS(JournalActions[Joueur],$B25,JournalActions[Action],$Q$6,JournalActions[Mi-temps],R$7))</f>
        <v/>
      </c>
      <c r="S25" s="55" t="str">
        <f>IF(COUNTIFS(JournalActions[Joueur],$B25,JournalActions[Action],$S$6,JournalActions[Mi-temps],S$7)=0,"",COUNTIFS(JournalActions[Joueur],$B25,JournalActions[Action],$S$6,JournalActions[Mi-temps],S$7))</f>
        <v/>
      </c>
      <c r="T25" s="56" t="str">
        <f>IF(COUNTIFS(JournalActions[Joueur],$B25,JournalActions[Action],$S$6,JournalActions[Mi-temps],T$7)=0,"",COUNTIFS(JournalActions[Joueur],$B25,JournalActions[Action],$S$6,JournalActions[Mi-temps],T$7))</f>
        <v/>
      </c>
      <c r="U25" s="95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5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5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5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5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5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5" t="str">
        <v>RICHIARDONNE Gregory</v>
      </c>
      <c r="C26" s="55" t="str">
        <f>IF(COUNTIFS(JournalActions[Joueur],$B26,JournalActions[Action],$C$6,JournalActions[Mi-temps],C$7)=0,"",COUNTIFS(JournalActions[Joueur],$B26,JournalActions[Action],$C$6,JournalActions[Mi-temps],C$7))</f>
        <v/>
      </c>
      <c r="D26" s="56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5" t="str">
        <f>IF(COUNTIFS(JournalActions[Joueur],$B26,JournalActions[Action],$G$6,JournalActions[Mi-temps],G$7)=0,"",COUNTIFS(JournalActions[Joueur],$B26,JournalActions[Action],$G$6,JournalActions[Mi-temps],G$7))</f>
        <v/>
      </c>
      <c r="H26" s="56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5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5" t="str">
        <f>IF(COUNTIFS(JournalActions[Joueur],$B26,JournalActions[Action],$M$6,JournalActions[Mi-temps],M$7)=0,"",COUNTIFS(JournalActions[Joueur],$B26,JournalActions[Action],$M$6,JournalActions[Mi-temps],M$7))</f>
        <v/>
      </c>
      <c r="N26" s="56" t="str">
        <f>IF(COUNTIFS(JournalActions[Joueur],$B26,JournalActions[Action],$M$6,JournalActions[Mi-temps],N$7)=0,"",COUNTIFS(JournalActions[Joueur],$B26,JournalActions[Action],$M$6,JournalActions[Mi-temps],N$7))</f>
        <v/>
      </c>
      <c r="O26" s="55" t="str">
        <f>IF(COUNTIFS(JournalActions[Joueur],$B26,JournalActions[Action],$O$6,JournalActions[Mi-temps],O$7)=0,"",COUNTIFS(JournalActions[Joueur],$B26,JournalActions[Action],$O$6,JournalActions[Mi-temps],O$7))</f>
        <v/>
      </c>
      <c r="P26" s="56" t="str">
        <f>IF(COUNTIFS(JournalActions[Joueur],$B26,JournalActions[Action],$O$6,JournalActions[Mi-temps],P$7)=0,"",COUNTIFS(JournalActions[Joueur],$B26,JournalActions[Action],$O$6,JournalActions[Mi-temps],P$7))</f>
        <v/>
      </c>
      <c r="Q26" s="55" t="str">
        <f>IF(COUNTIFS(JournalActions[Joueur],$B26,JournalActions[Action],$Q$6,JournalActions[Mi-temps],Q$7)=0,"",COUNTIFS(JournalActions[Joueur],$B26,JournalActions[Action],$Q$6,JournalActions[Mi-temps],Q$7))</f>
        <v/>
      </c>
      <c r="R26" s="56" t="str">
        <f>IF(COUNTIFS(JournalActions[Joueur],$B26,JournalActions[Action],$Q$6,JournalActions[Mi-temps],R$7)=0,"",COUNTIFS(JournalActions[Joueur],$B26,JournalActions[Action],$Q$6,JournalActions[Mi-temps],R$7))</f>
        <v/>
      </c>
      <c r="S26" s="55" t="str">
        <f>IF(COUNTIFS(JournalActions[Joueur],$B26,JournalActions[Action],$S$6,JournalActions[Mi-temps],S$7)=0,"",COUNTIFS(JournalActions[Joueur],$B26,JournalActions[Action],$S$6,JournalActions[Mi-temps],S$7))</f>
        <v/>
      </c>
      <c r="T26" s="56" t="str">
        <f>IF(COUNTIFS(JournalActions[Joueur],$B26,JournalActions[Action],$S$6,JournalActions[Mi-temps],T$7)=0,"",COUNTIFS(JournalActions[Joueur],$B26,JournalActions[Action],$S$6,JournalActions[Mi-temps],T$7))</f>
        <v/>
      </c>
      <c r="U26" s="95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5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5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5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5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5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5" t="str">
        <v>ROBERT Jimmy</v>
      </c>
      <c r="C27" s="55" t="str">
        <f>IF(COUNTIFS(JournalActions[Joueur],$B27,JournalActions[Action],$C$6,JournalActions[Mi-temps],C$7)=0,"",COUNTIFS(JournalActions[Joueur],$B27,JournalActions[Action],$C$6,JournalActions[Mi-temps],C$7))</f>
        <v/>
      </c>
      <c r="D27" s="56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5" t="str">
        <f>IF(COUNTIFS(JournalActions[Joueur],$B27,JournalActions[Action],$G$6,JournalActions[Mi-temps],G$7)=0,"",COUNTIFS(JournalActions[Joueur],$B27,JournalActions[Action],$G$6,JournalActions[Mi-temps],G$7))</f>
        <v/>
      </c>
      <c r="H27" s="56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5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5" t="str">
        <f>IF(COUNTIFS(JournalActions[Joueur],$B27,JournalActions[Action],$M$6,JournalActions[Mi-temps],M$7)=0,"",COUNTIFS(JournalActions[Joueur],$B27,JournalActions[Action],$M$6,JournalActions[Mi-temps],M$7))</f>
        <v/>
      </c>
      <c r="N27" s="56" t="str">
        <f>IF(COUNTIFS(JournalActions[Joueur],$B27,JournalActions[Action],$M$6,JournalActions[Mi-temps],N$7)=0,"",COUNTIFS(JournalActions[Joueur],$B27,JournalActions[Action],$M$6,JournalActions[Mi-temps],N$7))</f>
        <v/>
      </c>
      <c r="O27" s="55" t="str">
        <f>IF(COUNTIFS(JournalActions[Joueur],$B27,JournalActions[Action],$O$6,JournalActions[Mi-temps],O$7)=0,"",COUNTIFS(JournalActions[Joueur],$B27,JournalActions[Action],$O$6,JournalActions[Mi-temps],O$7))</f>
        <v/>
      </c>
      <c r="P27" s="56" t="str">
        <f>IF(COUNTIFS(JournalActions[Joueur],$B27,JournalActions[Action],$O$6,JournalActions[Mi-temps],P$7)=0,"",COUNTIFS(JournalActions[Joueur],$B27,JournalActions[Action],$O$6,JournalActions[Mi-temps],P$7))</f>
        <v/>
      </c>
      <c r="Q27" s="55" t="str">
        <f>IF(COUNTIFS(JournalActions[Joueur],$B27,JournalActions[Action],$Q$6,JournalActions[Mi-temps],Q$7)=0,"",COUNTIFS(JournalActions[Joueur],$B27,JournalActions[Action],$Q$6,JournalActions[Mi-temps],Q$7))</f>
        <v/>
      </c>
      <c r="R27" s="56" t="str">
        <f>IF(COUNTIFS(JournalActions[Joueur],$B27,JournalActions[Action],$Q$6,JournalActions[Mi-temps],R$7)=0,"",COUNTIFS(JournalActions[Joueur],$B27,JournalActions[Action],$Q$6,JournalActions[Mi-temps],R$7))</f>
        <v/>
      </c>
      <c r="S27" s="55" t="str">
        <f>IF(COUNTIFS(JournalActions[Joueur],$B27,JournalActions[Action],$S$6,JournalActions[Mi-temps],S$7)=0,"",COUNTIFS(JournalActions[Joueur],$B27,JournalActions[Action],$S$6,JournalActions[Mi-temps],S$7))</f>
        <v/>
      </c>
      <c r="T27" s="56" t="str">
        <f>IF(COUNTIFS(JournalActions[Joueur],$B27,JournalActions[Action],$S$6,JournalActions[Mi-temps],T$7)=0,"",COUNTIFS(JournalActions[Joueur],$B27,JournalActions[Action],$S$6,JournalActions[Mi-temps],T$7))</f>
        <v/>
      </c>
      <c r="U27" s="95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5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5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5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5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5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5" t="str">
        <v>ROUSSEL Mathis</v>
      </c>
      <c r="C28" s="55" t="str">
        <f>IF(COUNTIFS(JournalActions[Joueur],$B28,JournalActions[Action],$C$6,JournalActions[Mi-temps],C$7)=0,"",COUNTIFS(JournalActions[Joueur],$B28,JournalActions[Action],$C$6,JournalActions[Mi-temps],C$7))</f>
        <v/>
      </c>
      <c r="D28" s="56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5" t="str">
        <f>IF(COUNTIFS(JournalActions[Joueur],$B28,JournalActions[Action],$G$6,JournalActions[Mi-temps],G$7)=0,"",COUNTIFS(JournalActions[Joueur],$B28,JournalActions[Action],$G$6,JournalActions[Mi-temps],G$7))</f>
        <v/>
      </c>
      <c r="H28" s="56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5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5" t="str">
        <f>IF(COUNTIFS(JournalActions[Joueur],$B28,JournalActions[Action],$M$6,JournalActions[Mi-temps],M$7)=0,"",COUNTIFS(JournalActions[Joueur],$B28,JournalActions[Action],$M$6,JournalActions[Mi-temps],M$7))</f>
        <v/>
      </c>
      <c r="N28" s="56" t="str">
        <f>IF(COUNTIFS(JournalActions[Joueur],$B28,JournalActions[Action],$M$6,JournalActions[Mi-temps],N$7)=0,"",COUNTIFS(JournalActions[Joueur],$B28,JournalActions[Action],$M$6,JournalActions[Mi-temps],N$7))</f>
        <v/>
      </c>
      <c r="O28" s="55" t="str">
        <f>IF(COUNTIFS(JournalActions[Joueur],$B28,JournalActions[Action],$O$6,JournalActions[Mi-temps],O$7)=0,"",COUNTIFS(JournalActions[Joueur],$B28,JournalActions[Action],$O$6,JournalActions[Mi-temps],O$7))</f>
        <v/>
      </c>
      <c r="P28" s="56" t="str">
        <f>IF(COUNTIFS(JournalActions[Joueur],$B28,JournalActions[Action],$O$6,JournalActions[Mi-temps],P$7)=0,"",COUNTIFS(JournalActions[Joueur],$B28,JournalActions[Action],$O$6,JournalActions[Mi-temps],P$7))</f>
        <v/>
      </c>
      <c r="Q28" s="55" t="str">
        <f>IF(COUNTIFS(JournalActions[Joueur],$B28,JournalActions[Action],$Q$6,JournalActions[Mi-temps],Q$7)=0,"",COUNTIFS(JournalActions[Joueur],$B28,JournalActions[Action],$Q$6,JournalActions[Mi-temps],Q$7))</f>
        <v/>
      </c>
      <c r="R28" s="56" t="str">
        <f>IF(COUNTIFS(JournalActions[Joueur],$B28,JournalActions[Action],$Q$6,JournalActions[Mi-temps],R$7)=0,"",COUNTIFS(JournalActions[Joueur],$B28,JournalActions[Action],$Q$6,JournalActions[Mi-temps],R$7))</f>
        <v/>
      </c>
      <c r="S28" s="55" t="str">
        <f>IF(COUNTIFS(JournalActions[Joueur],$B28,JournalActions[Action],$S$6,JournalActions[Mi-temps],S$7)=0,"",COUNTIFS(JournalActions[Joueur],$B28,JournalActions[Action],$S$6,JournalActions[Mi-temps],S$7))</f>
        <v/>
      </c>
      <c r="T28" s="56" t="str">
        <f>IF(COUNTIFS(JournalActions[Joueur],$B28,JournalActions[Action],$S$6,JournalActions[Mi-temps],T$7)=0,"",COUNTIFS(JournalActions[Joueur],$B28,JournalActions[Action],$S$6,JournalActions[Mi-temps],T$7))</f>
        <v/>
      </c>
      <c r="U28" s="95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5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5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5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5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5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5" t="str">
        <v>SALLES Fabien</v>
      </c>
      <c r="C29" s="55" t="str">
        <f>IF(COUNTIFS(JournalActions[Joueur],$B29,JournalActions[Action],$C$6,JournalActions[Mi-temps],C$7)=0,"",COUNTIFS(JournalActions[Joueur],$B29,JournalActions[Action],$C$6,JournalActions[Mi-temps],C$7))</f>
        <v/>
      </c>
      <c r="D29" s="56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5" t="str">
        <f>IF(COUNTIFS(JournalActions[Joueur],$B29,JournalActions[Action],$G$6,JournalActions[Mi-temps],G$7)=0,"",COUNTIFS(JournalActions[Joueur],$B29,JournalActions[Action],$G$6,JournalActions[Mi-temps],G$7))</f>
        <v/>
      </c>
      <c r="H29" s="56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5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5" t="str">
        <f>IF(COUNTIFS(JournalActions[Joueur],$B29,JournalActions[Action],$M$6,JournalActions[Mi-temps],M$7)=0,"",COUNTIFS(JournalActions[Joueur],$B29,JournalActions[Action],$M$6,JournalActions[Mi-temps],M$7))</f>
        <v/>
      </c>
      <c r="N29" s="56" t="str">
        <f>IF(COUNTIFS(JournalActions[Joueur],$B29,JournalActions[Action],$M$6,JournalActions[Mi-temps],N$7)=0,"",COUNTIFS(JournalActions[Joueur],$B29,JournalActions[Action],$M$6,JournalActions[Mi-temps],N$7))</f>
        <v/>
      </c>
      <c r="O29" s="55" t="str">
        <f>IF(COUNTIFS(JournalActions[Joueur],$B29,JournalActions[Action],$O$6,JournalActions[Mi-temps],O$7)=0,"",COUNTIFS(JournalActions[Joueur],$B29,JournalActions[Action],$O$6,JournalActions[Mi-temps],O$7))</f>
        <v/>
      </c>
      <c r="P29" s="56" t="str">
        <f>IF(COUNTIFS(JournalActions[Joueur],$B29,JournalActions[Action],$O$6,JournalActions[Mi-temps],P$7)=0,"",COUNTIFS(JournalActions[Joueur],$B29,JournalActions[Action],$O$6,JournalActions[Mi-temps],P$7))</f>
        <v/>
      </c>
      <c r="Q29" s="55" t="str">
        <f>IF(COUNTIFS(JournalActions[Joueur],$B29,JournalActions[Action],$Q$6,JournalActions[Mi-temps],Q$7)=0,"",COUNTIFS(JournalActions[Joueur],$B29,JournalActions[Action],$Q$6,JournalActions[Mi-temps],Q$7))</f>
        <v/>
      </c>
      <c r="R29" s="56" t="str">
        <f>IF(COUNTIFS(JournalActions[Joueur],$B29,JournalActions[Action],$Q$6,JournalActions[Mi-temps],R$7)=0,"",COUNTIFS(JournalActions[Joueur],$B29,JournalActions[Action],$Q$6,JournalActions[Mi-temps],R$7))</f>
        <v/>
      </c>
      <c r="S29" s="55" t="str">
        <f>IF(COUNTIFS(JournalActions[Joueur],$B29,JournalActions[Action],$S$6,JournalActions[Mi-temps],S$7)=0,"",COUNTIFS(JournalActions[Joueur],$B29,JournalActions[Action],$S$6,JournalActions[Mi-temps],S$7))</f>
        <v/>
      </c>
      <c r="T29" s="56" t="str">
        <f>IF(COUNTIFS(JournalActions[Joueur],$B29,JournalActions[Action],$S$6,JournalActions[Mi-temps],T$7)=0,"",COUNTIFS(JournalActions[Joueur],$B29,JournalActions[Action],$S$6,JournalActions[Mi-temps],T$7))</f>
        <v/>
      </c>
      <c r="U29" s="95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5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5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5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5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5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3" t="s">
        <v>92</v>
      </c>
      <c r="C30" s="55" t="str">
        <f>IF(COUNTIFS(JournalActions[Joueur],$B30,JournalActions[Action],$C$6,JournalActions[Mi-temps],C$7)=0,"",COUNTIFS(JournalActions[Joueur],$B30,JournalActions[Action],$C$6,JournalActions[Mi-temps],C$7))</f>
        <v/>
      </c>
      <c r="D30" s="56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5" t="str">
        <f>IF(COUNTIFS(JournalActions[Joueur],$B30,JournalActions[Action],$G$6,JournalActions[Mi-temps],G$7)=0,"",COUNTIFS(JournalActions[Joueur],$B30,JournalActions[Action],$G$6,JournalActions[Mi-temps],G$7))</f>
        <v/>
      </c>
      <c r="H30" s="56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5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5" t="str">
        <f>IF(COUNTIFS(JournalActions[Joueur],$B30,JournalActions[Action],$M$6,JournalActions[Mi-temps],M$7)=0,"",COUNTIFS(JournalActions[Joueur],$B30,JournalActions[Action],$M$6,JournalActions[Mi-temps],M$7))</f>
        <v/>
      </c>
      <c r="N30" s="56" t="str">
        <f>IF(COUNTIFS(JournalActions[Joueur],$B30,JournalActions[Action],$M$6,JournalActions[Mi-temps],N$7)=0,"",COUNTIFS(JournalActions[Joueur],$B30,JournalActions[Action],$M$6,JournalActions[Mi-temps],N$7))</f>
        <v/>
      </c>
      <c r="O30" s="55" t="str">
        <f>IF(COUNTIFS(JournalActions[Joueur],$B30,JournalActions[Action],$O$6,JournalActions[Mi-temps],O$7)=0,"",COUNTIFS(JournalActions[Joueur],$B30,JournalActions[Action],$O$6,JournalActions[Mi-temps],O$7))</f>
        <v/>
      </c>
      <c r="P30" s="56" t="str">
        <f>IF(COUNTIFS(JournalActions[Joueur],$B30,JournalActions[Action],$O$6,JournalActions[Mi-temps],P$7)=0,"",COUNTIFS(JournalActions[Joueur],$B30,JournalActions[Action],$O$6,JournalActions[Mi-temps],P$7))</f>
        <v/>
      </c>
      <c r="Q30" s="55" t="str">
        <f>IF(COUNTIFS(JournalActions[Joueur],$B30,JournalActions[Action],$Q$6,JournalActions[Mi-temps],Q$7)=0,"",COUNTIFS(JournalActions[Joueur],$B30,JournalActions[Action],$Q$6,JournalActions[Mi-temps],Q$7))</f>
        <v/>
      </c>
      <c r="R30" s="56" t="str">
        <f>IF(COUNTIFS(JournalActions[Joueur],$B30,JournalActions[Action],$Q$6,JournalActions[Mi-temps],R$7)=0,"",COUNTIFS(JournalActions[Joueur],$B30,JournalActions[Action],$Q$6,JournalActions[Mi-temps],R$7))</f>
        <v/>
      </c>
      <c r="S30" s="55" t="str">
        <f>IF(COUNTIFS(JournalActions[Joueur],$B30,JournalActions[Action],$S$6,JournalActions[Mi-temps],S$7)=0,"",COUNTIFS(JournalActions[Joueur],$B30,JournalActions[Action],$S$6,JournalActions[Mi-temps],S$7))</f>
        <v/>
      </c>
      <c r="T30" s="56" t="str">
        <f>IF(COUNTIFS(JournalActions[Joueur],$B30,JournalActions[Action],$S$6,JournalActions[Mi-temps],T$7)=0,"",COUNTIFS(JournalActions[Joueur],$B30,JournalActions[Action],$S$6,JournalActions[Mi-temps],T$7))</f>
        <v/>
      </c>
      <c r="U30" s="95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5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5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5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5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5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4" t="s">
        <v>82</v>
      </c>
      <c r="C31" s="59" t="str">
        <f>IF(COUNTIFS(JournalActions[Joueur],$B31,JournalActions[Action],$C$6,JournalActions[Mi-temps],C$7)=0,"",COUNTIFS(JournalActions[Joueur],$B31,JournalActions[Action],$C$6,JournalActions[Mi-temps],C$7))</f>
        <v/>
      </c>
      <c r="D31" s="58" t="str">
        <f>IF(COUNTIFS(JournalActions[Joueur],$B31,JournalActions[Action],$C$6,JournalActions[Mi-temps],D$7)=0,"",COUNTIFS(JournalActions[Joueur],$B31,JournalActions[Action],$C$6,JournalActions[Mi-temps],D$7))</f>
        <v/>
      </c>
      <c r="E31" s="57" t="str">
        <f>IF(COUNTIFS(JournalActions[Joueur],$B31,JournalActions[Action],$E$6,JournalActions[Mi-temps],E$7)=0,"",COUNTIFS(JournalActions[Joueur],$B31,JournalActions[Action],$E$6,JournalActions[Mi-temps],E$7))</f>
        <v/>
      </c>
      <c r="F31" s="57" t="str">
        <f>IF(COUNTIFS(JournalActions[Joueur],$B31,JournalActions[Action],$E$6,JournalActions[Mi-temps],F$7)=0,"",COUNTIFS(JournalActions[Joueur],$B31,JournalActions[Action],$E$6,JournalActions[Mi-temps],F$7))</f>
        <v/>
      </c>
      <c r="G31" s="59" t="str">
        <f>IF(COUNTIFS(JournalActions[Joueur],$B31,JournalActions[Action],$G$6,JournalActions[Mi-temps],G$7)=0,"",COUNTIFS(JournalActions[Joueur],$B31,JournalActions[Action],$G$6,JournalActions[Mi-temps],G$7))</f>
        <v/>
      </c>
      <c r="H31" s="58" t="str">
        <f>IF(COUNTIFS(JournalActions[Joueur],$B31,JournalActions[Action],$G$6,JournalActions[Mi-temps],H$7)=0,"",COUNTIFS(JournalActions[Joueur],$B31,JournalActions[Action],$G$6,JournalActions[Mi-temps],H$7))</f>
        <v/>
      </c>
      <c r="I31" s="57" t="str">
        <f>IF(COUNTIFS(JournalActions[Joueur],$B31,JournalActions[Action],$I$6,JournalActions[Mi-temps],I$7)=0,"",COUNTIFS(JournalActions[Joueur],$B31,JournalActions[Action],$I$6,JournalActions[Mi-temps],I$7))</f>
        <v/>
      </c>
      <c r="J31" s="57" t="str">
        <f>IF(COUNTIFS(JournalActions[Joueur],$B31,JournalActions[Action],$I$6,JournalActions[Mi-temps],J$7)=0,"",COUNTIFS(JournalActions[Joueur],$B31,JournalActions[Action],$I$6,JournalActions[Mi-temps],J$7))</f>
        <v/>
      </c>
      <c r="K31" s="59" t="str">
        <f>IF(COUNTIFS(JournalActions[Joueur],$B31,JournalActions[Action],$K$6,JournalActions[Mi-temps],K$7)=0,"",COUNTIFS(JournalActions[Joueur],$B31,JournalActions[Action],$K$6,JournalActions[Mi-temps],K$7))</f>
        <v/>
      </c>
      <c r="L31" s="57" t="str">
        <f>IF(COUNTIFS(JournalActions[Joueur],$B31,JournalActions[Action],$K$6,JournalActions[Mi-temps],L$7)=0,"",COUNTIFS(JournalActions[Joueur],$B31,JournalActions[Action],$K$6,JournalActions[Mi-temps],L$7))</f>
        <v/>
      </c>
      <c r="M31" s="59" t="str">
        <f>IF(COUNTIFS(JournalActions[Joueur],$B31,JournalActions[Action],$M$6,JournalActions[Mi-temps],M$7)=0,"",COUNTIFS(JournalActions[Joueur],$B31,JournalActions[Action],$M$6,JournalActions[Mi-temps],M$7))</f>
        <v/>
      </c>
      <c r="N31" s="58" t="str">
        <f>IF(COUNTIFS(JournalActions[Joueur],$B31,JournalActions[Action],$M$6,JournalActions[Mi-temps],N$7)=0,"",COUNTIFS(JournalActions[Joueur],$B31,JournalActions[Action],$M$6,JournalActions[Mi-temps],N$7))</f>
        <v/>
      </c>
      <c r="O31" s="59" t="str">
        <f>IF(COUNTIFS(JournalActions[Joueur],$B31,JournalActions[Action],$O$6,JournalActions[Mi-temps],O$7)=0,"",COUNTIFS(JournalActions[Joueur],$B31,JournalActions[Action],$O$6,JournalActions[Mi-temps],O$7))</f>
        <v/>
      </c>
      <c r="P31" s="58" t="str">
        <f>IF(COUNTIFS(JournalActions[Joueur],$B31,JournalActions[Action],$O$6,JournalActions[Mi-temps],P$7)=0,"",COUNTIFS(JournalActions[Joueur],$B31,JournalActions[Action],$O$6,JournalActions[Mi-temps],P$7))</f>
        <v/>
      </c>
      <c r="Q31" s="59" t="str">
        <f>IF(COUNTIFS(JournalActions[Joueur],$B31,JournalActions[Action],$Q$6,JournalActions[Mi-temps],Q$7)=0,"",COUNTIFS(JournalActions[Joueur],$B31,JournalActions[Action],$Q$6,JournalActions[Mi-temps],Q$7))</f>
        <v/>
      </c>
      <c r="R31" s="58" t="str">
        <f>IF(COUNTIFS(JournalActions[Joueur],$B31,JournalActions[Action],$Q$6,JournalActions[Mi-temps],R$7)=0,"",COUNTIFS(JournalActions[Joueur],$B31,JournalActions[Action],$Q$6,JournalActions[Mi-temps],R$7))</f>
        <v/>
      </c>
      <c r="S31" s="59" t="str">
        <f>IF(COUNTIFS(JournalActions[Joueur],$B31,JournalActions[Action],$S$6,JournalActions[Mi-temps],S$7)=0,"",COUNTIFS(JournalActions[Joueur],$B31,JournalActions[Action],$S$6,JournalActions[Mi-temps],S$7))</f>
        <v/>
      </c>
      <c r="T31" s="58" t="str">
        <f>IF(COUNTIFS(JournalActions[Joueur],$B31,JournalActions[Action],$S$6,JournalActions[Mi-temps],T$7)=0,"",COUNTIFS(JournalActions[Joueur],$B31,JournalActions[Action],$S$6,JournalActions[Mi-temps],T$7))</f>
        <v/>
      </c>
      <c r="U31" s="96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6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6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6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6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6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79" t="s">
        <v>230</v>
      </c>
      <c r="C32" s="80">
        <f>SUM(C8:C31)</f>
        <v>0</v>
      </c>
      <c r="D32" s="81">
        <f t="shared" ref="D32:Z32" si="0">SUM(D8:D31)</f>
        <v>0</v>
      </c>
      <c r="E32" s="80">
        <f t="shared" si="0"/>
        <v>0</v>
      </c>
      <c r="F32" s="81">
        <f t="shared" si="0"/>
        <v>0</v>
      </c>
      <c r="G32" s="80">
        <f t="shared" si="0"/>
        <v>0</v>
      </c>
      <c r="H32" s="81">
        <f t="shared" si="0"/>
        <v>0</v>
      </c>
      <c r="I32" s="80">
        <f t="shared" si="0"/>
        <v>0</v>
      </c>
      <c r="J32" s="81">
        <f t="shared" si="0"/>
        <v>0</v>
      </c>
      <c r="K32" s="80">
        <f t="shared" si="0"/>
        <v>0</v>
      </c>
      <c r="L32" s="81">
        <f t="shared" si="0"/>
        <v>0</v>
      </c>
      <c r="M32" s="80">
        <f t="shared" si="0"/>
        <v>0</v>
      </c>
      <c r="N32" s="81">
        <f t="shared" si="0"/>
        <v>0</v>
      </c>
      <c r="O32" s="80">
        <f t="shared" ref="O32:P32" si="1">SUM(O8:O31)</f>
        <v>0</v>
      </c>
      <c r="P32" s="81">
        <f t="shared" si="1"/>
        <v>0</v>
      </c>
      <c r="Q32" s="80">
        <f t="shared" ref="Q32:T32" si="2">SUM(Q8:Q31)</f>
        <v>0</v>
      </c>
      <c r="R32" s="81">
        <f t="shared" si="2"/>
        <v>0</v>
      </c>
      <c r="S32" s="80">
        <f t="shared" si="2"/>
        <v>0</v>
      </c>
      <c r="T32" s="81">
        <f t="shared" si="2"/>
        <v>0</v>
      </c>
      <c r="U32" s="260">
        <f t="shared" si="0"/>
        <v>0</v>
      </c>
      <c r="V32" s="260">
        <f t="shared" si="0"/>
        <v>0</v>
      </c>
      <c r="W32" s="260">
        <f t="shared" si="0"/>
        <v>0</v>
      </c>
      <c r="X32" s="260">
        <f t="shared" si="0"/>
        <v>0</v>
      </c>
      <c r="Y32" s="260">
        <f t="shared" si="0"/>
        <v>0</v>
      </c>
      <c r="Z32" s="260">
        <f t="shared" si="0"/>
        <v>0</v>
      </c>
    </row>
    <row r="33" spans="2:33" s="68" customFormat="1" ht="25" customHeight="1">
      <c r="B33" s="82" t="s">
        <v>229</v>
      </c>
      <c r="C33" s="264">
        <f>C32+D32</f>
        <v>0</v>
      </c>
      <c r="D33" s="265"/>
      <c r="E33" s="266">
        <f t="shared" ref="E33" si="3">E32+F32</f>
        <v>0</v>
      </c>
      <c r="F33" s="266"/>
      <c r="G33" s="264">
        <f t="shared" ref="G33" si="4">G32+H32</f>
        <v>0</v>
      </c>
      <c r="H33" s="265"/>
      <c r="I33" s="264">
        <f>I32+J32</f>
        <v>0</v>
      </c>
      <c r="J33" s="265"/>
      <c r="K33" s="264">
        <f t="shared" ref="K33" si="5">K32+L32</f>
        <v>0</v>
      </c>
      <c r="L33" s="265"/>
      <c r="M33" s="266">
        <f t="shared" ref="M33" si="6">M32+N32</f>
        <v>0</v>
      </c>
      <c r="N33" s="265"/>
      <c r="O33" s="266">
        <f t="shared" ref="O33" si="7">O32+P32</f>
        <v>0</v>
      </c>
      <c r="P33" s="265"/>
      <c r="Q33" s="266">
        <f t="shared" ref="Q33" si="8">Q32+R32</f>
        <v>0</v>
      </c>
      <c r="R33" s="265"/>
      <c r="S33" s="266">
        <f t="shared" ref="S33" si="9">S32+T32</f>
        <v>0</v>
      </c>
      <c r="T33" s="265"/>
      <c r="U33" s="261"/>
      <c r="V33" s="261"/>
      <c r="W33" s="261"/>
      <c r="X33" s="261"/>
      <c r="Y33" s="261"/>
      <c r="Z33" s="261"/>
    </row>
    <row r="34" spans="2:33" s="25" customFormat="1"/>
    <row r="35" spans="2:33" s="25" customFormat="1"/>
    <row r="36" spans="2:33" ht="14">
      <c r="B36" s="83" t="s">
        <v>196</v>
      </c>
      <c r="C36" s="83" t="s">
        <v>265</v>
      </c>
      <c r="D36" s="214" t="s">
        <v>195</v>
      </c>
      <c r="E36" s="84" t="s">
        <v>535</v>
      </c>
      <c r="F36" s="25"/>
      <c r="G36" s="267" t="s">
        <v>224</v>
      </c>
      <c r="H36" s="268"/>
      <c r="J36" s="267" t="s">
        <v>78</v>
      </c>
      <c r="K36" s="267" t="s">
        <v>198</v>
      </c>
      <c r="L36" s="270"/>
      <c r="M36" s="268"/>
      <c r="N36" s="268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3" t="s">
        <v>193</v>
      </c>
      <c r="C37" s="63">
        <f>COUNTIFS(JournalActions[Action],ACT_TO_NS_G,JournalActions[Mi-temps],"MT1")</f>
        <v>0</v>
      </c>
      <c r="D37" s="212">
        <f>COUNTIFS(JournalActions[Action],ACT_TO_NS_P,JournalActions[Mi-temps],"MT1")
+COUNTIFS(JournalActions[Action],ACT_TO_NS_PAS_DROIT,JournalActions[Mi-temps],"MT1")</f>
        <v>0</v>
      </c>
      <c r="E37" s="64">
        <f>COUNTIFS(JournalActions[Action],ACT_TO_NS_PAS_DROIT,JournalActions[Mi-temps],"MT1")
+COUNTIFS(JournalActions[Action],ACT_TO_NS_PAS_DROIT,JournalActions[Mi-temps],"MT2")</f>
        <v>0</v>
      </c>
      <c r="F37" s="25"/>
      <c r="G37" s="63" t="s">
        <v>198</v>
      </c>
      <c r="H37" s="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69"/>
      <c r="K37" s="97" t="s">
        <v>204</v>
      </c>
      <c r="L37" s="93" t="s">
        <v>223</v>
      </c>
      <c r="M37" s="98" t="s">
        <v>82</v>
      </c>
      <c r="N37" s="271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5" t="s">
        <v>226</v>
      </c>
      <c r="C38" s="35">
        <f>COUNTIFS(JournalActions[Action],ACT_TO_ADV_PERDUE,JournalActions[Mi-temps],"MT1")</f>
        <v>0</v>
      </c>
      <c r="D38" s="213">
        <f>COUNTIFS(JournalActions[Action],ACT_TO_ADV_VOLEE,JournalActions[Mi-temps],"MT1")
+COUNTIFS(JournalActions[Action],ACT_TO_ADV_PAS_DROIT,JournalActions[Mi-temps],"MT1")</f>
        <v>0</v>
      </c>
      <c r="E38" s="36">
        <f>COUNTIFS(JournalActions[Action],ACT_TO_ADV_PAS_DROIT,JournalActions[Mi-temps],"MT1")</f>
        <v>0</v>
      </c>
      <c r="F38" s="25"/>
      <c r="G38" s="35" t="s">
        <v>199</v>
      </c>
      <c r="H38" s="36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0" t="s">
        <v>97</v>
      </c>
      <c r="K38" s="95">
        <f>COUNTIFS(JournalActions[Action],ACT_PEN_CONTRE_NOUS,JournalActions[Mi-temps],"MT1",JournalActions[Groupe fautif],"Avant*")</f>
        <v>0</v>
      </c>
      <c r="L38" s="56">
        <f>COUNTIFS(JournalActions[Action],ACT_PEN_CONTRE_NOUS,JournalActions[Mi-temps],"MT1",JournalActions[Groupe fautif],"Trois-quarts*")</f>
        <v>0</v>
      </c>
      <c r="M38" s="56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1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5" t="s">
        <v>94</v>
      </c>
      <c r="K39" s="89">
        <f>COUNTIFS(JournalActions[Action],ACT_PEN_CONTRE_NOUS,JournalActions[Mi-temps],"MT2",JournalActions[Groupe fautif],"Avant")</f>
        <v>0</v>
      </c>
      <c r="L39" s="36">
        <f>COUNTIFS(JournalActions[Action],ACT_PEN_CONTRE_NOUS,JournalActions[Mi-temps],"MT2",JournalActions[Groupe fautif],"Trois-quarts*")</f>
        <v>0</v>
      </c>
      <c r="M39" s="36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6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3" t="s">
        <v>197</v>
      </c>
      <c r="C40" s="83" t="s">
        <v>265</v>
      </c>
      <c r="D40" s="214" t="s">
        <v>195</v>
      </c>
      <c r="E40" s="84" t="s">
        <v>535</v>
      </c>
      <c r="F40" s="25"/>
      <c r="G40" s="267" t="s">
        <v>200</v>
      </c>
      <c r="H40" s="268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3" t="s">
        <v>193</v>
      </c>
      <c r="C41" s="63">
        <f>COUNTIFS(JournalActions[Action],ACT_TO_NS_G,JournalActions[Mi-temps],"MT2")</f>
        <v>0</v>
      </c>
      <c r="D41" s="212">
        <f>COUNTIFS(JournalActions[Action],ACT_TO_NS_P,JournalActions[Mi-temps],"MT2")
+COUNTIFS(JournalActions[Action],ACT_TO_NS_PAS_DROIT,JournalActions[Mi-temps],"MT2")</f>
        <v>0</v>
      </c>
      <c r="E41" s="64">
        <f>COUNTIFS(JournalActions[Action],ACT_TO_NS_PAS_DROIT,JournalActions[Mi-temps],"MT2")
+COUNTIFS(JournalActions[Action],ACT_TO_NS_PAS_DROIT,JournalActions[Mi-temps],"MT2")</f>
        <v>0</v>
      </c>
      <c r="F41" s="25"/>
      <c r="G41" s="63" t="s">
        <v>198</v>
      </c>
      <c r="H41" s="64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5" t="s">
        <v>29</v>
      </c>
      <c r="K41" s="86"/>
      <c r="L41" s="87" t="s">
        <v>198</v>
      </c>
      <c r="M41" s="75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5" t="s">
        <v>226</v>
      </c>
      <c r="C42" s="35">
        <f>COUNTIFS(JournalActions[Action],ACT_TO_ADV_PERDUE,JournalActions[Mi-temps],"MT2")</f>
        <v>0</v>
      </c>
      <c r="D42" s="213">
        <f>COUNTIFS(JournalActions[Action],ACT_TO_ADV_VOLEE,JournalActions[Mi-temps],"MT2")
+COUNTIFS(JournalActions[Action],ACT_TO_ADV_PAS_DROIT,JournalActions[Mi-temps],"MT2")</f>
        <v>0</v>
      </c>
      <c r="E42" s="36">
        <f>COUNTIFS(JournalActions[Action],ACT_TO_ADV_PAS_DROIT,JournalActions[Mi-temps],"MT2")</f>
        <v>0</v>
      </c>
      <c r="F42" s="25"/>
      <c r="G42" s="35" t="s">
        <v>199</v>
      </c>
      <c r="H42" s="36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62" t="s">
        <v>31</v>
      </c>
      <c r="K42" s="263"/>
      <c r="L42" s="65">
        <f>COUNTIFS(JournalActions[Action],ACT_PEN_CONTRE_NOUS,JournalActions[Motif penalite],ACT_PEN_MAUL)</f>
        <v>0</v>
      </c>
      <c r="M42" s="65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74" t="s">
        <v>33</v>
      </c>
      <c r="K43" s="275"/>
      <c r="L43" s="37">
        <f>COUNTIFS(JournalActions[Action],ACT_PEN_CONTRE_NOUS,JournalActions[Motif penalite],ACT_PEN_RUCK)</f>
        <v>0</v>
      </c>
      <c r="M43" s="37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3" t="s">
        <v>287</v>
      </c>
      <c r="C44" s="83" t="s">
        <v>265</v>
      </c>
      <c r="D44" s="84" t="s">
        <v>195</v>
      </c>
      <c r="E44" s="25"/>
      <c r="F44" s="25"/>
      <c r="G44" s="267" t="s">
        <v>291</v>
      </c>
      <c r="H44" s="268"/>
      <c r="I44" s="25"/>
      <c r="J44" s="262" t="s">
        <v>35</v>
      </c>
      <c r="K44" s="263"/>
      <c r="L44" s="65">
        <f>COUNTIFS(JournalActions[Action],ACT_PEN_CONTRE_NOUS,JournalActions[Motif penalite],ACT_PEN_HORS_JEU)</f>
        <v>0</v>
      </c>
      <c r="M44" s="65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3" t="s">
        <v>193</v>
      </c>
      <c r="C45" s="63">
        <f>COUNTIFS(JournalActions[Action],ACT_ME_NS_G,JournalActions[Mi-temps],"MT1")</f>
        <v>0</v>
      </c>
      <c r="D45" s="64">
        <f>COUNTIFS(JournalActions[Action],ACT_ME_NS_P,JournalActions[Mi-temps],"MT1")</f>
        <v>0</v>
      </c>
      <c r="E45" s="25"/>
      <c r="F45" s="25"/>
      <c r="G45" s="63" t="s">
        <v>97</v>
      </c>
      <c r="H45" s="104">
        <v>5.5371747685183971E-5</v>
      </c>
      <c r="I45" s="25"/>
      <c r="J45" s="274" t="s">
        <v>37</v>
      </c>
      <c r="K45" s="275"/>
      <c r="L45" s="37">
        <f>COUNTIFS(JournalActions[Action],ACT_PEN_CONTRE_NOUS,JournalActions[Motif penalite],ACT_PEN_PL_A_2)</f>
        <v>0</v>
      </c>
      <c r="M45" s="37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5" t="s">
        <v>226</v>
      </c>
      <c r="C46" s="35">
        <f>COUNTIFS(JournalActions[Action],ACT_ME_ADV_P,JournalActions[Mi-temps],"MT1")</f>
        <v>0</v>
      </c>
      <c r="D46" s="36">
        <f>COUNTIFS(JournalActions[Action],ACT_ME_ADV_G,JournalActions[Mi-temps],"MT1")</f>
        <v>0</v>
      </c>
      <c r="E46" s="25"/>
      <c r="F46" s="25"/>
      <c r="G46" s="35" t="s">
        <v>94</v>
      </c>
      <c r="H46" s="105">
        <v>0</v>
      </c>
      <c r="I46" s="25"/>
      <c r="J46" s="262" t="s">
        <v>39</v>
      </c>
      <c r="K46" s="263"/>
      <c r="L46" s="65">
        <f>COUNTIFS(JournalActions[Action],ACT_PEN_CONTRE_NOUS,JournalActions[Motif penalite],ACT_PEN_PL_HAUT)</f>
        <v>0</v>
      </c>
      <c r="M46" s="65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6" t="s">
        <v>292</v>
      </c>
      <c r="H47" s="107">
        <v>5.5371747685183971E-5</v>
      </c>
      <c r="I47" s="25"/>
      <c r="J47" s="274" t="s">
        <v>220</v>
      </c>
      <c r="K47" s="275"/>
      <c r="L47" s="37">
        <f>COUNTIFS(JournalActions[Action],ACT_PEN_CONTRE_NOUS,JournalActions[Motif penalite],"~?")</f>
        <v>0</v>
      </c>
      <c r="M47" s="37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3" t="s">
        <v>288</v>
      </c>
      <c r="C48" s="83" t="s">
        <v>265</v>
      </c>
      <c r="D48" s="84" t="s">
        <v>195</v>
      </c>
      <c r="E48" s="25"/>
      <c r="F48" s="25"/>
      <c r="G48" s="25"/>
      <c r="H48" s="25"/>
      <c r="I48" s="25"/>
      <c r="J48" s="67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3" t="s">
        <v>193</v>
      </c>
      <c r="C49" s="63">
        <f>COUNTIFS(JournalActions[Action],ACT_ME_NS_G,JournalActions[Mi-temps],"MT2")</f>
        <v>0</v>
      </c>
      <c r="D49" s="64">
        <f>COUNTIFS(JournalActions[Action],ACT_ME_NS_P,JournalActions[Mi-temps],"MT2")</f>
        <v>0</v>
      </c>
      <c r="E49" s="25"/>
      <c r="F49" s="25"/>
      <c r="G49" s="25"/>
      <c r="H49" s="25"/>
      <c r="I49" s="25"/>
      <c r="K49" s="66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5" t="s">
        <v>226</v>
      </c>
      <c r="C50" s="35">
        <f>COUNTIFS(JournalActions[Action],ACT_ME_ADV_P,JournalActions[Mi-temps],"MT2")</f>
        <v>0</v>
      </c>
      <c r="D50" s="36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76" t="s">
        <v>289</v>
      </c>
      <c r="C56" s="277"/>
      <c r="D56" s="277"/>
      <c r="E56" s="277"/>
      <c r="F56" s="277"/>
      <c r="G56" s="277"/>
      <c r="H56" s="277"/>
      <c r="I56" s="277"/>
      <c r="J56" s="277"/>
      <c r="K56" s="278"/>
    </row>
    <row r="57" spans="2:20" s="25" customFormat="1">
      <c r="B57" s="279"/>
      <c r="C57" s="280"/>
      <c r="D57" s="280"/>
      <c r="E57" s="280"/>
      <c r="F57" s="280"/>
      <c r="G57" s="280"/>
      <c r="H57" s="280"/>
      <c r="I57" s="280"/>
      <c r="J57" s="280"/>
      <c r="K57" s="281"/>
    </row>
    <row r="58" spans="2:20" s="25" customFormat="1" ht="14" thickBot="1">
      <c r="B58" s="282"/>
      <c r="C58" s="283"/>
      <c r="D58" s="283"/>
      <c r="E58" s="283"/>
      <c r="F58" s="283"/>
      <c r="G58" s="283"/>
      <c r="H58" s="283"/>
      <c r="I58" s="283"/>
      <c r="J58" s="283"/>
      <c r="K58" s="284"/>
    </row>
    <row r="59" spans="2:20" s="25" customFormat="1"/>
    <row r="60" spans="2:20" s="25" customFormat="1" ht="14">
      <c r="B60" s="285" t="s">
        <v>64</v>
      </c>
      <c r="C60" s="267" t="str">
        <f>ACT_TO_NS_G</f>
        <v>Touche à nous conservée</v>
      </c>
      <c r="D60" s="268"/>
      <c r="E60" s="267" t="str">
        <f>ACT_TO_ADV_VOLEE</f>
        <v>Touche à eux volée</v>
      </c>
      <c r="F60" s="268"/>
      <c r="H60" s="287" t="str">
        <f>ACT_TO_NS_P</f>
        <v>Touche à nous perdue</v>
      </c>
      <c r="I60" s="288"/>
      <c r="J60" s="287" t="str">
        <f>ACT_TO_NS_PAS_DROIT</f>
        <v>Touche à nous pas droite</v>
      </c>
      <c r="K60" s="288"/>
    </row>
    <row r="61" spans="2:20" s="25" customFormat="1" ht="14">
      <c r="B61" s="286"/>
      <c r="C61" s="97" t="s">
        <v>97</v>
      </c>
      <c r="D61" s="98" t="s">
        <v>94</v>
      </c>
      <c r="E61" s="97" t="s">
        <v>97</v>
      </c>
      <c r="F61" s="98" t="s">
        <v>94</v>
      </c>
      <c r="H61" s="99" t="s">
        <v>97</v>
      </c>
      <c r="I61" s="100" t="s">
        <v>94</v>
      </c>
      <c r="J61" s="99" t="s">
        <v>97</v>
      </c>
      <c r="K61" s="100" t="s">
        <v>94</v>
      </c>
    </row>
    <row r="62" spans="2:20" s="25" customFormat="1">
      <c r="B62" s="55" t="str" cm="1">
        <f t="array" ref="B62:B83">_xlfn._xlws.SORT(_xlfn._xlws.FILTER(COMPO[Nom du joueur],(COMPO[Nom du joueur]&lt;&gt;"")*(COMPO[Nom du joueur]&lt;&gt;"Collectif")*(COMPO[Nom du joueur]&lt;&gt;"?")))</f>
        <v>ABADIE Emeric</v>
      </c>
      <c r="C62" s="55" t="str">
        <f>IF(COUNTIFS(JournalActions[Joueur],$B62,JournalActions[Action],$C$60,JournalActions[Mi-temps],C$61)=0,"",COUNTIFS(JournalActions[Joueur],$B62,JournalActions[Action],$C$60,JournalActions[Mi-temps],C$61))</f>
        <v/>
      </c>
      <c r="D62" s="56" t="str">
        <f>IF(COUNTIFS(JournalActions[Joueur],$B62,JournalActions[Action],$C$60,JournalActions[Mi-temps],D$61)=0,"",COUNTIFS(JournalActions[Joueur],$B62,JournalActions[Action],$C$60,JournalActions[Mi-temps],D$61))</f>
        <v/>
      </c>
      <c r="E62" s="55" t="str">
        <f>IF(COUNTIFS(JournalActions[Joueur],$B62,JournalActions[Action],$E$60,JournalActions[Mi-temps],E$61)=0,"",COUNTIFS(JournalActions[Joueur],$B62,JournalActions[Action],$E$60,JournalActions[Mi-temps],E$61))</f>
        <v/>
      </c>
      <c r="F62" s="56" t="str">
        <f>IF(COUNTIFS(JournalActions[Joueur],$B62,JournalActions[Action],$E$60,JournalActions[Mi-temps],F$61)=0,"",COUNTIFS(JournalActions[Joueur],$B62,JournalActions[Action],$E$60,JournalActions[Mi-temps],F$61))</f>
        <v/>
      </c>
      <c r="H62" s="55" t="str">
        <f>IF(COUNTIFS(JournalActions[Joueur],$B62,JournalActions[Action],$H$60,JournalActions[Mi-temps],H$61)=0,"",COUNTIFS(JournalActions[Joueur],$B62,JournalActions[Action],$H$60,JournalActions[Mi-temps],H$61))</f>
        <v/>
      </c>
      <c r="I62" s="56" t="str">
        <f>IF(COUNTIFS(JournalActions[Joueur],$B62,JournalActions[Action],$H$60,JournalActions[Mi-temps],I$61)=0,"",COUNTIFS(JournalActions[Joueur],$B62,JournalActions[Action],$H$60,JournalActions[Mi-temps],I$61))</f>
        <v/>
      </c>
      <c r="J62" s="55" t="str">
        <f>IF(COUNTIFS(JournalActions[Joueur],$B62,JournalActions[Action],$J$60,JournalActions[Mi-temps],J$61)=0,"",COUNTIFS(JournalActions[Joueur],$B62,JournalActions[Action],$J$60,JournalActions[Mi-temps],J$61))</f>
        <v/>
      </c>
      <c r="K62" s="56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5" t="str">
        <v>ABADIE Quentin</v>
      </c>
      <c r="C63" s="55" t="str">
        <f>IF(COUNTIFS(JournalActions[Joueur],$B63,JournalActions[Action],$C$60,JournalActions[Mi-temps],C$61)=0,"",COUNTIFS(JournalActions[Joueur],$B63,JournalActions[Action],$C$60,JournalActions[Mi-temps],C$61))</f>
        <v/>
      </c>
      <c r="D63" s="56" t="str">
        <f>IF(COUNTIFS(JournalActions[Joueur],$B63,JournalActions[Action],$C$60,JournalActions[Mi-temps],D$61)=0,"",COUNTIFS(JournalActions[Joueur],$B63,JournalActions[Action],$C$60,JournalActions[Mi-temps],D$61))</f>
        <v/>
      </c>
      <c r="E63" s="55" t="str">
        <f>IF(COUNTIFS(JournalActions[Joueur],$B63,JournalActions[Action],$E$60,JournalActions[Mi-temps],E$61)=0,"",COUNTIFS(JournalActions[Joueur],$B63,JournalActions[Action],$E$60,JournalActions[Mi-temps],E$61))</f>
        <v/>
      </c>
      <c r="F63" s="56" t="str">
        <f>IF(COUNTIFS(JournalActions[Joueur],$B63,JournalActions[Action],$E$60,JournalActions[Mi-temps],F$61)=0,"",COUNTIFS(JournalActions[Joueur],$B63,JournalActions[Action],$E$60,JournalActions[Mi-temps],F$61))</f>
        <v/>
      </c>
      <c r="H63" s="55" t="str">
        <f>IF(COUNTIFS(JournalActions[Joueur],$B63,JournalActions[Action],$H$60,JournalActions[Mi-temps],H$61)=0,"",COUNTIFS(JournalActions[Joueur],$B63,JournalActions[Action],$H$60,JournalActions[Mi-temps],H$61))</f>
        <v/>
      </c>
      <c r="I63" s="56" t="str">
        <f>IF(COUNTIFS(JournalActions[Joueur],$B63,JournalActions[Action],$H$60,JournalActions[Mi-temps],I$61)=0,"",COUNTIFS(JournalActions[Joueur],$B63,JournalActions[Action],$H$60,JournalActions[Mi-temps],I$61))</f>
        <v/>
      </c>
      <c r="J63" s="55" t="str">
        <f>IF(COUNTIFS(JournalActions[Joueur],$B63,JournalActions[Action],$J$60,JournalActions[Mi-temps],J$61)=0,"",COUNTIFS(JournalActions[Joueur],$B63,JournalActions[Action],$J$60,JournalActions[Mi-temps],J$61))</f>
        <v/>
      </c>
      <c r="K63" s="56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5" t="str">
        <v>ABADIE Thomas</v>
      </c>
      <c r="C64" s="55" t="str">
        <f>IF(COUNTIFS(JournalActions[Joueur],$B64,JournalActions[Action],$C$60,JournalActions[Mi-temps],C$61)=0,"",COUNTIFS(JournalActions[Joueur],$B64,JournalActions[Action],$C$60,JournalActions[Mi-temps],C$61))</f>
        <v/>
      </c>
      <c r="D64" s="56" t="str">
        <f>IF(COUNTIFS(JournalActions[Joueur],$B64,JournalActions[Action],$C$60,JournalActions[Mi-temps],D$61)=0,"",COUNTIFS(JournalActions[Joueur],$B64,JournalActions[Action],$C$60,JournalActions[Mi-temps],D$61))</f>
        <v/>
      </c>
      <c r="E64" s="55" t="str">
        <f>IF(COUNTIFS(JournalActions[Joueur],$B64,JournalActions[Action],$E$60,JournalActions[Mi-temps],E$61)=0,"",COUNTIFS(JournalActions[Joueur],$B64,JournalActions[Action],$E$60,JournalActions[Mi-temps],E$61))</f>
        <v/>
      </c>
      <c r="F64" s="56" t="str">
        <f>IF(COUNTIFS(JournalActions[Joueur],$B64,JournalActions[Action],$E$60,JournalActions[Mi-temps],F$61)=0,"",COUNTIFS(JournalActions[Joueur],$B64,JournalActions[Action],$E$60,JournalActions[Mi-temps],F$61))</f>
        <v/>
      </c>
      <c r="H64" s="55" t="str">
        <f>IF(COUNTIFS(JournalActions[Joueur],$B64,JournalActions[Action],$H$60,JournalActions[Mi-temps],H$61)=0,"",COUNTIFS(JournalActions[Joueur],$B64,JournalActions[Action],$H$60,JournalActions[Mi-temps],H$61))</f>
        <v/>
      </c>
      <c r="I64" s="56" t="str">
        <f>IF(COUNTIFS(JournalActions[Joueur],$B64,JournalActions[Action],$H$60,JournalActions[Mi-temps],I$61)=0,"",COUNTIFS(JournalActions[Joueur],$B64,JournalActions[Action],$H$60,JournalActions[Mi-temps],I$61))</f>
        <v/>
      </c>
      <c r="J64" s="55" t="str">
        <f>IF(COUNTIFS(JournalActions[Joueur],$B64,JournalActions[Action],$J$60,JournalActions[Mi-temps],J$61)=0,"",COUNTIFS(JournalActions[Joueur],$B64,JournalActions[Action],$J$60,JournalActions[Mi-temps],J$61))</f>
        <v/>
      </c>
      <c r="K64" s="56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5" t="str">
        <v>BAQUE Lucas</v>
      </c>
      <c r="C65" s="55" t="str">
        <f>IF(COUNTIFS(JournalActions[Joueur],$B65,JournalActions[Action],$C$60,JournalActions[Mi-temps],C$61)=0,"",COUNTIFS(JournalActions[Joueur],$B65,JournalActions[Action],$C$60,JournalActions[Mi-temps],C$61))</f>
        <v/>
      </c>
      <c r="D65" s="56" t="str">
        <f>IF(COUNTIFS(JournalActions[Joueur],$B65,JournalActions[Action],$C$60,JournalActions[Mi-temps],D$61)=0,"",COUNTIFS(JournalActions[Joueur],$B65,JournalActions[Action],$C$60,JournalActions[Mi-temps],D$61))</f>
        <v/>
      </c>
      <c r="E65" s="55" t="str">
        <f>IF(COUNTIFS(JournalActions[Joueur],$B65,JournalActions[Action],$E$60,JournalActions[Mi-temps],E$61)=0,"",COUNTIFS(JournalActions[Joueur],$B65,JournalActions[Action],$E$60,JournalActions[Mi-temps],E$61))</f>
        <v/>
      </c>
      <c r="F65" s="56" t="str">
        <f>IF(COUNTIFS(JournalActions[Joueur],$B65,JournalActions[Action],$E$60,JournalActions[Mi-temps],F$61)=0,"",COUNTIFS(JournalActions[Joueur],$B65,JournalActions[Action],$E$60,JournalActions[Mi-temps],F$61))</f>
        <v/>
      </c>
      <c r="H65" s="55" t="str">
        <f>IF(COUNTIFS(JournalActions[Joueur],$B65,JournalActions[Action],$H$60,JournalActions[Mi-temps],H$61)=0,"",COUNTIFS(JournalActions[Joueur],$B65,JournalActions[Action],$H$60,JournalActions[Mi-temps],H$61))</f>
        <v/>
      </c>
      <c r="I65" s="56" t="str">
        <f>IF(COUNTIFS(JournalActions[Joueur],$B65,JournalActions[Action],$H$60,JournalActions[Mi-temps],I$61)=0,"",COUNTIFS(JournalActions[Joueur],$B65,JournalActions[Action],$H$60,JournalActions[Mi-temps],I$61))</f>
        <v/>
      </c>
      <c r="J65" s="55" t="str">
        <f>IF(COUNTIFS(JournalActions[Joueur],$B65,JournalActions[Action],$J$60,JournalActions[Mi-temps],J$61)=0,"",COUNTIFS(JournalActions[Joueur],$B65,JournalActions[Action],$J$60,JournalActions[Mi-temps],J$61))</f>
        <v/>
      </c>
      <c r="K65" s="56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5" t="str">
        <v>BARATGIN Julian</v>
      </c>
      <c r="C66" s="55" t="str">
        <f>IF(COUNTIFS(JournalActions[Joueur],$B66,JournalActions[Action],$C$60,JournalActions[Mi-temps],C$61)=0,"",COUNTIFS(JournalActions[Joueur],$B66,JournalActions[Action],$C$60,JournalActions[Mi-temps],C$61))</f>
        <v/>
      </c>
      <c r="D66" s="56" t="str">
        <f>IF(COUNTIFS(JournalActions[Joueur],$B66,JournalActions[Action],$C$60,JournalActions[Mi-temps],D$61)=0,"",COUNTIFS(JournalActions[Joueur],$B66,JournalActions[Action],$C$60,JournalActions[Mi-temps],D$61))</f>
        <v/>
      </c>
      <c r="E66" s="55" t="str">
        <f>IF(COUNTIFS(JournalActions[Joueur],$B66,JournalActions[Action],$E$60,JournalActions[Mi-temps],E$61)=0,"",COUNTIFS(JournalActions[Joueur],$B66,JournalActions[Action],$E$60,JournalActions[Mi-temps],E$61))</f>
        <v/>
      </c>
      <c r="F66" s="56" t="str">
        <f>IF(COUNTIFS(JournalActions[Joueur],$B66,JournalActions[Action],$E$60,JournalActions[Mi-temps],F$61)=0,"",COUNTIFS(JournalActions[Joueur],$B66,JournalActions[Action],$E$60,JournalActions[Mi-temps],F$61))</f>
        <v/>
      </c>
      <c r="H66" s="55" t="str">
        <f>IF(COUNTIFS(JournalActions[Joueur],$B66,JournalActions[Action],$H$60,JournalActions[Mi-temps],H$61)=0,"",COUNTIFS(JournalActions[Joueur],$B66,JournalActions[Action],$H$60,JournalActions[Mi-temps],H$61))</f>
        <v/>
      </c>
      <c r="I66" s="56" t="str">
        <f>IF(COUNTIFS(JournalActions[Joueur],$B66,JournalActions[Action],$H$60,JournalActions[Mi-temps],I$61)=0,"",COUNTIFS(JournalActions[Joueur],$B66,JournalActions[Action],$H$60,JournalActions[Mi-temps],I$61))</f>
        <v/>
      </c>
      <c r="J66" s="55" t="str">
        <f>IF(COUNTIFS(JournalActions[Joueur],$B66,JournalActions[Action],$J$60,JournalActions[Mi-temps],J$61)=0,"",COUNTIFS(JournalActions[Joueur],$B66,JournalActions[Action],$J$60,JournalActions[Mi-temps],J$61))</f>
        <v/>
      </c>
      <c r="K66" s="56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5" t="str">
        <v>BAUP Bastien</v>
      </c>
      <c r="C67" s="55" t="str">
        <f>IF(COUNTIFS(JournalActions[Joueur],$B67,JournalActions[Action],$C$60,JournalActions[Mi-temps],C$61)=0,"",COUNTIFS(JournalActions[Joueur],$B67,JournalActions[Action],$C$60,JournalActions[Mi-temps],C$61))</f>
        <v/>
      </c>
      <c r="D67" s="56" t="str">
        <f>IF(COUNTIFS(JournalActions[Joueur],$B67,JournalActions[Action],$C$60,JournalActions[Mi-temps],D$61)=0,"",COUNTIFS(JournalActions[Joueur],$B67,JournalActions[Action],$C$60,JournalActions[Mi-temps],D$61))</f>
        <v/>
      </c>
      <c r="E67" s="55" t="str">
        <f>IF(COUNTIFS(JournalActions[Joueur],$B67,JournalActions[Action],$E$60,JournalActions[Mi-temps],E$61)=0,"",COUNTIFS(JournalActions[Joueur],$B67,JournalActions[Action],$E$60,JournalActions[Mi-temps],E$61))</f>
        <v/>
      </c>
      <c r="F67" s="56" t="str">
        <f>IF(COUNTIFS(JournalActions[Joueur],$B67,JournalActions[Action],$E$60,JournalActions[Mi-temps],F$61)=0,"",COUNTIFS(JournalActions[Joueur],$B67,JournalActions[Action],$E$60,JournalActions[Mi-temps],F$61))</f>
        <v/>
      </c>
      <c r="H67" s="55" t="str">
        <f>IF(COUNTIFS(JournalActions[Joueur],$B67,JournalActions[Action],$H$60,JournalActions[Mi-temps],H$61)=0,"",COUNTIFS(JournalActions[Joueur],$B67,JournalActions[Action],$H$60,JournalActions[Mi-temps],H$61))</f>
        <v/>
      </c>
      <c r="I67" s="56" t="str">
        <f>IF(COUNTIFS(JournalActions[Joueur],$B67,JournalActions[Action],$H$60,JournalActions[Mi-temps],I$61)=0,"",COUNTIFS(JournalActions[Joueur],$B67,JournalActions[Action],$H$60,JournalActions[Mi-temps],I$61))</f>
        <v/>
      </c>
      <c r="J67" s="55" t="str">
        <f>IF(COUNTIFS(JournalActions[Joueur],$B67,JournalActions[Action],$J$60,JournalActions[Mi-temps],J$61)=0,"",COUNTIFS(JournalActions[Joueur],$B67,JournalActions[Action],$J$60,JournalActions[Mi-temps],J$61))</f>
        <v/>
      </c>
      <c r="K67" s="56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5" t="str">
        <v>BAYLE Jean</v>
      </c>
      <c r="C68" s="55" t="str">
        <f>IF(COUNTIFS(JournalActions[Joueur],$B68,JournalActions[Action],$C$60,JournalActions[Mi-temps],C$61)=0,"",COUNTIFS(JournalActions[Joueur],$B68,JournalActions[Action],$C$60,JournalActions[Mi-temps],C$61))</f>
        <v/>
      </c>
      <c r="D68" s="56" t="str">
        <f>IF(COUNTIFS(JournalActions[Joueur],$B68,JournalActions[Action],$C$60,JournalActions[Mi-temps],D$61)=0,"",COUNTIFS(JournalActions[Joueur],$B68,JournalActions[Action],$C$60,JournalActions[Mi-temps],D$61))</f>
        <v/>
      </c>
      <c r="E68" s="55" t="str">
        <f>IF(COUNTIFS(JournalActions[Joueur],$B68,JournalActions[Action],$E$60,JournalActions[Mi-temps],E$61)=0,"",COUNTIFS(JournalActions[Joueur],$B68,JournalActions[Action],$E$60,JournalActions[Mi-temps],E$61))</f>
        <v/>
      </c>
      <c r="F68" s="56" t="str">
        <f>IF(COUNTIFS(JournalActions[Joueur],$B68,JournalActions[Action],$E$60,JournalActions[Mi-temps],F$61)=0,"",COUNTIFS(JournalActions[Joueur],$B68,JournalActions[Action],$E$60,JournalActions[Mi-temps],F$61))</f>
        <v/>
      </c>
      <c r="H68" s="55" t="str">
        <f>IF(COUNTIFS(JournalActions[Joueur],$B68,JournalActions[Action],$H$60,JournalActions[Mi-temps],H$61)=0,"",COUNTIFS(JournalActions[Joueur],$B68,JournalActions[Action],$H$60,JournalActions[Mi-temps],H$61))</f>
        <v/>
      </c>
      <c r="I68" s="56" t="str">
        <f>IF(COUNTIFS(JournalActions[Joueur],$B68,JournalActions[Action],$H$60,JournalActions[Mi-temps],I$61)=0,"",COUNTIFS(JournalActions[Joueur],$B68,JournalActions[Action],$H$60,JournalActions[Mi-temps],I$61))</f>
        <v/>
      </c>
      <c r="J68" s="55" t="str">
        <f>IF(COUNTIFS(JournalActions[Joueur],$B68,JournalActions[Action],$J$60,JournalActions[Mi-temps],J$61)=0,"",COUNTIFS(JournalActions[Joueur],$B68,JournalActions[Action],$J$60,JournalActions[Mi-temps],J$61))</f>
        <v/>
      </c>
      <c r="K68" s="56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5" t="str">
        <v>BIFFI Pierre</v>
      </c>
      <c r="C69" s="55" t="str">
        <f>IF(COUNTIFS(JournalActions[Joueur],$B69,JournalActions[Action],$C$60,JournalActions[Mi-temps],C$61)=0,"",COUNTIFS(JournalActions[Joueur],$B69,JournalActions[Action],$C$60,JournalActions[Mi-temps],C$61))</f>
        <v/>
      </c>
      <c r="D69" s="56" t="str">
        <f>IF(COUNTIFS(JournalActions[Joueur],$B69,JournalActions[Action],$C$60,JournalActions[Mi-temps],D$61)=0,"",COUNTIFS(JournalActions[Joueur],$B69,JournalActions[Action],$C$60,JournalActions[Mi-temps],D$61))</f>
        <v/>
      </c>
      <c r="E69" s="55" t="str">
        <f>IF(COUNTIFS(JournalActions[Joueur],$B69,JournalActions[Action],$E$60,JournalActions[Mi-temps],E$61)=0,"",COUNTIFS(JournalActions[Joueur],$B69,JournalActions[Action],$E$60,JournalActions[Mi-temps],E$61))</f>
        <v/>
      </c>
      <c r="F69" s="56" t="str">
        <f>IF(COUNTIFS(JournalActions[Joueur],$B69,JournalActions[Action],$E$60,JournalActions[Mi-temps],F$61)=0,"",COUNTIFS(JournalActions[Joueur],$B69,JournalActions[Action],$E$60,JournalActions[Mi-temps],F$61))</f>
        <v/>
      </c>
      <c r="H69" s="55" t="str">
        <f>IF(COUNTIFS(JournalActions[Joueur],$B69,JournalActions[Action],$H$60,JournalActions[Mi-temps],H$61)=0,"",COUNTIFS(JournalActions[Joueur],$B69,JournalActions[Action],$H$60,JournalActions[Mi-temps],H$61))</f>
        <v/>
      </c>
      <c r="I69" s="56" t="str">
        <f>IF(COUNTIFS(JournalActions[Joueur],$B69,JournalActions[Action],$H$60,JournalActions[Mi-temps],I$61)=0,"",COUNTIFS(JournalActions[Joueur],$B69,JournalActions[Action],$H$60,JournalActions[Mi-temps],I$61))</f>
        <v/>
      </c>
      <c r="J69" s="55" t="str">
        <f>IF(COUNTIFS(JournalActions[Joueur],$B69,JournalActions[Action],$J$60,JournalActions[Mi-temps],J$61)=0,"",COUNTIFS(JournalActions[Joueur],$B69,JournalActions[Action],$J$60,JournalActions[Mi-temps],J$61))</f>
        <v/>
      </c>
      <c r="K69" s="56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5" t="str">
        <v>BOURREC Anthony</v>
      </c>
      <c r="C70" s="55" t="str">
        <f>IF(COUNTIFS(JournalActions[Joueur],$B70,JournalActions[Action],$C$60,JournalActions[Mi-temps],C$61)=0,"",COUNTIFS(JournalActions[Joueur],$B70,JournalActions[Action],$C$60,JournalActions[Mi-temps],C$61))</f>
        <v/>
      </c>
      <c r="D70" s="56" t="str">
        <f>IF(COUNTIFS(JournalActions[Joueur],$B70,JournalActions[Action],$C$60,JournalActions[Mi-temps],D$61)=0,"",COUNTIFS(JournalActions[Joueur],$B70,JournalActions[Action],$C$60,JournalActions[Mi-temps],D$61))</f>
        <v/>
      </c>
      <c r="E70" s="55" t="str">
        <f>IF(COUNTIFS(JournalActions[Joueur],$B70,JournalActions[Action],$E$60,JournalActions[Mi-temps],E$61)=0,"",COUNTIFS(JournalActions[Joueur],$B70,JournalActions[Action],$E$60,JournalActions[Mi-temps],E$61))</f>
        <v/>
      </c>
      <c r="F70" s="56" t="str">
        <f>IF(COUNTIFS(JournalActions[Joueur],$B70,JournalActions[Action],$E$60,JournalActions[Mi-temps],F$61)=0,"",COUNTIFS(JournalActions[Joueur],$B70,JournalActions[Action],$E$60,JournalActions[Mi-temps],F$61))</f>
        <v/>
      </c>
      <c r="H70" s="55" t="str">
        <f>IF(COUNTIFS(JournalActions[Joueur],$B70,JournalActions[Action],$H$60,JournalActions[Mi-temps],H$61)=0,"",COUNTIFS(JournalActions[Joueur],$B70,JournalActions[Action],$H$60,JournalActions[Mi-temps],H$61))</f>
        <v/>
      </c>
      <c r="I70" s="56" t="str">
        <f>IF(COUNTIFS(JournalActions[Joueur],$B70,JournalActions[Action],$H$60,JournalActions[Mi-temps],I$61)=0,"",COUNTIFS(JournalActions[Joueur],$B70,JournalActions[Action],$H$60,JournalActions[Mi-temps],I$61))</f>
        <v/>
      </c>
      <c r="J70" s="55" t="str">
        <f>IF(COUNTIFS(JournalActions[Joueur],$B70,JournalActions[Action],$J$60,JournalActions[Mi-temps],J$61)=0,"",COUNTIFS(JournalActions[Joueur],$B70,JournalActions[Action],$J$60,JournalActions[Mi-temps],J$61))</f>
        <v/>
      </c>
      <c r="K70" s="56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5" t="str">
        <v>CESCA Sacha</v>
      </c>
      <c r="C71" s="55" t="str">
        <f>IF(COUNTIFS(JournalActions[Joueur],$B71,JournalActions[Action],$C$60,JournalActions[Mi-temps],C$61)=0,"",COUNTIFS(JournalActions[Joueur],$B71,JournalActions[Action],$C$60,JournalActions[Mi-temps],C$61))</f>
        <v/>
      </c>
      <c r="D71" s="56" t="str">
        <f>IF(COUNTIFS(JournalActions[Joueur],$B71,JournalActions[Action],$C$60,JournalActions[Mi-temps],D$61)=0,"",COUNTIFS(JournalActions[Joueur],$B71,JournalActions[Action],$C$60,JournalActions[Mi-temps],D$61))</f>
        <v/>
      </c>
      <c r="E71" s="55" t="str">
        <f>IF(COUNTIFS(JournalActions[Joueur],$B71,JournalActions[Action],$E$60,JournalActions[Mi-temps],E$61)=0,"",COUNTIFS(JournalActions[Joueur],$B71,JournalActions[Action],$E$60,JournalActions[Mi-temps],E$61))</f>
        <v/>
      </c>
      <c r="F71" s="56" t="str">
        <f>IF(COUNTIFS(JournalActions[Joueur],$B71,JournalActions[Action],$E$60,JournalActions[Mi-temps],F$61)=0,"",COUNTIFS(JournalActions[Joueur],$B71,JournalActions[Action],$E$60,JournalActions[Mi-temps],F$61))</f>
        <v/>
      </c>
      <c r="H71" s="55" t="str">
        <f>IF(COUNTIFS(JournalActions[Joueur],$B71,JournalActions[Action],$H$60,JournalActions[Mi-temps],H$61)=0,"",COUNTIFS(JournalActions[Joueur],$B71,JournalActions[Action],$H$60,JournalActions[Mi-temps],H$61))</f>
        <v/>
      </c>
      <c r="I71" s="56" t="str">
        <f>IF(COUNTIFS(JournalActions[Joueur],$B71,JournalActions[Action],$H$60,JournalActions[Mi-temps],I$61)=0,"",COUNTIFS(JournalActions[Joueur],$B71,JournalActions[Action],$H$60,JournalActions[Mi-temps],I$61))</f>
        <v/>
      </c>
      <c r="J71" s="55" t="str">
        <f>IF(COUNTIFS(JournalActions[Joueur],$B71,JournalActions[Action],$J$60,JournalActions[Mi-temps],J$61)=0,"",COUNTIFS(JournalActions[Joueur],$B71,JournalActions[Action],$J$60,JournalActions[Mi-temps],J$61))</f>
        <v/>
      </c>
      <c r="K71" s="56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5" t="str">
        <v>COURREGES Romain</v>
      </c>
      <c r="C72" s="55" t="str">
        <f>IF(COUNTIFS(JournalActions[Joueur],$B72,JournalActions[Action],$C$60,JournalActions[Mi-temps],C$61)=0,"",COUNTIFS(JournalActions[Joueur],$B72,JournalActions[Action],$C$60,JournalActions[Mi-temps],C$61))</f>
        <v/>
      </c>
      <c r="D72" s="56" t="str">
        <f>IF(COUNTIFS(JournalActions[Joueur],$B72,JournalActions[Action],$C$60,JournalActions[Mi-temps],D$61)=0,"",COUNTIFS(JournalActions[Joueur],$B72,JournalActions[Action],$C$60,JournalActions[Mi-temps],D$61))</f>
        <v/>
      </c>
      <c r="E72" s="55" t="str">
        <f>IF(COUNTIFS(JournalActions[Joueur],$B72,JournalActions[Action],$E$60,JournalActions[Mi-temps],E$61)=0,"",COUNTIFS(JournalActions[Joueur],$B72,JournalActions[Action],$E$60,JournalActions[Mi-temps],E$61))</f>
        <v/>
      </c>
      <c r="F72" s="56" t="str">
        <f>IF(COUNTIFS(JournalActions[Joueur],$B72,JournalActions[Action],$E$60,JournalActions[Mi-temps],F$61)=0,"",COUNTIFS(JournalActions[Joueur],$B72,JournalActions[Action],$E$60,JournalActions[Mi-temps],F$61))</f>
        <v/>
      </c>
      <c r="H72" s="55" t="str">
        <f>IF(COUNTIFS(JournalActions[Joueur],$B72,JournalActions[Action],$H$60,JournalActions[Mi-temps],H$61)=0,"",COUNTIFS(JournalActions[Joueur],$B72,JournalActions[Action],$H$60,JournalActions[Mi-temps],H$61))</f>
        <v/>
      </c>
      <c r="I72" s="56" t="str">
        <f>IF(COUNTIFS(JournalActions[Joueur],$B72,JournalActions[Action],$H$60,JournalActions[Mi-temps],I$61)=0,"",COUNTIFS(JournalActions[Joueur],$B72,JournalActions[Action],$H$60,JournalActions[Mi-temps],I$61))</f>
        <v/>
      </c>
      <c r="J72" s="55" t="str">
        <f>IF(COUNTIFS(JournalActions[Joueur],$B72,JournalActions[Action],$J$60,JournalActions[Mi-temps],J$61)=0,"",COUNTIFS(JournalActions[Joueur],$B72,JournalActions[Action],$J$60,JournalActions[Mi-temps],J$61))</f>
        <v/>
      </c>
      <c r="K72" s="56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5" t="str">
        <v>DALLA ROSA Jonah</v>
      </c>
      <c r="C73" s="55" t="str">
        <f>IF(COUNTIFS(JournalActions[Joueur],$B73,JournalActions[Action],$C$60,JournalActions[Mi-temps],C$61)=0,"",COUNTIFS(JournalActions[Joueur],$B73,JournalActions[Action],$C$60,JournalActions[Mi-temps],C$61))</f>
        <v/>
      </c>
      <c r="D73" s="56" t="str">
        <f>IF(COUNTIFS(JournalActions[Joueur],$B73,JournalActions[Action],$C$60,JournalActions[Mi-temps],D$61)=0,"",COUNTIFS(JournalActions[Joueur],$B73,JournalActions[Action],$C$60,JournalActions[Mi-temps],D$61))</f>
        <v/>
      </c>
      <c r="E73" s="55" t="str">
        <f>IF(COUNTIFS(JournalActions[Joueur],$B73,JournalActions[Action],$E$60,JournalActions[Mi-temps],E$61)=0,"",COUNTIFS(JournalActions[Joueur],$B73,JournalActions[Action],$E$60,JournalActions[Mi-temps],E$61))</f>
        <v/>
      </c>
      <c r="F73" s="56" t="str">
        <f>IF(COUNTIFS(JournalActions[Joueur],$B73,JournalActions[Action],$E$60,JournalActions[Mi-temps],F$61)=0,"",COUNTIFS(JournalActions[Joueur],$B73,JournalActions[Action],$E$60,JournalActions[Mi-temps],F$61))</f>
        <v/>
      </c>
      <c r="H73" s="55" t="str">
        <f>IF(COUNTIFS(JournalActions[Joueur],$B73,JournalActions[Action],$H$60,JournalActions[Mi-temps],H$61)=0,"",COUNTIFS(JournalActions[Joueur],$B73,JournalActions[Action],$H$60,JournalActions[Mi-temps],H$61))</f>
        <v/>
      </c>
      <c r="I73" s="56" t="str">
        <f>IF(COUNTIFS(JournalActions[Joueur],$B73,JournalActions[Action],$H$60,JournalActions[Mi-temps],I$61)=0,"",COUNTIFS(JournalActions[Joueur],$B73,JournalActions[Action],$H$60,JournalActions[Mi-temps],I$61))</f>
        <v/>
      </c>
      <c r="J73" s="55" t="str">
        <f>IF(COUNTIFS(JournalActions[Joueur],$B73,JournalActions[Action],$J$60,JournalActions[Mi-temps],J$61)=0,"",COUNTIFS(JournalActions[Joueur],$B73,JournalActions[Action],$J$60,JournalActions[Mi-temps],J$61))</f>
        <v/>
      </c>
      <c r="K73" s="56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5" t="str">
        <v>JOUNAUX Joris</v>
      </c>
      <c r="C74" s="55" t="str">
        <f>IF(COUNTIFS(JournalActions[Joueur],$B74,JournalActions[Action],$C$60,JournalActions[Mi-temps],C$61)=0,"",COUNTIFS(JournalActions[Joueur],$B74,JournalActions[Action],$C$60,JournalActions[Mi-temps],C$61))</f>
        <v/>
      </c>
      <c r="D74" s="56" t="str">
        <f>IF(COUNTIFS(JournalActions[Joueur],$B74,JournalActions[Action],$C$60,JournalActions[Mi-temps],D$61)=0,"",COUNTIFS(JournalActions[Joueur],$B74,JournalActions[Action],$C$60,JournalActions[Mi-temps],D$61))</f>
        <v/>
      </c>
      <c r="E74" s="55" t="str">
        <f>IF(COUNTIFS(JournalActions[Joueur],$B74,JournalActions[Action],$E$60,JournalActions[Mi-temps],E$61)=0,"",COUNTIFS(JournalActions[Joueur],$B74,JournalActions[Action],$E$60,JournalActions[Mi-temps],E$61))</f>
        <v/>
      </c>
      <c r="F74" s="56" t="str">
        <f>IF(COUNTIFS(JournalActions[Joueur],$B74,JournalActions[Action],$E$60,JournalActions[Mi-temps],F$61)=0,"",COUNTIFS(JournalActions[Joueur],$B74,JournalActions[Action],$E$60,JournalActions[Mi-temps],F$61))</f>
        <v/>
      </c>
      <c r="H74" s="55" t="str">
        <f>IF(COUNTIFS(JournalActions[Joueur],$B74,JournalActions[Action],$H$60,JournalActions[Mi-temps],H$61)=0,"",COUNTIFS(JournalActions[Joueur],$B74,JournalActions[Action],$H$60,JournalActions[Mi-temps],H$61))</f>
        <v/>
      </c>
      <c r="I74" s="56" t="str">
        <f>IF(COUNTIFS(JournalActions[Joueur],$B74,JournalActions[Action],$H$60,JournalActions[Mi-temps],I$61)=0,"",COUNTIFS(JournalActions[Joueur],$B74,JournalActions[Action],$H$60,JournalActions[Mi-temps],I$61))</f>
        <v/>
      </c>
      <c r="J74" s="55" t="str">
        <f>IF(COUNTIFS(JournalActions[Joueur],$B74,JournalActions[Action],$J$60,JournalActions[Mi-temps],J$61)=0,"",COUNTIFS(JournalActions[Joueur],$B74,JournalActions[Action],$J$60,JournalActions[Mi-temps],J$61))</f>
        <v/>
      </c>
      <c r="K74" s="56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5" t="str">
        <v>KAPFER Bastien</v>
      </c>
      <c r="C75" s="55" t="str">
        <f>IF(COUNTIFS(JournalActions[Joueur],$B75,JournalActions[Action],$C$60,JournalActions[Mi-temps],C$61)=0,"",COUNTIFS(JournalActions[Joueur],$B75,JournalActions[Action],$C$60,JournalActions[Mi-temps],C$61))</f>
        <v/>
      </c>
      <c r="D75" s="56" t="str">
        <f>IF(COUNTIFS(JournalActions[Joueur],$B75,JournalActions[Action],$C$60,JournalActions[Mi-temps],D$61)=0,"",COUNTIFS(JournalActions[Joueur],$B75,JournalActions[Action],$C$60,JournalActions[Mi-temps],D$61))</f>
        <v/>
      </c>
      <c r="E75" s="55" t="str">
        <f>IF(COUNTIFS(JournalActions[Joueur],$B75,JournalActions[Action],$E$60,JournalActions[Mi-temps],E$61)=0,"",COUNTIFS(JournalActions[Joueur],$B75,JournalActions[Action],$E$60,JournalActions[Mi-temps],E$61))</f>
        <v/>
      </c>
      <c r="F75" s="56" t="str">
        <f>IF(COUNTIFS(JournalActions[Joueur],$B75,JournalActions[Action],$E$60,JournalActions[Mi-temps],F$61)=0,"",COUNTIFS(JournalActions[Joueur],$B75,JournalActions[Action],$E$60,JournalActions[Mi-temps],F$61))</f>
        <v/>
      </c>
      <c r="H75" s="55" t="str">
        <f>IF(COUNTIFS(JournalActions[Joueur],$B75,JournalActions[Action],$H$60,JournalActions[Mi-temps],H$61)=0,"",COUNTIFS(JournalActions[Joueur],$B75,JournalActions[Action],$H$60,JournalActions[Mi-temps],H$61))</f>
        <v/>
      </c>
      <c r="I75" s="56" t="str">
        <f>IF(COUNTIFS(JournalActions[Joueur],$B75,JournalActions[Action],$H$60,JournalActions[Mi-temps],I$61)=0,"",COUNTIFS(JournalActions[Joueur],$B75,JournalActions[Action],$H$60,JournalActions[Mi-temps],I$61))</f>
        <v/>
      </c>
      <c r="J75" s="55" t="str">
        <f>IF(COUNTIFS(JournalActions[Joueur],$B75,JournalActions[Action],$J$60,JournalActions[Mi-temps],J$61)=0,"",COUNTIFS(JournalActions[Joueur],$B75,JournalActions[Action],$J$60,JournalActions[Mi-temps],J$61))</f>
        <v/>
      </c>
      <c r="K75" s="56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5" t="str">
        <v>LAUDET Jean Baptiste</v>
      </c>
      <c r="C76" s="55" t="str">
        <f>IF(COUNTIFS(JournalActions[Joueur],$B76,JournalActions[Action],$C$60,JournalActions[Mi-temps],C$61)=0,"",COUNTIFS(JournalActions[Joueur],$B76,JournalActions[Action],$C$60,JournalActions[Mi-temps],C$61))</f>
        <v/>
      </c>
      <c r="D76" s="56" t="str">
        <f>IF(COUNTIFS(JournalActions[Joueur],$B76,JournalActions[Action],$C$60,JournalActions[Mi-temps],D$61)=0,"",COUNTIFS(JournalActions[Joueur],$B76,JournalActions[Action],$C$60,JournalActions[Mi-temps],D$61))</f>
        <v/>
      </c>
      <c r="E76" s="55" t="str">
        <f>IF(COUNTIFS(JournalActions[Joueur],$B76,JournalActions[Action],$E$60,JournalActions[Mi-temps],E$61)=0,"",COUNTIFS(JournalActions[Joueur],$B76,JournalActions[Action],$E$60,JournalActions[Mi-temps],E$61))</f>
        <v/>
      </c>
      <c r="F76" s="56" t="str">
        <f>IF(COUNTIFS(JournalActions[Joueur],$B76,JournalActions[Action],$E$60,JournalActions[Mi-temps],F$61)=0,"",COUNTIFS(JournalActions[Joueur],$B76,JournalActions[Action],$E$60,JournalActions[Mi-temps],F$61))</f>
        <v/>
      </c>
      <c r="H76" s="55" t="str">
        <f>IF(COUNTIFS(JournalActions[Joueur],$B76,JournalActions[Action],$H$60,JournalActions[Mi-temps],H$61)=0,"",COUNTIFS(JournalActions[Joueur],$B76,JournalActions[Action],$H$60,JournalActions[Mi-temps],H$61))</f>
        <v/>
      </c>
      <c r="I76" s="56" t="str">
        <f>IF(COUNTIFS(JournalActions[Joueur],$B76,JournalActions[Action],$H$60,JournalActions[Mi-temps],I$61)=0,"",COUNTIFS(JournalActions[Joueur],$B76,JournalActions[Action],$H$60,JournalActions[Mi-temps],I$61))</f>
        <v/>
      </c>
      <c r="J76" s="55" t="str">
        <f>IF(COUNTIFS(JournalActions[Joueur],$B76,JournalActions[Action],$J$60,JournalActions[Mi-temps],J$61)=0,"",COUNTIFS(JournalActions[Joueur],$B76,JournalActions[Action],$J$60,JournalActions[Mi-temps],J$61))</f>
        <v/>
      </c>
      <c r="K76" s="56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5" t="str">
        <v>LOUREIRO LABAZUY Antonio</v>
      </c>
      <c r="C77" s="55" t="str">
        <f>IF(COUNTIFS(JournalActions[Joueur],$B77,JournalActions[Action],$C$60,JournalActions[Mi-temps],C$61)=0,"",COUNTIFS(JournalActions[Joueur],$B77,JournalActions[Action],$C$60,JournalActions[Mi-temps],C$61))</f>
        <v/>
      </c>
      <c r="D77" s="56" t="str">
        <f>IF(COUNTIFS(JournalActions[Joueur],$B77,JournalActions[Action],$C$60,JournalActions[Mi-temps],D$61)=0,"",COUNTIFS(JournalActions[Joueur],$B77,JournalActions[Action],$C$60,JournalActions[Mi-temps],D$61))</f>
        <v/>
      </c>
      <c r="E77" s="55" t="str">
        <f>IF(COUNTIFS(JournalActions[Joueur],$B77,JournalActions[Action],$E$60,JournalActions[Mi-temps],E$61)=0,"",COUNTIFS(JournalActions[Joueur],$B77,JournalActions[Action],$E$60,JournalActions[Mi-temps],E$61))</f>
        <v/>
      </c>
      <c r="F77" s="56" t="str">
        <f>IF(COUNTIFS(JournalActions[Joueur],$B77,JournalActions[Action],$E$60,JournalActions[Mi-temps],F$61)=0,"",COUNTIFS(JournalActions[Joueur],$B77,JournalActions[Action],$E$60,JournalActions[Mi-temps],F$61))</f>
        <v/>
      </c>
      <c r="H77" s="55" t="str">
        <f>IF(COUNTIFS(JournalActions[Joueur],$B77,JournalActions[Action],$H$60,JournalActions[Mi-temps],H$61)=0,"",COUNTIFS(JournalActions[Joueur],$B77,JournalActions[Action],$H$60,JournalActions[Mi-temps],H$61))</f>
        <v/>
      </c>
      <c r="I77" s="56" t="str">
        <f>IF(COUNTIFS(JournalActions[Joueur],$B77,JournalActions[Action],$H$60,JournalActions[Mi-temps],I$61)=0,"",COUNTIFS(JournalActions[Joueur],$B77,JournalActions[Action],$H$60,JournalActions[Mi-temps],I$61))</f>
        <v/>
      </c>
      <c r="J77" s="55" t="str">
        <f>IF(COUNTIFS(JournalActions[Joueur],$B77,JournalActions[Action],$J$60,JournalActions[Mi-temps],J$61)=0,"",COUNTIFS(JournalActions[Joueur],$B77,JournalActions[Action],$J$60,JournalActions[Mi-temps],J$61))</f>
        <v/>
      </c>
      <c r="K77" s="56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5" t="str">
        <v>MICHELIN Paul</v>
      </c>
      <c r="C78" s="55" t="str">
        <f>IF(COUNTIFS(JournalActions[Joueur],$B78,JournalActions[Action],$C$60,JournalActions[Mi-temps],C$61)=0,"",COUNTIFS(JournalActions[Joueur],$B78,JournalActions[Action],$C$60,JournalActions[Mi-temps],C$61))</f>
        <v/>
      </c>
      <c r="D78" s="56" t="str">
        <f>IF(COUNTIFS(JournalActions[Joueur],$B78,JournalActions[Action],$C$60,JournalActions[Mi-temps],D$61)=0,"",COUNTIFS(JournalActions[Joueur],$B78,JournalActions[Action],$C$60,JournalActions[Mi-temps],D$61))</f>
        <v/>
      </c>
      <c r="E78" s="55" t="str">
        <f>IF(COUNTIFS(JournalActions[Joueur],$B78,JournalActions[Action],$E$60,JournalActions[Mi-temps],E$61)=0,"",COUNTIFS(JournalActions[Joueur],$B78,JournalActions[Action],$E$60,JournalActions[Mi-temps],E$61))</f>
        <v/>
      </c>
      <c r="F78" s="56" t="str">
        <f>IF(COUNTIFS(JournalActions[Joueur],$B78,JournalActions[Action],$E$60,JournalActions[Mi-temps],F$61)=0,"",COUNTIFS(JournalActions[Joueur],$B78,JournalActions[Action],$E$60,JournalActions[Mi-temps],F$61))</f>
        <v/>
      </c>
      <c r="H78" s="55" t="str">
        <f>IF(COUNTIFS(JournalActions[Joueur],$B78,JournalActions[Action],$H$60,JournalActions[Mi-temps],H$61)=0,"",COUNTIFS(JournalActions[Joueur],$B78,JournalActions[Action],$H$60,JournalActions[Mi-temps],H$61))</f>
        <v/>
      </c>
      <c r="I78" s="56" t="str">
        <f>IF(COUNTIFS(JournalActions[Joueur],$B78,JournalActions[Action],$H$60,JournalActions[Mi-temps],I$61)=0,"",COUNTIFS(JournalActions[Joueur],$B78,JournalActions[Action],$H$60,JournalActions[Mi-temps],I$61))</f>
        <v/>
      </c>
      <c r="J78" s="55" t="str">
        <f>IF(COUNTIFS(JournalActions[Joueur],$B78,JournalActions[Action],$J$60,JournalActions[Mi-temps],J$61)=0,"",COUNTIFS(JournalActions[Joueur],$B78,JournalActions[Action],$J$60,JournalActions[Mi-temps],J$61))</f>
        <v/>
      </c>
      <c r="K78" s="56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5" t="str">
        <v>MOUDENS Alexis</v>
      </c>
      <c r="C79" s="55" t="str">
        <f>IF(COUNTIFS(JournalActions[Joueur],$B79,JournalActions[Action],$C$60,JournalActions[Mi-temps],C$61)=0,"",COUNTIFS(JournalActions[Joueur],$B79,JournalActions[Action],$C$60,JournalActions[Mi-temps],C$61))</f>
        <v/>
      </c>
      <c r="D79" s="56" t="str">
        <f>IF(COUNTIFS(JournalActions[Joueur],$B79,JournalActions[Action],$C$60,JournalActions[Mi-temps],D$61)=0,"",COUNTIFS(JournalActions[Joueur],$B79,JournalActions[Action],$C$60,JournalActions[Mi-temps],D$61))</f>
        <v/>
      </c>
      <c r="E79" s="55" t="str">
        <f>IF(COUNTIFS(JournalActions[Joueur],$B79,JournalActions[Action],$E$60,JournalActions[Mi-temps],E$61)=0,"",COUNTIFS(JournalActions[Joueur],$B79,JournalActions[Action],$E$60,JournalActions[Mi-temps],E$61))</f>
        <v/>
      </c>
      <c r="F79" s="56" t="str">
        <f>IF(COUNTIFS(JournalActions[Joueur],$B79,JournalActions[Action],$E$60,JournalActions[Mi-temps],F$61)=0,"",COUNTIFS(JournalActions[Joueur],$B79,JournalActions[Action],$E$60,JournalActions[Mi-temps],F$61))</f>
        <v/>
      </c>
      <c r="H79" s="55" t="str">
        <f>IF(COUNTIFS(JournalActions[Joueur],$B79,JournalActions[Action],$H$60,JournalActions[Mi-temps],H$61)=0,"",COUNTIFS(JournalActions[Joueur],$B79,JournalActions[Action],$H$60,JournalActions[Mi-temps],H$61))</f>
        <v/>
      </c>
      <c r="I79" s="56" t="str">
        <f>IF(COUNTIFS(JournalActions[Joueur],$B79,JournalActions[Action],$H$60,JournalActions[Mi-temps],I$61)=0,"",COUNTIFS(JournalActions[Joueur],$B79,JournalActions[Action],$H$60,JournalActions[Mi-temps],I$61))</f>
        <v/>
      </c>
      <c r="J79" s="55" t="str">
        <f>IF(COUNTIFS(JournalActions[Joueur],$B79,JournalActions[Action],$J$60,JournalActions[Mi-temps],J$61)=0,"",COUNTIFS(JournalActions[Joueur],$B79,JournalActions[Action],$J$60,JournalActions[Mi-temps],J$61))</f>
        <v/>
      </c>
      <c r="K79" s="56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5" t="str">
        <v>RICHIARDONNE Gregory</v>
      </c>
      <c r="C80" s="55" t="str">
        <f>IF(COUNTIFS(JournalActions[Joueur],$B80,JournalActions[Action],$C$60,JournalActions[Mi-temps],C$61)=0,"",COUNTIFS(JournalActions[Joueur],$B80,JournalActions[Action],$C$60,JournalActions[Mi-temps],C$61))</f>
        <v/>
      </c>
      <c r="D80" s="56" t="str">
        <f>IF(COUNTIFS(JournalActions[Joueur],$B80,JournalActions[Action],$C$60,JournalActions[Mi-temps],D$61)=0,"",COUNTIFS(JournalActions[Joueur],$B80,JournalActions[Action],$C$60,JournalActions[Mi-temps],D$61))</f>
        <v/>
      </c>
      <c r="E80" s="55" t="str">
        <f>IF(COUNTIFS(JournalActions[Joueur],$B80,JournalActions[Action],$E$60,JournalActions[Mi-temps],E$61)=0,"",COUNTIFS(JournalActions[Joueur],$B80,JournalActions[Action],$E$60,JournalActions[Mi-temps],E$61))</f>
        <v/>
      </c>
      <c r="F80" s="56" t="str">
        <f>IF(COUNTIFS(JournalActions[Joueur],$B80,JournalActions[Action],$E$60,JournalActions[Mi-temps],F$61)=0,"",COUNTIFS(JournalActions[Joueur],$B80,JournalActions[Action],$E$60,JournalActions[Mi-temps],F$61))</f>
        <v/>
      </c>
      <c r="H80" s="55" t="str">
        <f>IF(COUNTIFS(JournalActions[Joueur],$B80,JournalActions[Action],$H$60,JournalActions[Mi-temps],H$61)=0,"",COUNTIFS(JournalActions[Joueur],$B80,JournalActions[Action],$H$60,JournalActions[Mi-temps],H$61))</f>
        <v/>
      </c>
      <c r="I80" s="56" t="str">
        <f>IF(COUNTIFS(JournalActions[Joueur],$B80,JournalActions[Action],$H$60,JournalActions[Mi-temps],I$61)=0,"",COUNTIFS(JournalActions[Joueur],$B80,JournalActions[Action],$H$60,JournalActions[Mi-temps],I$61))</f>
        <v/>
      </c>
      <c r="J80" s="55" t="str">
        <f>IF(COUNTIFS(JournalActions[Joueur],$B80,JournalActions[Action],$J$60,JournalActions[Mi-temps],J$61)=0,"",COUNTIFS(JournalActions[Joueur],$B80,JournalActions[Action],$J$60,JournalActions[Mi-temps],J$61))</f>
        <v/>
      </c>
      <c r="K80" s="56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5" t="str">
        <v>ROBERT Jimmy</v>
      </c>
      <c r="C81" s="55" t="str">
        <f>IF(COUNTIFS(JournalActions[Joueur],$B81,JournalActions[Action],$C$60,JournalActions[Mi-temps],C$61)=0,"",COUNTIFS(JournalActions[Joueur],$B81,JournalActions[Action],$C$60,JournalActions[Mi-temps],C$61))</f>
        <v/>
      </c>
      <c r="D81" s="56" t="str">
        <f>IF(COUNTIFS(JournalActions[Joueur],$B81,JournalActions[Action],$C$60,JournalActions[Mi-temps],D$61)=0,"",COUNTIFS(JournalActions[Joueur],$B81,JournalActions[Action],$C$60,JournalActions[Mi-temps],D$61))</f>
        <v/>
      </c>
      <c r="E81" s="55" t="str">
        <f>IF(COUNTIFS(JournalActions[Joueur],$B81,JournalActions[Action],$E$60,JournalActions[Mi-temps],E$61)=0,"",COUNTIFS(JournalActions[Joueur],$B81,JournalActions[Action],$E$60,JournalActions[Mi-temps],E$61))</f>
        <v/>
      </c>
      <c r="F81" s="56" t="str">
        <f>IF(COUNTIFS(JournalActions[Joueur],$B81,JournalActions[Action],$E$60,JournalActions[Mi-temps],F$61)=0,"",COUNTIFS(JournalActions[Joueur],$B81,JournalActions[Action],$E$60,JournalActions[Mi-temps],F$61))</f>
        <v/>
      </c>
      <c r="H81" s="55" t="str">
        <f>IF(COUNTIFS(JournalActions[Joueur],$B81,JournalActions[Action],$H$60,JournalActions[Mi-temps],H$61)=0,"",COUNTIFS(JournalActions[Joueur],$B81,JournalActions[Action],$H$60,JournalActions[Mi-temps],H$61))</f>
        <v/>
      </c>
      <c r="I81" s="56" t="str">
        <f>IF(COUNTIFS(JournalActions[Joueur],$B81,JournalActions[Action],$H$60,JournalActions[Mi-temps],I$61)=0,"",COUNTIFS(JournalActions[Joueur],$B81,JournalActions[Action],$H$60,JournalActions[Mi-temps],I$61))</f>
        <v/>
      </c>
      <c r="J81" s="55" t="str">
        <f>IF(COUNTIFS(JournalActions[Joueur],$B81,JournalActions[Action],$J$60,JournalActions[Mi-temps],J$61)=0,"",COUNTIFS(JournalActions[Joueur],$B81,JournalActions[Action],$J$60,JournalActions[Mi-temps],J$61))</f>
        <v/>
      </c>
      <c r="K81" s="56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5" t="str">
        <v>ROUSSEL Mathis</v>
      </c>
      <c r="C82" s="55" t="str">
        <f>IF(COUNTIFS(JournalActions[Joueur],$B82,JournalActions[Action],$C$60,JournalActions[Mi-temps],C$61)=0,"",COUNTIFS(JournalActions[Joueur],$B82,JournalActions[Action],$C$60,JournalActions[Mi-temps],C$61))</f>
        <v/>
      </c>
      <c r="D82" s="56" t="str">
        <f>IF(COUNTIFS(JournalActions[Joueur],$B82,JournalActions[Action],$C$60,JournalActions[Mi-temps],D$61)=0,"",COUNTIFS(JournalActions[Joueur],$B82,JournalActions[Action],$C$60,JournalActions[Mi-temps],D$61))</f>
        <v/>
      </c>
      <c r="E82" s="55" t="str">
        <f>IF(COUNTIFS(JournalActions[Joueur],$B82,JournalActions[Action],$E$60,JournalActions[Mi-temps],E$61)=0,"",COUNTIFS(JournalActions[Joueur],$B82,JournalActions[Action],$E$60,JournalActions[Mi-temps],E$61))</f>
        <v/>
      </c>
      <c r="F82" s="56" t="str">
        <f>IF(COUNTIFS(JournalActions[Joueur],$B82,JournalActions[Action],$E$60,JournalActions[Mi-temps],F$61)=0,"",COUNTIFS(JournalActions[Joueur],$B82,JournalActions[Action],$E$60,JournalActions[Mi-temps],F$61))</f>
        <v/>
      </c>
      <c r="H82" s="55" t="str">
        <f>IF(COUNTIFS(JournalActions[Joueur],$B82,JournalActions[Action],$H$60,JournalActions[Mi-temps],H$61)=0,"",COUNTIFS(JournalActions[Joueur],$B82,JournalActions[Action],$H$60,JournalActions[Mi-temps],H$61))</f>
        <v/>
      </c>
      <c r="I82" s="56" t="str">
        <f>IF(COUNTIFS(JournalActions[Joueur],$B82,JournalActions[Action],$H$60,JournalActions[Mi-temps],I$61)=0,"",COUNTIFS(JournalActions[Joueur],$B82,JournalActions[Action],$H$60,JournalActions[Mi-temps],I$61))</f>
        <v/>
      </c>
      <c r="J82" s="55" t="str">
        <f>IF(COUNTIFS(JournalActions[Joueur],$B82,JournalActions[Action],$J$60,JournalActions[Mi-temps],J$61)=0,"",COUNTIFS(JournalActions[Joueur],$B82,JournalActions[Action],$J$60,JournalActions[Mi-temps],J$61))</f>
        <v/>
      </c>
      <c r="K82" s="56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5" t="str">
        <v>SALLES Fabien</v>
      </c>
      <c r="C83" s="55" t="str">
        <f>IF(COUNTIFS(JournalActions[Joueur],$B83,JournalActions[Action],$C$60,JournalActions[Mi-temps],C$61)=0,"",COUNTIFS(JournalActions[Joueur],$B83,JournalActions[Action],$C$60,JournalActions[Mi-temps],C$61))</f>
        <v/>
      </c>
      <c r="D83" s="56" t="str">
        <f>IF(COUNTIFS(JournalActions[Joueur],$B83,JournalActions[Action],$C$60,JournalActions[Mi-temps],D$61)=0,"",COUNTIFS(JournalActions[Joueur],$B83,JournalActions[Action],$C$60,JournalActions[Mi-temps],D$61))</f>
        <v/>
      </c>
      <c r="E83" s="108" t="str">
        <f>IF(COUNTIFS(JournalActions[Joueur],$B83,JournalActions[Action],$E$60,JournalActions[Mi-temps],E$61)=0,"",COUNTIFS(JournalActions[Joueur],$B83,JournalActions[Action],$E$60,JournalActions[Mi-temps],E$61))</f>
        <v/>
      </c>
      <c r="F83" s="56" t="str">
        <f>IF(COUNTIFS(JournalActions[Joueur],$B83,JournalActions[Action],$E$60,JournalActions[Mi-temps],F$61)=0,"",COUNTIFS(JournalActions[Joueur],$B83,JournalActions[Action],$E$60,JournalActions[Mi-temps],F$61))</f>
        <v/>
      </c>
      <c r="H83" s="55" t="str">
        <f>IF(COUNTIFS(JournalActions[Joueur],$B83,JournalActions[Action],$H$60,JournalActions[Mi-temps],H$61)=0,"",COUNTIFS(JournalActions[Joueur],$B83,JournalActions[Action],$H$60,JournalActions[Mi-temps],H$61))</f>
        <v/>
      </c>
      <c r="I83" s="56" t="str">
        <f>IF(COUNTIFS(JournalActions[Joueur],$B83,JournalActions[Action],$H$60,JournalActions[Mi-temps],I$61)=0,"",COUNTIFS(JournalActions[Joueur],$B83,JournalActions[Action],$H$60,JournalActions[Mi-temps],I$61))</f>
        <v/>
      </c>
      <c r="J83" s="55" t="str">
        <f>IF(COUNTIFS(JournalActions[Joueur],$B83,JournalActions[Action],$J$60,JournalActions[Mi-temps],J$61)=0,"",COUNTIFS(JournalActions[Joueur],$B83,JournalActions[Action],$J$60,JournalActions[Mi-temps],J$61))</f>
        <v/>
      </c>
      <c r="K83" s="56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3" t="s">
        <v>92</v>
      </c>
      <c r="C84" s="55" t="str">
        <f>IF(COUNTIFS(JournalActions[Joueur],$B84,JournalActions[Action],$C$60,JournalActions[Mi-temps],C$61)=0,"",COUNTIFS(JournalActions[Joueur],$B84,JournalActions[Action],$C$60,JournalActions[Mi-temps],C$61))</f>
        <v/>
      </c>
      <c r="D84" s="56" t="str">
        <f>IF(COUNTIFS(JournalActions[Joueur],$B84,JournalActions[Action],$C$60,JournalActions[Mi-temps],D$61)=0,"",COUNTIFS(JournalActions[Joueur],$B84,JournalActions[Action],$C$60,JournalActions[Mi-temps],D$61))</f>
        <v/>
      </c>
      <c r="E84" s="55" t="str">
        <f>IF(COUNTIFS(JournalActions[Joueur],$B84,JournalActions[Action],$E$60,JournalActions[Mi-temps],E$61)=0,"",COUNTIFS(JournalActions[Joueur],$B84,JournalActions[Action],$E$60,JournalActions[Mi-temps],E$61))</f>
        <v/>
      </c>
      <c r="F84" s="56" t="str">
        <f>IF(COUNTIFS(JournalActions[Joueur],$B84,JournalActions[Action],$E$60,JournalActions[Mi-temps],F$61)=0,"",COUNTIFS(JournalActions[Joueur],$B84,JournalActions[Action],$E$60,JournalActions[Mi-temps],F$61))</f>
        <v/>
      </c>
      <c r="H84" s="55" t="str">
        <f>IF(COUNTIFS(JournalActions[Joueur],$B84,JournalActions[Action],$H$60,JournalActions[Mi-temps],H$61)=0,"",COUNTIFS(JournalActions[Joueur],$B84,JournalActions[Action],$H$60,JournalActions[Mi-temps],H$61))</f>
        <v/>
      </c>
      <c r="I84" s="56" t="str">
        <f>IF(COUNTIFS(JournalActions[Joueur],$B84,JournalActions[Action],$H$60,JournalActions[Mi-temps],I$61)=0,"",COUNTIFS(JournalActions[Joueur],$B84,JournalActions[Action],$H$60,JournalActions[Mi-temps],I$61))</f>
        <v/>
      </c>
      <c r="J84" s="55" t="str">
        <f>IF(COUNTIFS(JournalActions[Joueur],$B84,JournalActions[Action],$J$60,JournalActions[Mi-temps],J$61)=0,"",COUNTIFS(JournalActions[Joueur],$B84,JournalActions[Action],$J$60,JournalActions[Mi-temps],J$61))</f>
        <v/>
      </c>
      <c r="K84" s="56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4" t="s">
        <v>82</v>
      </c>
      <c r="C85" s="55" t="str">
        <f>IF(COUNTIFS(JournalActions[Joueur],$B85,JournalActions[Action],$C$60,JournalActions[Mi-temps],C$61)=0,"",COUNTIFS(JournalActions[Joueur],$B85,JournalActions[Action],$C$60,JournalActions[Mi-temps],C$61))</f>
        <v/>
      </c>
      <c r="D85" s="56" t="str">
        <f>IF(COUNTIFS(JournalActions[Joueur],$B85,JournalActions[Action],$C$60,JournalActions[Mi-temps],D$61)=0,"",COUNTIFS(JournalActions[Joueur],$B85,JournalActions[Action],$C$60,JournalActions[Mi-temps],D$61))</f>
        <v/>
      </c>
      <c r="E85" s="55" t="str">
        <f>IF(COUNTIFS(JournalActions[Joueur],$B85,JournalActions[Action],$E$60,JournalActions[Mi-temps],E$61)=0,"",COUNTIFS(JournalActions[Joueur],$B85,JournalActions[Action],$E$60,JournalActions[Mi-temps],E$61))</f>
        <v/>
      </c>
      <c r="F85" s="56" t="str">
        <f>IF(COUNTIFS(JournalActions[Joueur],$B85,JournalActions[Action],$E$60,JournalActions[Mi-temps],F$61)=0,"",COUNTIFS(JournalActions[Joueur],$B85,JournalActions[Action],$E$60,JournalActions[Mi-temps],F$61))</f>
        <v/>
      </c>
      <c r="H85" s="55" t="str">
        <f>IF(COUNTIFS(JournalActions[Joueur],$B85,JournalActions[Action],$H$60,JournalActions[Mi-temps],H$61)=0,"",COUNTIFS(JournalActions[Joueur],$B85,JournalActions[Action],$H$60,JournalActions[Mi-temps],H$61))</f>
        <v/>
      </c>
      <c r="I85" s="56" t="str">
        <f>IF(COUNTIFS(JournalActions[Joueur],$B85,JournalActions[Action],$H$60,JournalActions[Mi-temps],I$61)=0,"",COUNTIFS(JournalActions[Joueur],$B85,JournalActions[Action],$H$60,JournalActions[Mi-temps],I$61))</f>
        <v/>
      </c>
      <c r="J85" s="55" t="str">
        <f>IF(COUNTIFS(JournalActions[Joueur],$B85,JournalActions[Action],$J$60,JournalActions[Mi-temps],J$61)=0,"",COUNTIFS(JournalActions[Joueur],$B85,JournalActions[Action],$J$60,JournalActions[Mi-temps],J$61))</f>
        <v/>
      </c>
      <c r="K85" s="56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79" t="s">
        <v>230</v>
      </c>
      <c r="C86" s="80">
        <f>SUM(C62:C85)</f>
        <v>0</v>
      </c>
      <c r="D86" s="81">
        <f t="shared" ref="D86" si="10">SUM(D62:D85)</f>
        <v>0</v>
      </c>
      <c r="E86" s="80">
        <f>SUM(E62:E85)</f>
        <v>0</v>
      </c>
      <c r="F86" s="81">
        <f t="shared" ref="F86" si="11">SUM(F62:F85)</f>
        <v>0</v>
      </c>
      <c r="H86" s="101">
        <f>SUM(H62:H85)</f>
        <v>0</v>
      </c>
      <c r="I86" s="102">
        <f>SUM(I62:I85)</f>
        <v>0</v>
      </c>
      <c r="J86" s="101">
        <f>SUM(J62:J85)</f>
        <v>0</v>
      </c>
      <c r="K86" s="102">
        <f t="shared" ref="K86" si="12">SUM(K62:K85)</f>
        <v>0</v>
      </c>
    </row>
    <row r="87" spans="2:11" s="25" customFormat="1" ht="16">
      <c r="B87" s="82" t="s">
        <v>229</v>
      </c>
      <c r="C87" s="264">
        <f>C86+D86</f>
        <v>0</v>
      </c>
      <c r="D87" s="265"/>
      <c r="E87" s="264">
        <f>E86+F86</f>
        <v>0</v>
      </c>
      <c r="F87" s="265"/>
      <c r="H87" s="272">
        <f>H86+I86</f>
        <v>0</v>
      </c>
      <c r="I87" s="273"/>
      <c r="J87" s="272">
        <f>J86+K86</f>
        <v>0</v>
      </c>
      <c r="K87" s="273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09" t="s">
        <v>446</v>
      </c>
      <c r="C92" s="111" t="s">
        <v>98</v>
      </c>
      <c r="D92" s="112" t="s">
        <v>164</v>
      </c>
      <c r="F92" s="289" t="s">
        <v>447</v>
      </c>
      <c r="G92" s="290"/>
      <c r="H92" s="111" t="s">
        <v>97</v>
      </c>
      <c r="I92" s="111" t="s">
        <v>94</v>
      </c>
      <c r="J92" s="111" t="s">
        <v>292</v>
      </c>
    </row>
    <row r="93" spans="2:11" s="25" customFormat="1" ht="16">
      <c r="B93" s="113" t="s">
        <v>293</v>
      </c>
      <c r="C93" s="110">
        <v>0</v>
      </c>
      <c r="D93" s="114">
        <v>0</v>
      </c>
      <c r="F93" s="291" t="s">
        <v>293</v>
      </c>
      <c r="G93" s="292"/>
      <c r="H93" s="110">
        <v>0</v>
      </c>
      <c r="I93" s="110">
        <v>0</v>
      </c>
      <c r="J93" s="110">
        <v>0</v>
      </c>
    </row>
    <row r="94" spans="2:11" s="25" customFormat="1" ht="16">
      <c r="B94" s="113" t="s">
        <v>294</v>
      </c>
      <c r="C94" s="110">
        <v>0</v>
      </c>
      <c r="D94" s="114">
        <v>0</v>
      </c>
      <c r="F94" s="291" t="s">
        <v>294</v>
      </c>
      <c r="G94" s="292"/>
      <c r="H94" s="110">
        <v>0</v>
      </c>
      <c r="I94" s="110">
        <v>0</v>
      </c>
      <c r="J94" s="110">
        <v>0</v>
      </c>
    </row>
    <row r="95" spans="2:11" s="25" customFormat="1" ht="16">
      <c r="B95" s="113" t="s">
        <v>295</v>
      </c>
      <c r="C95" s="110">
        <v>0</v>
      </c>
      <c r="D95" s="114">
        <v>0</v>
      </c>
      <c r="F95" s="291" t="s">
        <v>295</v>
      </c>
      <c r="G95" s="292"/>
      <c r="H95" s="110">
        <v>0</v>
      </c>
      <c r="I95" s="110">
        <v>0</v>
      </c>
      <c r="J95" s="110">
        <v>0</v>
      </c>
    </row>
    <row r="96" spans="2:11" s="25" customFormat="1" ht="16">
      <c r="B96" s="113" t="s">
        <v>296</v>
      </c>
      <c r="C96" s="110">
        <v>0</v>
      </c>
      <c r="D96" s="114">
        <v>0</v>
      </c>
      <c r="F96" s="291" t="s">
        <v>296</v>
      </c>
      <c r="G96" s="292"/>
      <c r="H96" s="110">
        <v>0</v>
      </c>
      <c r="I96" s="110">
        <v>0</v>
      </c>
      <c r="J96" s="110">
        <v>0</v>
      </c>
    </row>
    <row r="97" spans="2:10" s="25" customFormat="1" ht="17" thickBot="1">
      <c r="B97" s="115" t="s">
        <v>297</v>
      </c>
      <c r="C97" s="116">
        <v>0</v>
      </c>
      <c r="D97" s="117">
        <v>0</v>
      </c>
      <c r="F97" s="291" t="s">
        <v>448</v>
      </c>
      <c r="G97" s="292"/>
      <c r="H97" s="110">
        <v>0</v>
      </c>
      <c r="I97" s="110">
        <v>0</v>
      </c>
      <c r="J97" s="110">
        <v>0</v>
      </c>
    </row>
    <row r="98" spans="2:10" s="25" customFormat="1" ht="17" thickTop="1">
      <c r="F98" s="291" t="s">
        <v>449</v>
      </c>
      <c r="G98" s="292"/>
      <c r="H98" s="110">
        <v>0</v>
      </c>
      <c r="I98" s="110">
        <v>0</v>
      </c>
      <c r="J98" s="110">
        <v>0</v>
      </c>
    </row>
    <row r="99" spans="2:10" s="25" customFormat="1" ht="16">
      <c r="F99" s="291" t="s">
        <v>450</v>
      </c>
      <c r="G99" s="292"/>
      <c r="H99" s="110">
        <v>0</v>
      </c>
      <c r="I99" s="110">
        <v>0</v>
      </c>
      <c r="J99" s="110">
        <v>0</v>
      </c>
    </row>
    <row r="100" spans="2:10" s="25" customFormat="1" ht="16">
      <c r="F100" s="291" t="s">
        <v>451</v>
      </c>
      <c r="G100" s="292"/>
      <c r="H100" s="110">
        <v>0</v>
      </c>
      <c r="I100" s="110">
        <v>0</v>
      </c>
      <c r="J100" s="110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1" priority="6" stopIfTrue="1">
      <formula>ISEVEN(ROW())</formula>
    </cfRule>
  </conditionalFormatting>
  <conditionalFormatting sqref="B62:B85">
    <cfRule type="expression" dxfId="10" priority="5" stopIfTrue="1">
      <formula>ISEVEN(ROW())</formula>
    </cfRule>
  </conditionalFormatting>
  <conditionalFormatting sqref="C62:D85">
    <cfRule type="expression" dxfId="9" priority="4" stopIfTrue="1">
      <formula>ISEVEN(ROW())</formula>
    </cfRule>
  </conditionalFormatting>
  <conditionalFormatting sqref="H62:I85">
    <cfRule type="expression" dxfId="8" priority="3" stopIfTrue="1">
      <formula>ISEVEN(ROW())</formula>
    </cfRule>
  </conditionalFormatting>
  <conditionalFormatting sqref="J62:K85">
    <cfRule type="expression" dxfId="7" priority="2" stopIfTrue="1">
      <formula>ISEVEN(ROW())</formula>
    </cfRule>
  </conditionalFormatting>
  <conditionalFormatting sqref="E62:F85">
    <cfRule type="expression" dxfId="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117</v>
      </c>
      <c r="C1" s="39" t="s">
        <v>241</v>
      </c>
      <c r="D1" s="39"/>
      <c r="F1" s="46" t="s">
        <v>161</v>
      </c>
      <c r="G1" s="47" t="s">
        <v>162</v>
      </c>
      <c r="I1" s="51" t="s">
        <v>167</v>
      </c>
      <c r="K1" s="103" t="s">
        <v>165</v>
      </c>
      <c r="N1" t="s">
        <v>203</v>
      </c>
      <c r="Q1" s="51" t="s">
        <v>128</v>
      </c>
      <c r="R1" s="51" t="s">
        <v>168</v>
      </c>
    </row>
    <row r="2" spans="1:18" ht="30" customHeight="1">
      <c r="C2" s="43" t="s">
        <v>231</v>
      </c>
      <c r="D2" s="43"/>
      <c r="F2" s="41" t="s">
        <v>151</v>
      </c>
      <c r="G2" s="34"/>
      <c r="I2" s="42" t="s">
        <v>98</v>
      </c>
      <c r="K2" s="231" t="s">
        <v>560</v>
      </c>
      <c r="N2" t="s">
        <v>204</v>
      </c>
      <c r="Q2" s="42" t="s">
        <v>129</v>
      </c>
      <c r="R2" s="42" t="s">
        <v>58</v>
      </c>
    </row>
    <row r="3" spans="1:18" ht="30" customHeight="1">
      <c r="C3" s="43" t="s">
        <v>240</v>
      </c>
      <c r="D3" s="43"/>
      <c r="F3" s="44" t="s">
        <v>152</v>
      </c>
      <c r="G3" s="28"/>
      <c r="I3" s="52" t="s">
        <v>164</v>
      </c>
      <c r="K3" s="231" t="s">
        <v>562</v>
      </c>
      <c r="N3" t="s">
        <v>222</v>
      </c>
      <c r="Q3" s="45" t="s">
        <v>130</v>
      </c>
      <c r="R3" s="45" t="s">
        <v>108</v>
      </c>
    </row>
    <row r="4" spans="1:18" ht="30" customHeight="1">
      <c r="C4" s="43" t="s">
        <v>242</v>
      </c>
      <c r="D4" s="43"/>
      <c r="F4" s="41" t="s">
        <v>153</v>
      </c>
      <c r="G4" s="29"/>
      <c r="K4" s="231" t="s">
        <v>564</v>
      </c>
      <c r="Q4" s="42" t="s">
        <v>131</v>
      </c>
      <c r="R4" s="42" t="s">
        <v>59</v>
      </c>
    </row>
    <row r="5" spans="1:18" ht="30" customHeight="1">
      <c r="C5" s="43"/>
      <c r="D5" s="43"/>
      <c r="F5" s="44" t="s">
        <v>154</v>
      </c>
      <c r="G5" s="30"/>
      <c r="I5" s="51" t="s">
        <v>166</v>
      </c>
      <c r="K5" s="231" t="s">
        <v>566</v>
      </c>
      <c r="Q5" s="45" t="s">
        <v>132</v>
      </c>
      <c r="R5" s="45" t="s">
        <v>133</v>
      </c>
    </row>
    <row r="6" spans="1:18" ht="30" customHeight="1">
      <c r="C6" s="43" t="s">
        <v>243</v>
      </c>
      <c r="D6" s="43"/>
      <c r="F6" s="41" t="s">
        <v>156</v>
      </c>
      <c r="G6" s="31"/>
      <c r="I6" s="42" t="s">
        <v>97</v>
      </c>
      <c r="K6" s="231" t="s">
        <v>568</v>
      </c>
      <c r="Q6" s="42" t="s">
        <v>134</v>
      </c>
      <c r="R6" s="42" t="s">
        <v>135</v>
      </c>
    </row>
    <row r="7" spans="1:18" ht="30" customHeight="1">
      <c r="C7" s="43" t="s">
        <v>232</v>
      </c>
      <c r="D7" s="43"/>
      <c r="F7" s="44" t="s">
        <v>155</v>
      </c>
      <c r="G7" s="38"/>
      <c r="I7" s="52" t="s">
        <v>94</v>
      </c>
      <c r="K7" s="231" t="s">
        <v>558</v>
      </c>
      <c r="Q7" s="45" t="s">
        <v>136</v>
      </c>
      <c r="R7" s="45" t="s">
        <v>111</v>
      </c>
    </row>
    <row r="8" spans="1:18" ht="30" customHeight="1">
      <c r="C8" s="43" t="s">
        <v>244</v>
      </c>
      <c r="D8" s="43"/>
      <c r="F8" s="41" t="s">
        <v>157</v>
      </c>
      <c r="G8" s="24"/>
      <c r="K8" s="231" t="s">
        <v>570</v>
      </c>
      <c r="Q8" s="42" t="s">
        <v>137</v>
      </c>
      <c r="R8" s="42" t="s">
        <v>109</v>
      </c>
    </row>
    <row r="9" spans="1:18" s="39" customFormat="1" ht="30" customHeight="1">
      <c r="C9" s="43" t="s">
        <v>245</v>
      </c>
      <c r="D9" s="43"/>
      <c r="F9" s="44" t="s">
        <v>158</v>
      </c>
      <c r="G9" s="32"/>
      <c r="K9" s="231" t="s">
        <v>572</v>
      </c>
      <c r="Q9" s="45" t="s">
        <v>138</v>
      </c>
      <c r="R9" s="45" t="s">
        <v>112</v>
      </c>
    </row>
    <row r="10" spans="1:18" ht="30" customHeight="1">
      <c r="C10" s="43" t="s">
        <v>445</v>
      </c>
      <c r="D10" s="43"/>
      <c r="F10" s="41" t="s">
        <v>159</v>
      </c>
      <c r="G10" s="228"/>
      <c r="I10" s="72" t="s">
        <v>268</v>
      </c>
      <c r="K10" s="231" t="s">
        <v>574</v>
      </c>
      <c r="Q10" s="42" t="s">
        <v>139</v>
      </c>
      <c r="R10" s="42" t="s">
        <v>110</v>
      </c>
    </row>
    <row r="11" spans="1:18" s="39" customFormat="1" ht="30" customHeight="1">
      <c r="D11" s="43"/>
      <c r="F11" s="44" t="s">
        <v>300</v>
      </c>
      <c r="G11" s="119"/>
      <c r="K11" s="231" t="s">
        <v>576</v>
      </c>
      <c r="Q11" s="45" t="s">
        <v>140</v>
      </c>
      <c r="R11" s="45" t="s">
        <v>113</v>
      </c>
    </row>
    <row r="12" spans="1:18" ht="30" customHeight="1">
      <c r="C12" s="43" t="s">
        <v>246</v>
      </c>
      <c r="D12" s="43"/>
      <c r="F12" s="41" t="s">
        <v>301</v>
      </c>
      <c r="G12" s="120"/>
      <c r="K12" s="231" t="s">
        <v>578</v>
      </c>
      <c r="Q12" s="45" t="s">
        <v>274</v>
      </c>
      <c r="R12" s="45" t="s">
        <v>275</v>
      </c>
    </row>
    <row r="13" spans="1:18" s="39" customFormat="1" ht="30" customHeight="1">
      <c r="C13" s="43" t="s">
        <v>233</v>
      </c>
      <c r="D13" s="43"/>
      <c r="F13" s="44" t="s">
        <v>302</v>
      </c>
      <c r="G13" s="229"/>
      <c r="K13" s="231" t="s">
        <v>580</v>
      </c>
      <c r="Q13" s="44" t="s">
        <v>228</v>
      </c>
      <c r="R13" s="92" t="s">
        <v>213</v>
      </c>
    </row>
    <row r="14" spans="1:18" ht="30" customHeight="1">
      <c r="C14" s="43" t="s">
        <v>247</v>
      </c>
      <c r="D14" s="43"/>
      <c r="F14" s="44"/>
      <c r="G14" s="39"/>
      <c r="I14" s="40" t="s">
        <v>174</v>
      </c>
      <c r="K14" s="231" t="s">
        <v>582</v>
      </c>
      <c r="Q14" s="44" t="s">
        <v>227</v>
      </c>
      <c r="R14" s="92" t="s">
        <v>214</v>
      </c>
    </row>
    <row r="15" spans="1:18" s="39" customFormat="1" ht="30" customHeight="1">
      <c r="C15" s="43" t="s">
        <v>248</v>
      </c>
      <c r="D15" s="43"/>
      <c r="F15" s="41" t="s">
        <v>160</v>
      </c>
      <c r="G15" s="33"/>
      <c r="I15" s="39" t="s">
        <v>170</v>
      </c>
      <c r="K15" s="231" t="s">
        <v>584</v>
      </c>
      <c r="Q15" s="44" t="s">
        <v>141</v>
      </c>
      <c r="R15" s="92" t="s">
        <v>103</v>
      </c>
    </row>
    <row r="16" spans="1:18" ht="30" customHeight="1">
      <c r="C16" s="43"/>
      <c r="D16" s="43"/>
      <c r="I16" s="39" t="s">
        <v>171</v>
      </c>
      <c r="K16" s="231" t="s">
        <v>586</v>
      </c>
      <c r="Q16" s="44" t="s">
        <v>142</v>
      </c>
      <c r="R16" s="92" t="s">
        <v>114</v>
      </c>
    </row>
    <row r="17" spans="3:18" s="39" customFormat="1" ht="30" customHeight="1">
      <c r="C17" s="43" t="s">
        <v>256</v>
      </c>
      <c r="D17" s="43"/>
      <c r="F17" s="39" t="s">
        <v>556</v>
      </c>
      <c r="G17" s="226"/>
      <c r="I17" s="39" t="s">
        <v>172</v>
      </c>
      <c r="K17" s="231" t="s">
        <v>588</v>
      </c>
      <c r="Q17" s="44" t="s">
        <v>143</v>
      </c>
      <c r="R17" s="92" t="s">
        <v>115</v>
      </c>
    </row>
    <row r="18" spans="3:18" ht="30" customHeight="1">
      <c r="C18" s="43" t="s">
        <v>257</v>
      </c>
      <c r="D18" s="43"/>
      <c r="F18" s="39" t="s">
        <v>557</v>
      </c>
      <c r="G18" s="227"/>
      <c r="I18" s="39" t="s">
        <v>173</v>
      </c>
      <c r="K18" s="231" t="s">
        <v>590</v>
      </c>
      <c r="Q18" s="44" t="s">
        <v>144</v>
      </c>
      <c r="R18" s="92" t="s">
        <v>116</v>
      </c>
    </row>
    <row r="19" spans="3:18" ht="30" customHeight="1">
      <c r="C19" s="43" t="s">
        <v>258</v>
      </c>
      <c r="D19" s="43"/>
      <c r="F19" s="39"/>
      <c r="I19" s="39" t="s">
        <v>270</v>
      </c>
      <c r="K19" s="231" t="s">
        <v>592</v>
      </c>
      <c r="Q19" s="44" t="s">
        <v>145</v>
      </c>
      <c r="R19" s="92" t="s">
        <v>107</v>
      </c>
    </row>
    <row r="20" spans="3:18" ht="30" customHeight="1">
      <c r="C20" s="43" t="s">
        <v>259</v>
      </c>
      <c r="D20" s="43"/>
      <c r="I20" s="39" t="s">
        <v>271</v>
      </c>
      <c r="K20" s="231" t="s">
        <v>594</v>
      </c>
      <c r="Q20" s="44" t="s">
        <v>146</v>
      </c>
      <c r="R20" s="92" t="s">
        <v>104</v>
      </c>
    </row>
    <row r="21" spans="3:18" ht="30" customHeight="1">
      <c r="C21" s="43" t="s">
        <v>260</v>
      </c>
      <c r="D21" s="43"/>
      <c r="K21" s="231" t="s">
        <v>596</v>
      </c>
      <c r="Q21" s="44" t="s">
        <v>147</v>
      </c>
      <c r="R21" s="92" t="s">
        <v>105</v>
      </c>
    </row>
    <row r="22" spans="3:18" ht="30" customHeight="1">
      <c r="C22" s="43"/>
      <c r="D22" s="43"/>
      <c r="K22" s="231" t="s">
        <v>598</v>
      </c>
      <c r="Q22" s="44" t="s">
        <v>148</v>
      </c>
      <c r="R22" s="92" t="s">
        <v>100</v>
      </c>
    </row>
    <row r="23" spans="3:18" ht="30" customHeight="1">
      <c r="C23" s="43"/>
      <c r="D23" s="43"/>
      <c r="K23" s="231" t="s">
        <v>600</v>
      </c>
      <c r="Q23" s="44" t="s">
        <v>149</v>
      </c>
      <c r="R23" s="92" t="s">
        <v>101</v>
      </c>
    </row>
    <row r="24" spans="3:18" ht="30" customHeight="1">
      <c r="C24" s="43"/>
      <c r="D24" s="43"/>
      <c r="K24" s="231" t="s">
        <v>92</v>
      </c>
      <c r="Q24" s="44" t="s">
        <v>150</v>
      </c>
      <c r="R24" s="92" t="s">
        <v>87</v>
      </c>
    </row>
    <row r="25" spans="3:18" ht="30" customHeight="1">
      <c r="K25" s="231" t="s">
        <v>82</v>
      </c>
      <c r="Q25" s="44" t="s">
        <v>181</v>
      </c>
      <c r="R25" s="92" t="s">
        <v>183</v>
      </c>
    </row>
    <row r="26" spans="3:18" ht="30" customHeight="1">
      <c r="Q26" s="44" t="s">
        <v>182</v>
      </c>
      <c r="R26" s="92" t="s">
        <v>184</v>
      </c>
    </row>
    <row r="27" spans="3:18" ht="30" customHeight="1">
      <c r="K27" s="40" t="s">
        <v>465</v>
      </c>
      <c r="Q27" s="44" t="s">
        <v>185</v>
      </c>
      <c r="R27" s="92" t="s">
        <v>186</v>
      </c>
    </row>
    <row r="28" spans="3:18" ht="30" customHeight="1">
      <c r="K28" t="s">
        <v>466</v>
      </c>
      <c r="Q28" s="44" t="s">
        <v>187</v>
      </c>
      <c r="R28" s="92" t="s">
        <v>188</v>
      </c>
    </row>
    <row r="29" spans="3:18" ht="30" customHeight="1">
      <c r="K29" t="s">
        <v>467</v>
      </c>
      <c r="Q29" s="44" t="s">
        <v>189</v>
      </c>
      <c r="R29" s="92" t="s">
        <v>60</v>
      </c>
    </row>
    <row r="30" spans="3:18" ht="30" customHeight="1">
      <c r="Q30" s="44" t="s">
        <v>190</v>
      </c>
      <c r="R30" s="92" t="s">
        <v>191</v>
      </c>
    </row>
    <row r="31" spans="3:18" ht="30" customHeight="1">
      <c r="Q31" s="44" t="s">
        <v>212</v>
      </c>
      <c r="R31" s="92" t="s">
        <v>206</v>
      </c>
    </row>
    <row r="32" spans="3:18" ht="30" customHeight="1">
      <c r="Q32" s="44" t="s">
        <v>215</v>
      </c>
      <c r="R32" s="92" t="s">
        <v>207</v>
      </c>
    </row>
    <row r="33" spans="17:18" ht="30" customHeight="1">
      <c r="Q33" s="44" t="s">
        <v>216</v>
      </c>
      <c r="R33" s="92" t="s">
        <v>208</v>
      </c>
    </row>
    <row r="34" spans="17:18" ht="30" customHeight="1">
      <c r="Q34" s="44" t="s">
        <v>217</v>
      </c>
      <c r="R34" s="92" t="s">
        <v>133</v>
      </c>
    </row>
    <row r="35" spans="17:18" ht="30" customHeight="1">
      <c r="Q35" s="44" t="s">
        <v>218</v>
      </c>
      <c r="R35" s="92" t="s">
        <v>135</v>
      </c>
    </row>
    <row r="36" spans="17:18" ht="30" customHeight="1">
      <c r="Q36" s="44" t="s">
        <v>221</v>
      </c>
      <c r="R36" s="92" t="s">
        <v>82</v>
      </c>
    </row>
    <row r="37" spans="17:18" ht="30" customHeight="1">
      <c r="Q37" s="52" t="s">
        <v>272</v>
      </c>
      <c r="R37" s="52" t="s">
        <v>273</v>
      </c>
    </row>
    <row r="38" spans="17:18" ht="30" customHeight="1">
      <c r="Q38" s="45" t="s">
        <v>278</v>
      </c>
      <c r="R38" s="45" t="s">
        <v>279</v>
      </c>
    </row>
    <row r="39" spans="17:18" ht="30" customHeight="1">
      <c r="Q39" s="45" t="s">
        <v>280</v>
      </c>
      <c r="R39" s="45" t="s">
        <v>281</v>
      </c>
    </row>
    <row r="40" spans="17:18" ht="30" customHeight="1">
      <c r="Q40" s="45" t="s">
        <v>282</v>
      </c>
      <c r="R40" s="45" t="s">
        <v>283</v>
      </c>
    </row>
    <row r="41" spans="17:18" ht="30" customHeight="1">
      <c r="Q41" s="52" t="s">
        <v>284</v>
      </c>
      <c r="R41" s="52" t="s">
        <v>285</v>
      </c>
    </row>
    <row r="42" spans="17:18" ht="30" customHeight="1">
      <c r="Q42" s="52" t="s">
        <v>303</v>
      </c>
      <c r="R42" s="52" t="s">
        <v>304</v>
      </c>
    </row>
    <row r="43" spans="17:18" ht="30" customHeight="1">
      <c r="Q43" s="52" t="s">
        <v>305</v>
      </c>
      <c r="R43" s="52" t="s">
        <v>306</v>
      </c>
    </row>
    <row r="44" spans="17:18" ht="30" customHeight="1">
      <c r="Q44" s="52" t="s">
        <v>307</v>
      </c>
      <c r="R44" s="52" t="s">
        <v>308</v>
      </c>
    </row>
    <row r="45" spans="17:18" ht="30" customHeight="1">
      <c r="Q45" s="52" t="s">
        <v>309</v>
      </c>
      <c r="R45" s="52" t="s">
        <v>315</v>
      </c>
    </row>
    <row r="46" spans="17:18" ht="30" customHeight="1">
      <c r="Q46" s="52" t="s">
        <v>310</v>
      </c>
      <c r="R46" s="52" t="s">
        <v>316</v>
      </c>
    </row>
    <row r="47" spans="17:18" ht="30" customHeight="1">
      <c r="Q47" s="52" t="s">
        <v>311</v>
      </c>
      <c r="R47" s="52" t="s">
        <v>317</v>
      </c>
    </row>
    <row r="48" spans="17:18" ht="30" customHeight="1">
      <c r="Q48" s="52" t="s">
        <v>312</v>
      </c>
      <c r="R48" s="52" t="s">
        <v>318</v>
      </c>
    </row>
    <row r="49" spans="17:18" ht="30" customHeight="1">
      <c r="Q49" s="52" t="s">
        <v>313</v>
      </c>
      <c r="R49" s="52" t="s">
        <v>319</v>
      </c>
    </row>
    <row r="50" spans="17:18" ht="30" customHeight="1">
      <c r="Q50" s="52" t="s">
        <v>314</v>
      </c>
      <c r="R50" s="52" t="s">
        <v>320</v>
      </c>
    </row>
    <row r="51" spans="17:18" ht="30" customHeight="1">
      <c r="Q51" s="45" t="s">
        <v>453</v>
      </c>
      <c r="R51" s="45" t="s">
        <v>456</v>
      </c>
    </row>
    <row r="52" spans="17:18" ht="30" customHeight="1">
      <c r="Q52" s="52" t="s">
        <v>454</v>
      </c>
      <c r="R52" s="52" t="s">
        <v>455</v>
      </c>
    </row>
    <row r="53" spans="17:18" ht="30" customHeight="1">
      <c r="Q53" s="52" t="s">
        <v>460</v>
      </c>
      <c r="R53" s="52" t="s">
        <v>463</v>
      </c>
    </row>
    <row r="54" spans="17:18" ht="30" customHeight="1">
      <c r="Q54" s="52" t="s">
        <v>461</v>
      </c>
      <c r="R54" s="52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95" t="s">
        <v>127</v>
      </c>
      <c r="D5" s="295"/>
      <c r="E5" s="295"/>
      <c r="F5" s="295"/>
      <c r="G5" s="295"/>
    </row>
    <row r="6" spans="3:7" ht="14" thickBot="1"/>
    <row r="7" spans="3:7">
      <c r="C7" s="150"/>
      <c r="D7" s="151"/>
      <c r="E7" s="151"/>
      <c r="F7" s="151"/>
      <c r="G7" s="152"/>
    </row>
    <row r="8" spans="3:7">
      <c r="C8" s="153"/>
      <c r="G8" s="154"/>
    </row>
    <row r="9" spans="3:7">
      <c r="C9" s="155" t="s">
        <v>125</v>
      </c>
      <c r="D9" s="159"/>
      <c r="G9" s="154"/>
    </row>
    <row r="10" spans="3:7">
      <c r="C10" s="155"/>
      <c r="G10" s="154"/>
    </row>
    <row r="11" spans="3:7">
      <c r="C11" s="155" t="s">
        <v>126</v>
      </c>
      <c r="D11" s="159"/>
      <c r="G11" s="154"/>
    </row>
    <row r="12" spans="3:7">
      <c r="C12" s="153"/>
      <c r="G12" s="154"/>
    </row>
    <row r="13" spans="3:7" ht="14" thickBot="1">
      <c r="C13" s="156"/>
      <c r="D13" s="157"/>
      <c r="E13" s="157"/>
      <c r="F13" s="157"/>
      <c r="G13" s="158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topLeftCell="D1" workbookViewId="0">
      <selection activeCell="H15" sqref="H15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201" t="s">
        <v>505</v>
      </c>
      <c r="L1" s="201" t="s">
        <v>515</v>
      </c>
      <c r="W1" t="s">
        <v>470</v>
      </c>
      <c r="X1" t="s">
        <v>473</v>
      </c>
      <c r="Y1" t="s">
        <v>477</v>
      </c>
      <c r="Z1" t="s">
        <v>478</v>
      </c>
      <c r="AA1" t="s">
        <v>484</v>
      </c>
      <c r="AB1" t="s">
        <v>487</v>
      </c>
      <c r="AC1" t="s">
        <v>499</v>
      </c>
      <c r="AD1" t="s">
        <v>501</v>
      </c>
      <c r="AE1" t="s">
        <v>521</v>
      </c>
      <c r="AF1" t="s">
        <v>530</v>
      </c>
    </row>
    <row r="2" spans="1:32">
      <c r="A2" t="s">
        <v>506</v>
      </c>
      <c r="B2" t="s">
        <v>57</v>
      </c>
      <c r="C2" t="s">
        <v>507</v>
      </c>
      <c r="D2" t="s">
        <v>508</v>
      </c>
      <c r="E2" t="s">
        <v>509</v>
      </c>
      <c r="F2" t="s">
        <v>510</v>
      </c>
      <c r="G2" t="s">
        <v>511</v>
      </c>
      <c r="H2" t="s">
        <v>512</v>
      </c>
      <c r="I2" t="s">
        <v>513</v>
      </c>
      <c r="J2" t="s">
        <v>514</v>
      </c>
      <c r="L2" t="s">
        <v>506</v>
      </c>
      <c r="M2" t="s">
        <v>57</v>
      </c>
      <c r="N2" t="s">
        <v>533</v>
      </c>
      <c r="O2" t="s">
        <v>508</v>
      </c>
      <c r="P2" t="s">
        <v>516</v>
      </c>
      <c r="Q2" t="s">
        <v>517</v>
      </c>
      <c r="R2" t="s">
        <v>518</v>
      </c>
      <c r="S2" t="s">
        <v>519</v>
      </c>
      <c r="T2" t="s">
        <v>520</v>
      </c>
      <c r="U2" t="s">
        <v>514</v>
      </c>
      <c r="W2" t="s">
        <v>471</v>
      </c>
      <c r="X2" t="s">
        <v>474</v>
      </c>
      <c r="Y2" t="s">
        <v>474</v>
      </c>
      <c r="Z2" t="s">
        <v>479</v>
      </c>
      <c r="AA2" t="s">
        <v>485</v>
      </c>
      <c r="AB2" t="s">
        <v>488</v>
      </c>
      <c r="AC2">
        <v>2</v>
      </c>
      <c r="AD2" t="s">
        <v>502</v>
      </c>
      <c r="AE2" t="s">
        <v>522</v>
      </c>
      <c r="AF2" t="s">
        <v>531</v>
      </c>
    </row>
    <row r="3" spans="1:32">
      <c r="A3" s="211"/>
      <c r="L3" s="211"/>
      <c r="R3" s="199"/>
      <c r="S3" s="199"/>
      <c r="T3" s="199"/>
      <c r="W3" t="s">
        <v>472</v>
      </c>
      <c r="X3" t="s">
        <v>475</v>
      </c>
      <c r="Y3" t="s">
        <v>475</v>
      </c>
      <c r="Z3" t="s">
        <v>480</v>
      </c>
      <c r="AA3" t="s">
        <v>486</v>
      </c>
      <c r="AB3" t="s">
        <v>489</v>
      </c>
      <c r="AC3">
        <v>3</v>
      </c>
      <c r="AD3" t="s">
        <v>503</v>
      </c>
      <c r="AE3" s="202" t="s">
        <v>223</v>
      </c>
      <c r="AF3" t="s">
        <v>532</v>
      </c>
    </row>
    <row r="4" spans="1:32">
      <c r="X4" t="s">
        <v>476</v>
      </c>
      <c r="Z4" t="s">
        <v>481</v>
      </c>
      <c r="AB4" t="s">
        <v>490</v>
      </c>
      <c r="AC4">
        <v>4</v>
      </c>
      <c r="AD4" t="s">
        <v>504</v>
      </c>
      <c r="AE4" t="s">
        <v>523</v>
      </c>
    </row>
    <row r="5" spans="1:32">
      <c r="A5" s="217" t="s">
        <v>276</v>
      </c>
      <c r="B5" s="218" t="s">
        <v>265</v>
      </c>
      <c r="C5" s="218" t="s">
        <v>195</v>
      </c>
      <c r="D5" s="218" t="s">
        <v>535</v>
      </c>
      <c r="L5" s="221" t="s">
        <v>536</v>
      </c>
      <c r="M5" s="222" t="s">
        <v>265</v>
      </c>
      <c r="N5" s="222" t="s">
        <v>195</v>
      </c>
      <c r="Z5" t="s">
        <v>482</v>
      </c>
      <c r="AB5" t="s">
        <v>491</v>
      </c>
      <c r="AC5">
        <v>5</v>
      </c>
    </row>
    <row r="6" spans="1:32">
      <c r="A6" s="219" t="s">
        <v>193</v>
      </c>
      <c r="B6" s="220">
        <f>COUNTIFS(DetailTouches[Lance pour],"N",DetailTouches[Issue],"G")</f>
        <v>0</v>
      </c>
      <c r="C6" s="220">
        <f>COUNTIFS(DetailTouches[Lance pour],"N",DetailTouches[Issue],"P")</f>
        <v>0</v>
      </c>
      <c r="D6" s="220">
        <f>COUNTIFS(DetailTouches[Lance pour],"N",DetailTouches[Issue],"ND")</f>
        <v>0</v>
      </c>
      <c r="L6" s="223" t="s">
        <v>193</v>
      </c>
      <c r="M6" s="224">
        <f>COUNTIFS(DetailMelees[Introduction pour],"N",DetailMelees[Issue],"G")</f>
        <v>0</v>
      </c>
      <c r="N6" s="224">
        <f>COUNTIFS(DetailMelees[Introduction pour],"N",DetailMelees[Issue],"P")</f>
        <v>0</v>
      </c>
      <c r="Z6" t="s">
        <v>483</v>
      </c>
      <c r="AB6" t="s">
        <v>492</v>
      </c>
      <c r="AC6">
        <v>6</v>
      </c>
    </row>
    <row r="7" spans="1:32">
      <c r="A7" s="215" t="s">
        <v>226</v>
      </c>
      <c r="B7" s="216">
        <f>COUNTIFS(DetailTouches[Lance pour],"E",DetailTouches[Issue],"P")</f>
        <v>0</v>
      </c>
      <c r="C7" s="216">
        <f>COUNTIFS(DetailTouches[Lance pour],"E",DetailTouches[Issue],"G")</f>
        <v>0</v>
      </c>
      <c r="D7" s="216">
        <f>COUNTIFS(DetailTouches[Lance pour],"E",DetailTouches[Issue],"ND")</f>
        <v>0</v>
      </c>
      <c r="L7" s="215" t="s">
        <v>226</v>
      </c>
      <c r="M7" s="216">
        <f>COUNTIFS(DetailMelees[Introduction pour],"E",DetailMelees[Issue],"P")</f>
        <v>0</v>
      </c>
      <c r="N7" s="216">
        <f>COUNTIFS(DetailMelees[Introduction pour],"E",DetailMelees[Issue],"G")</f>
        <v>0</v>
      </c>
      <c r="AB7" t="s">
        <v>493</v>
      </c>
      <c r="AC7" t="s">
        <v>500</v>
      </c>
    </row>
    <row r="8" spans="1:32">
      <c r="AB8" t="s">
        <v>494</v>
      </c>
    </row>
    <row r="9" spans="1:32">
      <c r="AB9" t="s">
        <v>495</v>
      </c>
    </row>
    <row r="10" spans="1:32">
      <c r="AB10" t="s">
        <v>496</v>
      </c>
    </row>
    <row r="11" spans="1:32">
      <c r="AB11" t="s">
        <v>497</v>
      </c>
    </row>
    <row r="12" spans="1:32">
      <c r="AB12" t="s">
        <v>498</v>
      </c>
    </row>
  </sheetData>
  <conditionalFormatting sqref="D3">
    <cfRule type="expression" dxfId="5" priority="1" stopIfTrue="1">
      <formula>($C3&amp;$D3)="NP"</formula>
    </cfRule>
    <cfRule type="expression" dxfId="4" priority="2" stopIfTrue="1">
      <formula>($C3&amp;$D3)="EG"</formula>
    </cfRule>
  </conditionalFormatting>
  <conditionalFormatting sqref="G3">
    <cfRule type="expression" dxfId="3" priority="3" stopIfTrue="1">
      <formula>$G3="F"</formula>
    </cfRule>
    <cfRule type="expression" dxfId="2" priority="4" stopIfTrue="1">
      <formula>$G3="C"</formula>
    </cfRule>
  </conditionalFormatting>
  <conditionalFormatting sqref="O3">
    <cfRule type="expression" dxfId="1" priority="5" stopIfTrue="1">
      <formula>($N3&amp;$O3)="NP"</formula>
    </cfRule>
    <cfRule type="expression" dxfId="0" priority="6" stopIfTrue="1">
      <formula>($N3&amp;$O3)="EG"</formula>
    </cfRule>
  </conditionalFormatting>
  <dataValidations count="8">
    <dataValidation type="list" allowBlank="1" showInputMessage="1" showErrorMessage="1" sqref="C3 N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H3 P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/>
  </sheetViews>
  <sheetFormatPr baseColWidth="10" defaultRowHeight="14"/>
  <cols>
    <col min="1" max="1" width="2.83203125" style="204" customWidth="1"/>
    <col min="2" max="2" width="14.83203125" style="204" customWidth="1"/>
    <col min="3" max="3" width="22.83203125" style="204" customWidth="1"/>
    <col min="4" max="16384" width="10.83203125" style="204"/>
  </cols>
  <sheetData>
    <row r="2" spans="2:3" ht="21">
      <c r="B2" s="203" t="s">
        <v>524</v>
      </c>
    </row>
    <row r="4" spans="2:3">
      <c r="B4" s="205" t="s">
        <v>506</v>
      </c>
      <c r="C4" s="210">
        <v>0.43055555555555558</v>
      </c>
    </row>
    <row r="5" spans="2:3">
      <c r="B5" s="205" t="s">
        <v>57</v>
      </c>
      <c r="C5" s="206" t="s">
        <v>97</v>
      </c>
    </row>
    <row r="6" spans="2:3">
      <c r="B6" s="205" t="s">
        <v>507</v>
      </c>
      <c r="C6" s="206" t="s">
        <v>98</v>
      </c>
    </row>
    <row r="7" spans="2:3">
      <c r="B7" s="205" t="s">
        <v>508</v>
      </c>
      <c r="C7" s="206" t="s">
        <v>629</v>
      </c>
    </row>
    <row r="9" spans="2:3">
      <c r="B9" s="204" t="s">
        <v>509</v>
      </c>
      <c r="C9" s="207" t="s">
        <v>572</v>
      </c>
    </row>
    <row r="10" spans="2:3">
      <c r="B10" s="204" t="s">
        <v>525</v>
      </c>
      <c r="C10" s="207" t="s">
        <v>481</v>
      </c>
    </row>
    <row r="11" spans="2:3">
      <c r="B11" s="204" t="s">
        <v>511</v>
      </c>
      <c r="C11" s="207" t="s">
        <v>531</v>
      </c>
    </row>
    <row r="12" spans="2:3">
      <c r="B12" s="204" t="s">
        <v>512</v>
      </c>
      <c r="C12" s="207" t="s">
        <v>491</v>
      </c>
    </row>
    <row r="13" spans="2:3">
      <c r="B13" s="204" t="s">
        <v>513</v>
      </c>
      <c r="C13" s="207" t="s">
        <v>500</v>
      </c>
    </row>
    <row r="14" spans="2:3">
      <c r="B14" s="204" t="s">
        <v>514</v>
      </c>
      <c r="C14" s="207"/>
    </row>
    <row r="16" spans="2:3" ht="24" customHeight="1">
      <c r="B16" s="208" t="s">
        <v>527</v>
      </c>
      <c r="C16" s="209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FA3A8D4E-A0F0-AE45-96D2-A29003D881AC}">
          <x14:formula1>
            <xm:f>'Compo'!$X$1:$X$24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/>
  </sheetViews>
  <sheetFormatPr baseColWidth="10" defaultRowHeight="14"/>
  <cols>
    <col min="1" max="1" width="2.83203125" style="204" customWidth="1"/>
    <col min="2" max="2" width="14.83203125" style="204" customWidth="1"/>
    <col min="3" max="3" width="22.83203125" style="204" customWidth="1"/>
    <col min="4" max="16384" width="10.83203125" style="204"/>
  </cols>
  <sheetData>
    <row r="2" spans="2:3" ht="21">
      <c r="B2" s="203" t="s">
        <v>528</v>
      </c>
    </row>
    <row r="4" spans="2:3">
      <c r="B4" s="205" t="s">
        <v>506</v>
      </c>
      <c r="C4" s="210">
        <v>0.35486111111111113</v>
      </c>
    </row>
    <row r="5" spans="2:3">
      <c r="B5" s="205" t="s">
        <v>57</v>
      </c>
      <c r="C5" s="206" t="s">
        <v>97</v>
      </c>
    </row>
    <row r="6" spans="2:3">
      <c r="B6" s="205" t="s">
        <v>533</v>
      </c>
      <c r="C6" s="206" t="s">
        <v>106</v>
      </c>
    </row>
    <row r="7" spans="2:3">
      <c r="B7" s="205" t="s">
        <v>508</v>
      </c>
      <c r="C7" s="206" t="s">
        <v>534</v>
      </c>
    </row>
    <row r="9" spans="2:3">
      <c r="B9" s="204" t="s">
        <v>516</v>
      </c>
      <c r="C9" s="207"/>
    </row>
    <row r="10" spans="2:3">
      <c r="B10" s="204" t="s">
        <v>517</v>
      </c>
      <c r="C10" s="207"/>
    </row>
    <row r="11" spans="2:3">
      <c r="B11" s="204" t="s">
        <v>529</v>
      </c>
      <c r="C11" s="207"/>
    </row>
    <row r="12" spans="2:3">
      <c r="B12" s="204" t="s">
        <v>514</v>
      </c>
      <c r="C12" s="207"/>
    </row>
    <row r="14" spans="2:3" ht="24" customHeight="1">
      <c r="B14" s="208" t="s">
        <v>527</v>
      </c>
      <c r="C14" s="209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/>
  </sheetViews>
  <sheetFormatPr baseColWidth="10" defaultRowHeight="14"/>
  <cols>
    <col min="1" max="1" width="2.83203125" style="204" customWidth="1"/>
    <col min="2" max="3" width="14.83203125" style="204" customWidth="1"/>
    <col min="4" max="4" width="4.33203125" style="204" customWidth="1"/>
    <col min="5" max="6" width="14.83203125" style="204" customWidth="1"/>
    <col min="7" max="7" width="4.83203125" style="204" customWidth="1"/>
    <col min="8" max="9" width="14.83203125" style="204" customWidth="1"/>
    <col min="10" max="10" width="4.6640625" style="204" customWidth="1"/>
    <col min="11" max="21" width="4.83203125" style="204" customWidth="1"/>
    <col min="22" max="16384" width="10.83203125" style="204"/>
  </cols>
  <sheetData>
    <row r="2" spans="2:21" ht="21">
      <c r="B2" s="203" t="s">
        <v>537</v>
      </c>
    </row>
    <row r="4" spans="2:21">
      <c r="B4" s="205" t="s">
        <v>506</v>
      </c>
      <c r="C4" s="301">
        <v>0.51736111111111116</v>
      </c>
      <c r="D4" s="302"/>
    </row>
    <row r="5" spans="2:21">
      <c r="B5" s="205" t="s">
        <v>57</v>
      </c>
      <c r="C5" s="302" t="s">
        <v>97</v>
      </c>
      <c r="D5" s="302"/>
    </row>
    <row r="6" spans="2:21">
      <c r="B6" s="205" t="s">
        <v>538</v>
      </c>
      <c r="C6" s="302" t="s">
        <v>98</v>
      </c>
      <c r="D6" s="302"/>
    </row>
    <row r="7" spans="2:21" ht="40" customHeight="1">
      <c r="K7" s="298" t="s">
        <v>607</v>
      </c>
      <c r="L7" s="299"/>
      <c r="M7" s="300"/>
      <c r="O7" s="298" t="s">
        <v>608</v>
      </c>
      <c r="P7" s="299"/>
      <c r="Q7" s="300"/>
      <c r="S7" s="298" t="s">
        <v>609</v>
      </c>
      <c r="T7" s="299"/>
      <c r="U7" s="300"/>
    </row>
    <row r="8" spans="2:21" ht="10" customHeight="1"/>
    <row r="9" spans="2:21" ht="40" customHeight="1">
      <c r="M9" s="298" t="s">
        <v>610</v>
      </c>
      <c r="N9" s="299"/>
      <c r="O9" s="300"/>
      <c r="Q9" s="298" t="s">
        <v>611</v>
      </c>
      <c r="R9" s="299"/>
      <c r="S9" s="300"/>
    </row>
    <row r="10" spans="2:21" ht="10" customHeight="1"/>
    <row r="11" spans="2:21" ht="40" customHeight="1">
      <c r="B11" s="296" t="s">
        <v>206</v>
      </c>
      <c r="C11" s="297"/>
      <c r="E11" s="296" t="s">
        <v>207</v>
      </c>
      <c r="F11" s="297"/>
      <c r="H11" s="296" t="s">
        <v>133</v>
      </c>
      <c r="I11" s="297"/>
      <c r="K11" s="298" t="s">
        <v>612</v>
      </c>
      <c r="L11" s="299"/>
      <c r="M11" s="300"/>
      <c r="O11" s="298" t="s">
        <v>613</v>
      </c>
      <c r="P11" s="299"/>
      <c r="Q11" s="300"/>
      <c r="S11" s="298" t="s">
        <v>614</v>
      </c>
      <c r="T11" s="299"/>
      <c r="U11" s="300"/>
    </row>
    <row r="12" spans="2:21" ht="10" customHeight="1"/>
    <row r="13" spans="2:21" ht="40" customHeight="1">
      <c r="B13" s="296" t="s">
        <v>555</v>
      </c>
      <c r="C13" s="297"/>
      <c r="E13" s="296" t="s">
        <v>542</v>
      </c>
      <c r="F13" s="297"/>
      <c r="H13" s="296" t="s">
        <v>135</v>
      </c>
      <c r="I13" s="297"/>
      <c r="M13" s="298" t="s">
        <v>615</v>
      </c>
      <c r="N13" s="299"/>
      <c r="O13" s="300"/>
    </row>
    <row r="14" spans="2:21" ht="10" customHeight="1"/>
    <row r="15" spans="2:21" ht="40" customHeight="1">
      <c r="B15" s="296" t="s">
        <v>554</v>
      </c>
      <c r="C15" s="297"/>
      <c r="E15" s="296" t="s">
        <v>545</v>
      </c>
      <c r="F15" s="297"/>
      <c r="H15" s="296" t="s">
        <v>540</v>
      </c>
      <c r="I15" s="297"/>
      <c r="P15" s="298" t="s">
        <v>616</v>
      </c>
      <c r="Q15" s="299"/>
      <c r="R15" s="300"/>
    </row>
    <row r="16" spans="2:21" ht="10" customHeight="1"/>
    <row r="17" spans="2:21" ht="40" customHeight="1">
      <c r="B17" s="296" t="s">
        <v>553</v>
      </c>
      <c r="C17" s="297"/>
      <c r="E17" s="296" t="s">
        <v>546</v>
      </c>
      <c r="F17" s="297"/>
      <c r="H17" s="296" t="s">
        <v>541</v>
      </c>
      <c r="I17" s="297"/>
      <c r="M17" s="298" t="s">
        <v>617</v>
      </c>
      <c r="N17" s="299"/>
      <c r="O17" s="300"/>
      <c r="Q17" s="298" t="s">
        <v>618</v>
      </c>
      <c r="R17" s="299"/>
      <c r="S17" s="300"/>
    </row>
    <row r="18" spans="2:21" ht="10" customHeight="1"/>
    <row r="19" spans="2:21" ht="40" customHeight="1">
      <c r="E19" s="296" t="s">
        <v>547</v>
      </c>
      <c r="F19" s="297"/>
      <c r="K19" s="298" t="s">
        <v>619</v>
      </c>
      <c r="L19" s="299"/>
      <c r="M19" s="300"/>
      <c r="O19" s="298" t="s">
        <v>620</v>
      </c>
      <c r="P19" s="299"/>
      <c r="Q19" s="300"/>
      <c r="S19" s="298" t="s">
        <v>621</v>
      </c>
      <c r="T19" s="299"/>
      <c r="U19" s="300"/>
    </row>
    <row r="20" spans="2:21" ht="10" customHeight="1"/>
    <row r="21" spans="2:21" ht="40" customHeight="1">
      <c r="B21" s="296" t="s">
        <v>549</v>
      </c>
      <c r="C21" s="297"/>
      <c r="E21" s="296" t="s">
        <v>548</v>
      </c>
      <c r="F21" s="297"/>
      <c r="K21" s="298" t="s">
        <v>622</v>
      </c>
      <c r="L21" s="299"/>
      <c r="M21" s="300"/>
      <c r="O21" s="298" t="s">
        <v>623</v>
      </c>
      <c r="P21" s="299"/>
      <c r="Q21" s="300"/>
      <c r="S21" s="298" t="s">
        <v>624</v>
      </c>
      <c r="T21" s="299"/>
      <c r="U21" s="300"/>
    </row>
    <row r="22" spans="2:21" ht="10" customHeight="1"/>
    <row r="23" spans="2:21" ht="40" customHeight="1">
      <c r="B23" s="296" t="s">
        <v>543</v>
      </c>
      <c r="C23" s="297"/>
      <c r="E23" s="296" t="s">
        <v>550</v>
      </c>
      <c r="F23" s="297"/>
      <c r="H23" s="296" t="s">
        <v>208</v>
      </c>
      <c r="I23" s="297"/>
      <c r="K23" s="298" t="s">
        <v>625</v>
      </c>
      <c r="L23" s="299"/>
      <c r="M23" s="300"/>
      <c r="O23" s="298" t="s">
        <v>626</v>
      </c>
      <c r="P23" s="299"/>
      <c r="Q23" s="300"/>
      <c r="S23" s="298" t="s">
        <v>627</v>
      </c>
      <c r="T23" s="299"/>
      <c r="U23" s="300"/>
    </row>
    <row r="24" spans="2:21" ht="10" customHeight="1"/>
    <row r="25" spans="2:21" ht="40" customHeight="1">
      <c r="B25" s="296" t="s">
        <v>544</v>
      </c>
      <c r="C25" s="297"/>
      <c r="E25" s="296" t="s">
        <v>552</v>
      </c>
      <c r="F25" s="297"/>
      <c r="H25" s="296" t="s">
        <v>551</v>
      </c>
      <c r="I25" s="297"/>
      <c r="O25" s="298" t="s">
        <v>628</v>
      </c>
      <c r="P25" s="299"/>
      <c r="Q25" s="300"/>
    </row>
    <row r="26" spans="2:21" ht="10" customHeight="1"/>
    <row r="27" spans="2:21" ht="40" customHeight="1">
      <c r="K27" s="298" t="s">
        <v>92</v>
      </c>
      <c r="L27" s="299"/>
      <c r="M27" s="300"/>
      <c r="S27" s="298" t="s">
        <v>82</v>
      </c>
      <c r="T27" s="299"/>
      <c r="U27" s="300"/>
    </row>
    <row r="29" spans="2:21" ht="26" customHeight="1">
      <c r="B29" s="303" t="s">
        <v>527</v>
      </c>
      <c r="C29" s="303"/>
      <c r="D29" s="230"/>
      <c r="E29" s="304" t="s">
        <v>539</v>
      </c>
      <c r="F29" s="304"/>
      <c r="G29" s="304"/>
      <c r="H29" s="304"/>
      <c r="I29" s="230"/>
    </row>
  </sheetData>
  <mergeCells count="50">
    <mergeCell ref="O25:Q25"/>
    <mergeCell ref="K27:M27"/>
    <mergeCell ref="S27:U27"/>
    <mergeCell ref="B29:C29"/>
    <mergeCell ref="E29:H29"/>
    <mergeCell ref="B25:C25"/>
    <mergeCell ref="E25:F25"/>
    <mergeCell ref="H25:I25"/>
    <mergeCell ref="C4:D4"/>
    <mergeCell ref="C5:D5"/>
    <mergeCell ref="C6:D6"/>
    <mergeCell ref="K21:M21"/>
    <mergeCell ref="O21:Q21"/>
    <mergeCell ref="K7:M7"/>
    <mergeCell ref="O7:Q7"/>
    <mergeCell ref="E19:F19"/>
    <mergeCell ref="B21:C21"/>
    <mergeCell ref="E21:F21"/>
    <mergeCell ref="S21:U21"/>
    <mergeCell ref="K23:M23"/>
    <mergeCell ref="O23:Q23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S7:U7"/>
    <mergeCell ref="M9:O9"/>
    <mergeCell ref="Q9:S9"/>
    <mergeCell ref="K11:M11"/>
    <mergeCell ref="O11:Q11"/>
    <mergeCell ref="B23:C23"/>
    <mergeCell ref="E23:F23"/>
    <mergeCell ref="H23:I23"/>
    <mergeCell ref="H11:I11"/>
    <mergeCell ref="E13:F13"/>
    <mergeCell ref="H13:I13"/>
    <mergeCell ref="E15:F15"/>
    <mergeCell ref="H15:I15"/>
    <mergeCell ref="E17:F17"/>
    <mergeCell ref="H17:I17"/>
    <mergeCell ref="B17:C17"/>
    <mergeCell ref="E11:F11"/>
    <mergeCell ref="B15:C15"/>
    <mergeCell ref="B11:C11"/>
    <mergeCell ref="B13:C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/>
  </sheetViews>
  <sheetFormatPr baseColWidth="10" defaultRowHeight="14"/>
  <cols>
    <col min="1" max="1" width="2.83203125" style="204" customWidth="1"/>
    <col min="2" max="2" width="26.83203125" style="204" customWidth="1"/>
    <col min="3" max="3" width="3.83203125" style="204" customWidth="1"/>
    <col min="4" max="4" width="26.83203125" style="204" customWidth="1"/>
    <col min="5" max="9" width="10.83203125" style="204"/>
    <col min="10" max="13" width="0" style="204" hidden="1" customWidth="1"/>
    <col min="14" max="16384" width="10.83203125" style="204"/>
  </cols>
  <sheetData>
    <row r="1" spans="2:12">
      <c r="J1" s="204" t="s">
        <v>632</v>
      </c>
      <c r="L1" s="204" t="s">
        <v>630</v>
      </c>
    </row>
    <row r="2" spans="2:12" ht="21">
      <c r="B2" s="203" t="s">
        <v>603</v>
      </c>
      <c r="J2" s="204" t="s">
        <v>633</v>
      </c>
      <c r="L2" s="204" t="s">
        <v>631</v>
      </c>
    </row>
    <row r="3" spans="2:12">
      <c r="J3" s="204" t="s">
        <v>634</v>
      </c>
      <c r="L3" s="204" t="s">
        <v>647</v>
      </c>
    </row>
    <row r="4" spans="2:12">
      <c r="B4" s="205" t="s">
        <v>506</v>
      </c>
      <c r="D4" s="210">
        <v>0.47222222222222221</v>
      </c>
      <c r="J4" s="204" t="s">
        <v>635</v>
      </c>
      <c r="L4" s="204" t="s">
        <v>648</v>
      </c>
    </row>
    <row r="5" spans="2:12">
      <c r="B5" s="225" t="s">
        <v>604</v>
      </c>
      <c r="D5" s="232">
        <v>32</v>
      </c>
      <c r="J5" s="204" t="s">
        <v>636</v>
      </c>
      <c r="L5" s="204" t="s">
        <v>649</v>
      </c>
    </row>
    <row r="6" spans="2:12">
      <c r="J6" s="204" t="s">
        <v>637</v>
      </c>
      <c r="L6" s="204" t="s">
        <v>650</v>
      </c>
    </row>
    <row r="7" spans="2:12">
      <c r="B7" s="225" t="s">
        <v>605</v>
      </c>
      <c r="D7" s="225" t="s">
        <v>606</v>
      </c>
      <c r="J7" s="204" t="s">
        <v>638</v>
      </c>
      <c r="L7" s="204" t="s">
        <v>651</v>
      </c>
    </row>
    <row r="8" spans="2:12">
      <c r="B8" s="233" t="s">
        <v>632</v>
      </c>
      <c r="D8" s="233" t="s">
        <v>631</v>
      </c>
      <c r="J8" s="204" t="s">
        <v>639</v>
      </c>
    </row>
    <row r="9" spans="2:12">
      <c r="B9" s="233"/>
      <c r="D9" s="233"/>
      <c r="J9" s="204" t="s">
        <v>640</v>
      </c>
    </row>
    <row r="10" spans="2:12">
      <c r="B10" s="233"/>
      <c r="D10" s="233"/>
      <c r="J10" s="204" t="s">
        <v>641</v>
      </c>
    </row>
    <row r="11" spans="2:12">
      <c r="B11" s="233"/>
      <c r="D11" s="233"/>
      <c r="J11" s="204" t="s">
        <v>642</v>
      </c>
    </row>
    <row r="12" spans="2:12">
      <c r="B12" s="233"/>
      <c r="D12" s="233"/>
      <c r="J12" s="204" t="s">
        <v>643</v>
      </c>
    </row>
    <row r="13" spans="2:12">
      <c r="J13" s="204" t="s">
        <v>644</v>
      </c>
    </row>
    <row r="14" spans="2:12" ht="26" customHeight="1">
      <c r="B14" s="208" t="s">
        <v>527</v>
      </c>
      <c r="C14" s="230"/>
      <c r="D14" s="209" t="s">
        <v>526</v>
      </c>
      <c r="J14" s="204" t="s">
        <v>645</v>
      </c>
    </row>
    <row r="15" spans="2:12">
      <c r="J15" s="204" t="s">
        <v>646</v>
      </c>
    </row>
  </sheetData>
  <dataValidations count="2">
    <dataValidation type="list" allowBlank="1" showInputMessage="1" showErrorMessage="1" sqref="B10 B11 B8 B9 B12" xr:uid="{7437F5C3-6FFF-E84B-8D6A-57E7B02D56D1}">
      <formula1>$J$1:$J$15</formula1>
    </dataValidation>
    <dataValidation type="list" allowBlank="1" showInputMessage="1" showErrorMessage="1" sqref="D10 D11 D8 D9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237</vt:i4>
      </vt:variant>
    </vt:vector>
  </HeadingPairs>
  <TitlesOfParts>
    <vt:vector size="249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Touches Melees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2026-09-26T10:14:37Z</dcterms:modified>
</cp:coreProperties>
</file>