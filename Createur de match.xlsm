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Desktop/STATS/"/>
    </mc:Choice>
  </mc:AlternateContent>
  <xr:revisionPtr revIDLastSave="0" documentId="13_ncr:1_{733BF230-04C2-5540-9519-422B2D683FB0}" xr6:coauthVersionLast="47" xr6:coauthVersionMax="47" xr10:uidLastSave="{00000000-0000-0000-0000-000000000000}"/>
  <bookViews>
    <workbookView xWindow="17120" yWindow="700" windowWidth="17160" windowHeight="16960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LstEquipesPoule[EQUIPES_POULE]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" l="1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<sst xmlns="http://schemas.openxmlformats.org/spreadsheetml/2006/main" count="477" uniqueCount="368">
  <si>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</si>
  <si>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</si>
  <si>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</si>
  <si>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</si>
  <si>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</si>
  <si>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</si>
  <si>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</si>
  <si>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</si>
  <si>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</si>
  <si>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</si>
  <si>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</si>
  <si>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</si>
  <si>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</si>
  <si>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</si>
  <si>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</si>
  <si>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</si>
  <si>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</si>
  <si>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</si>
  <si>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</si>
  <si>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</si>
  <si>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</si>
  <si>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</si>
  <si>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</si>
  <si>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</si>
  <si>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</si>
  <si>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</si>
  <si>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</si>
  <si>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</si>
  <si>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</si>
  <si>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</si>
  <si>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</si>
  <si>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</si>
  <si>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</si>
  <si>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</si>
  <si>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</si>
  <si>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</si>
  <si>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</si>
  <si>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</si>
  <si>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</si>
  <si>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</si>
  <si>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</si>
  <si>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</si>
  <si>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</si>
  <si>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</si>
  <si>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</si>
  <si>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</si>
  <si>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</si>
  <si>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</si>
  <si>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</si>
  <si>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</si>
  <si>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</si>
  <si>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</si>
  <si>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</si>
  <si>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</si>
  <si>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</si>
  <si>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</si>
  <si>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</si>
  <si>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</si>
  <si>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</si>
  <si>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</si>
  <si>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</si>
  <si>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</si>
  <si>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</si>
  <si>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</si>
  <si>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</si>
  <si>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</si>
  <si>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</si>
  <si>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</si>
  <si>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</si>
  <si>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</si>
  <si>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</si>
  <si>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</si>
  <si>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</si>
  <si>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</si>
  <si>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</si>
  <si>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</si>
  <si>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</si>
  <si>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</si>
  <si>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</si>
  <si>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</si>
  <si>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</si>
  <si>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</si>
  <si>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</si>
  <si>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</si>
  <si>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</si>
  <si>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</si>
  <si>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</si>
  <si>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</si>
  <si>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</si>
  <si>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</si>
  <si>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</si>
  <si>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</si>
  <si>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</si>
  <si>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</si>
  <si>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</si>
  <si>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</si>
  <si>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</si>
  <si>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</si>
  <si>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</si>
  <si>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</si>
  <si>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</si>
  <si>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</si>
  <si>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</si>
  <si>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</si>
  <si>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</si>
  <si>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</si>
  <si>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</si>
  <si>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</si>
  <si>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</si>
  <si>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</si>
  <si>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</si>
  <si>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</si>
  <si>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</si>
  <si>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</si>
  <si>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</si>
  <si>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</si>
  <si>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</si>
  <si>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</si>
  <si>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</si>
  <si>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</si>
  <si>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</si>
  <si>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</si>
  <si>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</si>
  <si>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</si>
  <si>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</si>
  <si>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</si>
  <si>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</si>
  <si>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</si>
  <si>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</si>
  <si>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</si>
  <si>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</si>
  <si>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</si>
  <si>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</si>
  <si>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</si>
  <si>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</si>
  <si>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</si>
  <si>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</si>
  <si>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</si>
  <si>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</si>
  <si>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</si>
  <si>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</si>
  <si>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</si>
  <si>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</si>
  <si>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</si>
  <si>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</si>
  <si>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</si>
  <si>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</si>
  <si>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</si>
  <si>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</si>
  <si>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</si>
  <si>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</si>
  <si>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</si>
  <si>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</si>
  <si>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</si>
  <si>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</si>
  <si>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</si>
  <si>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</si>
  <si>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</si>
  <si>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</si>
  <si>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</si>
  <si>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</si>
  <si>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</si>
  <si>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</si>
  <si>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</si>
  <si>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</si>
  <si>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</si>
  <si>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</si>
  <si>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</si>
  <si>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</si>
  <si>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</si>
  <si>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</si>
  <si>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</si>
  <si>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</si>
  <si>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</si>
  <si>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</si>
  <si>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</si>
  <si>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</si>
  <si>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</si>
  <si>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</si>
  <si>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</si>
  <si>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</si>
  <si>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</si>
  <si>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</si>
  <si>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</si>
  <si>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</si>
  <si>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</si>
  <si>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</si>
  <si>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</si>
  <si>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</si>
  <si>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</si>
  <si>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</si>
  <si>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</si>
  <si>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</si>
  <si>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</si>
  <si>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</si>
  <si>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</si>
  <si>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</si>
  <si>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</si>
  <si>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</si>
  <si>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</si>
  <si>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</si>
  <si>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</si>
  <si>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</si>
  <si>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</si>
  <si>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</si>
  <si>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</si>
  <si>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</si>
  <si>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</si>
  <si>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</si>
  <si>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</si>
  <si>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</si>
  <si>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</si>
  <si>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</si>
  <si>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</si>
  <si>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</si>
  <si>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</si>
  <si>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</si>
  <si>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</si>
  <si>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</si>
  <si>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</si>
  <si>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</si>
  <si>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</si>
  <si>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</si>
  <si>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</si>
  <si>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</si>
  <si>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</si>
  <si>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</si>
  <si>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</si>
  <si>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</si>
  <si>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</si>
  <si>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</si>
  <si>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</si>
  <si>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</si>
  <si>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</si>
  <si>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</si>
  <si>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</si>
  <si>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</si>
  <si>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</si>
  <si>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</si>
  <si>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</si>
  <si>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</si>
  <si>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</si>
  <si>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</si>
  <si>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</si>
  <si>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</si>
  <si>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</si>
  <si>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</si>
  <si>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</si>
  <si>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</si>
  <si>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</si>
  <si>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</si>
  <si>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</si>
  <si>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</si>
  <si>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</si>
  <si>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</si>
  <si>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</si>
  <si>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</si>
  <si>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</si>
  <si>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</si>
  <si>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</si>
  <si>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</si>
  <si>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</si>
  <si>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</si>
  <si>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</si>
  <si>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</si>
  <si>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</si>
  <si>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</si>
  <si>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</si>
  <si>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</si>
  <si>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</si>
  <si>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</si>
  <si>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</si>
  <si>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</si>
  <si>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</si>
  <si>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</si>
  <si>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</si>
  <si>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</si>
  <si>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</si>
  <si>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</si>
  <si>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</si>
  <si>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</si>
  <si>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</si>
  <si>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</si>
  <si>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</si>
  <si>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</si>
  <si>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</si>
  <si>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</si>
  <si>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</si>
  <si>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</si>
  <si>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</si>
  <si>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</si>
  <si>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</si>
  <si>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</si>
  <si>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</si>
  <si>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</si>
  <si>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</si>
  <si>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</si>
  <si>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</si>
  <si>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</si>
  <si>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</si>
  <si>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</si>
  <si>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</si>
  <si>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</si>
  <si>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</si>
  <si>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</si>
  <si>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</si>
  <si>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</si>
  <si>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</si>
  <si>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</si>
  <si>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</si>
  <si>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</si>
  <si>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</si>
  <si>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</si>
  <si>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</si>
  <si>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</si>
  <si>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</si>
  <si>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</si>
  <si>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</si>
  <si>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</si>
  <si>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</si>
  <si>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</si>
  <si>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</si>
  <si>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</si>
  <si>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</si>
  <si>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</si>
  <si>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</si>
  <si>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</si>
  <si>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Christian</t>
  </si>
  <si>
    <t>CALIFANO</t>
  </si>
  <si>
    <t>Guilhem</t>
  </si>
  <si>
    <t>GUIRADO</t>
  </si>
  <si>
    <t>MAS</t>
  </si>
  <si>
    <t>Olivier</t>
  </si>
  <si>
    <t>MERLE</t>
  </si>
  <si>
    <t>Thibaut</t>
  </si>
  <si>
    <t>FLAMENT</t>
  </si>
  <si>
    <t>Serge</t>
  </si>
  <si>
    <t>BETSEN</t>
  </si>
  <si>
    <t>Thierry</t>
  </si>
  <si>
    <t>DUSSAUTOIR</t>
  </si>
  <si>
    <t>PICAMOLES</t>
  </si>
  <si>
    <t>Antoine</t>
  </si>
  <si>
    <t>DUPONT</t>
  </si>
  <si>
    <t>Frederic</t>
  </si>
  <si>
    <t>MICHALACK</t>
  </si>
  <si>
    <t>Vincent</t>
  </si>
  <si>
    <t>CLERC</t>
  </si>
  <si>
    <t>Yannick</t>
  </si>
  <si>
    <t>JAUZION</t>
  </si>
  <si>
    <t>Mathieu</t>
  </si>
  <si>
    <t>BASTAREAUD</t>
  </si>
  <si>
    <t>Aurélien</t>
  </si>
  <si>
    <t>ROUGERIE</t>
  </si>
  <si>
    <t>RAMOS</t>
  </si>
  <si>
    <t>MOSCATO</t>
  </si>
  <si>
    <t>Jean-Pierre</t>
  </si>
  <si>
    <t>GARUET</t>
  </si>
  <si>
    <t>Uini</t>
  </si>
  <si>
    <t>ATONIO</t>
  </si>
  <si>
    <t>Yohan</t>
  </si>
  <si>
    <t>MAESTRI</t>
  </si>
  <si>
    <t>ALDRITT</t>
  </si>
  <si>
    <t>Arnaud</t>
  </si>
  <si>
    <t>MIGNARDI</t>
  </si>
  <si>
    <t>BIELLE-BARREY</t>
  </si>
  <si>
    <t>FC Teteaclac</t>
  </si>
  <si>
    <t>RC Sauçouze</t>
  </si>
  <si>
    <t>US Escamat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</si>
</sst>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4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78" xfId="0" applyBorder="1"/>
    <xf numFmtId="0" fontId="0" fillId="0" borderId="80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0" fillId="0" borderId="88" xfId="0" applyBorder="1"/>
    <xf numFmtId="0" fontId="0" fillId="17" borderId="80" xfId="0" applyFill="1" applyBorder="1"/>
    <xf numFmtId="0" fontId="0" fillId="17" borderId="87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90" xfId="0" applyBorder="1"/>
    <xf numFmtId="0" fontId="0" fillId="0" borderId="89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17" borderId="71" xfId="0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93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0" fillId="0" borderId="0" xfId="0" applyFill="1"/>
    <xf numFmtId="0" fontId="42" fillId="0" borderId="0" xfId="0" applyFont="1" applyFill="1" applyAlignment="1">
      <alignment wrapText="1"/>
    </xf>
    <xf numFmtId="0" fontId="0" fillId="0" borderId="0" xfId="0" applyNumberFormat="1" applyFill="1"/>
    <xf numFmtId="0" fontId="0" fillId="17" borderId="0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8" xfId="0" applyFill="1" applyBorder="1"/>
    <xf numFmtId="0" fontId="0" fillId="17" borderId="97" xfId="0" applyFill="1" applyBorder="1" applyAlignment="1">
      <alignment horizontal="right"/>
    </xf>
    <xf numFmtId="0" fontId="0" fillId="17" borderId="99" xfId="0" applyFill="1" applyBorder="1"/>
    <xf numFmtId="0" fontId="0" fillId="17" borderId="100" xfId="0" applyFill="1" applyBorder="1"/>
    <xf numFmtId="0" fontId="0" fillId="17" borderId="101" xfId="0" applyFill="1" applyBorder="1"/>
    <xf numFmtId="0" fontId="0" fillId="17" borderId="45" xfId="0" applyFill="1" applyBorder="1"/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88900</xdr:colOff>
      <xdr:row>28</xdr:row>
      <xdr:rowOff>203200</xdr:rowOff>
    </xdr:from>
    <xdr:to>
      <xdr:col>6</xdr:col>
      <xdr:colOff>120650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393700" y="6937375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374650</xdr:colOff>
      <xdr:row>28</xdr:row>
      <xdr:rowOff>266700</xdr:rowOff>
    </xdr:from>
    <xdr:to>
      <xdr:col>14</xdr:col>
      <xdr:colOff>28575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36825" y="7000875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7</xdr:col>
      <xdr:colOff>203200</xdr:colOff>
      <xdr:row>28</xdr:row>
      <xdr:rowOff>355600</xdr:rowOff>
    </xdr:from>
    <xdr:to>
      <xdr:col>7</xdr:col>
      <xdr:colOff>367129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365375" y="7089775"/>
          <a:ext cx="163929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3" totalsRowShown="0" headerRowDxfId="6" dataDxfId="5">
  <autoFilter ref="A1:E23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4"/>
    <tableColumn id="2" xr3:uid="{0C1B8A30-A3B8-DA4D-B893-C4C99FF33E90}" name="nom" dataDxfId="3"/>
    <tableColumn id="3" xr3:uid="{8AE5AF32-0026-9B41-8B0B-16B9ED0F3727}" name="prenom" dataDxfId="2"/>
    <tableColumn id="4" xr3:uid="{4CE41A86-7158-6B42-B932-A5275F10AB48}" name="prenom NOM" dataDxfId="1">
      <calculatedColumnFormula>LstEffectif[[#This Row],[prenom]] &amp; " " &amp; LstEffectif[[#This Row],[nom]]</calculatedColumnFormula>
    </tableColumn>
    <tableColumn id="5" xr3:uid="{EB017694-E6D2-7440-91BF-61113926AB7D}" name="NOM Prénom" dataDxfId="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4" totalsRowShown="0" headerRowDxfId="55" dataDxfId="54">
  <autoFilter ref="I1:I4" xr:uid="{037D6424-D1EC-894D-B963-D36ABCA682C4}"/>
  <tableColumns count="1">
    <tableColumn id="1" xr3:uid="{63806632-B9ED-294D-800A-F2FDB2EC48D2}" name="EQUIPES_POULE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2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48" dataDxfId="46" headerRowBorderDxfId="47" tableBorderDxfId="45" totalsRowBorderDxfId="44">
  <autoFilter ref="Q1:R50" xr:uid="{6D1F5F0A-5FD5-AC4E-A195-33A78A5E0E58}"/>
  <tableColumns count="2">
    <tableColumn id="1" xr3:uid="{8A0D5429-5616-B849-BD27-167A576FE99E}" name="Nom de cellule à créer" dataDxfId="43"/>
    <tableColumn id="2" xr3:uid="{19545507-672A-9F40-8818-E4C9060AA52B}" name="Libellé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1" headerRowBorderDxfId="40" tableBorderDxfId="39" totalsRowBorderDxfId="38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7" headerRowBorderDxfId="36" tableBorderDxfId="35" totalsRowBorderDxfId="34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3" dataDxfId="32">
  <autoFilter ref="I14:I20" xr:uid="{CC940AF9-E81A-F746-8EAD-392809C3CFBE}"/>
  <tableColumns count="1">
    <tableColumn id="1" xr3:uid="{816CA1DF-3681-2948-A622-26353E2B9A97}" name="LISTE_LECTEUR_VIDEO" dataDxfId="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0" dataDxfId="29">
  <autoFilter ref="C1:C4" xr:uid="{61FC7709-08E5-D048-A38B-441B18CF5D35}"/>
  <tableColumns count="1">
    <tableColumn id="1" xr3:uid="{C41B523D-40DA-AF48-A2C2-015B04960B0A}" name="LIEU_MATCH" dataDxfId="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7" dataDxfId="26">
  <autoFilter ref="C6:C9" xr:uid="{86EA01CF-5567-6445-9906-AD2B60CA0A8A}"/>
  <tableColumns count="1">
    <tableColumn id="1" xr3:uid="{B57F8324-6F25-7B40-9B20-1BFDF9708631}" name="PHASE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24" dataDxfId="23">
  <autoFilter ref="C11:C14" xr:uid="{DAA9B017-78F0-D447-B788-CF8333AEAC38}"/>
  <tableColumns count="1">
    <tableColumn id="1" xr3:uid="{C5E86C3D-762A-054E-B864-5A67DBB9A8CA}" name="RESULTAT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1" dataDxfId="20">
  <autoFilter ref="C16:C20" xr:uid="{F661D9E2-619C-DA44-92C5-8A09E8E281AC}"/>
  <tableColumns count="1">
    <tableColumn id="1" xr3:uid="{ADD3AF05-089E-D149-9728-7C2A6F62FA22}" name="EQUIPE_NIV" dataDxfId="1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8" dataDxfId="16" headerRowBorderDxfId="17" tableBorderDxfId="15" totalsRowBorderDxfId="14">
  <autoFilter ref="K1:K3" xr:uid="{391966D0-8F83-3948-82BB-835638F7D3FE}"/>
  <tableColumns count="1">
    <tableColumn id="1" xr3:uid="{F45BF991-6668-F741-B07C-7905B99AC752}" name="LISTE_JOUEURS_JOURNAL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abSelected="1" topLeftCell="B1" workbookViewId="0">
      <selection activeCell="H20" sqref="H20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241</v>
      </c>
    </row>
    <row r="2" spans="1:9" ht="14">
      <c r="A2" s="259">
        <v>1</v>
      </c>
      <c r="B2" s="260" t="s">
        <v>328</v>
      </c>
      <c r="C2" s="260" t="s">
        <v>327</v>
      </c>
      <c r="D2" s="261" t="str">
        <f>LstEffectif[[#This Row],[prenom]] &amp; " " &amp; LstEffectif[[#This Row],[nom]]</f>
        <v>Christian CALIFANO</v>
      </c>
      <c r="E2" s="261" t="str">
        <f>LstEffectif[[#This Row],[nom]] &amp; " " &amp; LstEffectif[[#This Row],[prenom]]</f>
        <v>CALIFANO Christian</v>
      </c>
      <c r="I2" t="s">
        <v>366</v>
      </c>
    </row>
    <row r="3" spans="1:9" ht="14">
      <c r="A3" s="259">
        <v>2</v>
      </c>
      <c r="B3" s="260" t="s">
        <v>330</v>
      </c>
      <c r="C3" s="260" t="s">
        <v>329</v>
      </c>
      <c r="D3" s="261" t="str">
        <f>LstEffectif[[#This Row],[prenom]] &amp; " " &amp; LstEffectif[[#This Row],[nom]]</f>
        <v>Guilhem GUIRADO</v>
      </c>
      <c r="E3" s="261" t="str">
        <f>LstEffectif[[#This Row],[nom]] &amp; " " &amp; LstEffectif[[#This Row],[prenom]]</f>
        <v>GUIRADO Guilhem</v>
      </c>
      <c r="I3" t="s">
        <v>365</v>
      </c>
    </row>
    <row r="4" spans="1:9" ht="14">
      <c r="A4" s="259">
        <v>3</v>
      </c>
      <c r="B4" s="260" t="s">
        <v>331</v>
      </c>
      <c r="C4" s="260" t="s">
        <v>325</v>
      </c>
      <c r="D4" s="261" t="str">
        <f>LstEffectif[[#This Row],[prenom]] &amp; " " &amp; LstEffectif[[#This Row],[nom]]</f>
        <v>Nicolas MAS</v>
      </c>
      <c r="E4" s="261" t="str">
        <f>LstEffectif[[#This Row],[nom]] &amp; " " &amp; LstEffectif[[#This Row],[prenom]]</f>
        <v>MAS Nicolas</v>
      </c>
      <c r="I4" t="s">
        <v>367</v>
      </c>
    </row>
    <row r="5" spans="1:9" ht="14">
      <c r="A5" s="259">
        <v>4</v>
      </c>
      <c r="B5" s="260" t="s">
        <v>333</v>
      </c>
      <c r="C5" s="260" t="s">
        <v>332</v>
      </c>
      <c r="D5" s="261" t="str">
        <f>LstEffectif[[#This Row],[prenom]] &amp; " " &amp; LstEffectif[[#This Row],[nom]]</f>
        <v>Olivier MERLE</v>
      </c>
      <c r="E5" s="261" t="str">
        <f>LstEffectif[[#This Row],[nom]] &amp; " " &amp; LstEffectif[[#This Row],[prenom]]</f>
        <v>MERLE Olivier</v>
      </c>
    </row>
    <row r="6" spans="1:9" ht="14">
      <c r="A6" s="259">
        <v>5</v>
      </c>
      <c r="B6" s="260" t="s">
        <v>335</v>
      </c>
      <c r="C6" s="260" t="s">
        <v>334</v>
      </c>
      <c r="D6" s="261" t="str">
        <f>LstEffectif[[#This Row],[prenom]] &amp; " " &amp; LstEffectif[[#This Row],[nom]]</f>
        <v>Thibaut FLAMENT</v>
      </c>
      <c r="E6" s="261" t="str">
        <f>LstEffectif[[#This Row],[nom]] &amp; " " &amp; LstEffectif[[#This Row],[prenom]]</f>
        <v>FLAMENT Thibaut</v>
      </c>
    </row>
    <row r="7" spans="1:9" ht="14">
      <c r="A7" s="259">
        <v>6</v>
      </c>
      <c r="B7" s="260" t="s">
        <v>337</v>
      </c>
      <c r="C7" s="260" t="s">
        <v>336</v>
      </c>
      <c r="D7" s="261" t="str">
        <f>LstEffectif[[#This Row],[prenom]] &amp; " " &amp; LstEffectif[[#This Row],[nom]]</f>
        <v>Serge BETSEN</v>
      </c>
      <c r="E7" s="261" t="str">
        <f>LstEffectif[[#This Row],[nom]] &amp; " " &amp; LstEffectif[[#This Row],[prenom]]</f>
        <v>BETSEN Serge</v>
      </c>
    </row>
    <row r="8" spans="1:9" ht="14">
      <c r="A8" s="259">
        <v>7</v>
      </c>
      <c r="B8" s="260" t="s">
        <v>339</v>
      </c>
      <c r="C8" s="260" t="s">
        <v>338</v>
      </c>
      <c r="D8" s="261" t="str">
        <f>LstEffectif[[#This Row],[prenom]] &amp; " " &amp; LstEffectif[[#This Row],[nom]]</f>
        <v>Thierry DUSSAUTOIR</v>
      </c>
      <c r="E8" s="261" t="str">
        <f>LstEffectif[[#This Row],[nom]] &amp; " " &amp; LstEffectif[[#This Row],[prenom]]</f>
        <v>DUSSAUTOIR Thierry</v>
      </c>
    </row>
    <row r="9" spans="1:9" ht="14">
      <c r="A9" s="259">
        <v>8</v>
      </c>
      <c r="B9" s="260" t="s">
        <v>340</v>
      </c>
      <c r="C9" s="260" t="s">
        <v>326</v>
      </c>
      <c r="D9" s="261" t="str">
        <f>LstEffectif[[#This Row],[prenom]] &amp; " " &amp; LstEffectif[[#This Row],[nom]]</f>
        <v>Louis PICAMOLES</v>
      </c>
      <c r="E9" s="261" t="str">
        <f>LstEffectif[[#This Row],[nom]] &amp; " " &amp; LstEffectif[[#This Row],[prenom]]</f>
        <v>PICAMOLES Louis</v>
      </c>
    </row>
    <row r="10" spans="1:9" ht="14">
      <c r="A10" s="259">
        <v>9</v>
      </c>
      <c r="B10" s="260" t="s">
        <v>342</v>
      </c>
      <c r="C10" s="260" t="s">
        <v>341</v>
      </c>
      <c r="D10" s="261" t="str">
        <f>LstEffectif[[#This Row],[prenom]] &amp; " " &amp; LstEffectif[[#This Row],[nom]]</f>
        <v>Antoine DUPONT</v>
      </c>
      <c r="E10" s="261" t="str">
        <f>LstEffectif[[#This Row],[nom]] &amp; " " &amp; LstEffectif[[#This Row],[prenom]]</f>
        <v>DUPONT Antoine</v>
      </c>
    </row>
    <row r="11" spans="1:9" ht="14">
      <c r="A11" s="259">
        <v>10</v>
      </c>
      <c r="B11" s="260" t="s">
        <v>344</v>
      </c>
      <c r="C11" s="260" t="s">
        <v>343</v>
      </c>
      <c r="D11" s="261" t="str">
        <f>LstEffectif[[#This Row],[prenom]] &amp; " " &amp; LstEffectif[[#This Row],[nom]]</f>
        <v>Frederic MICHALACK</v>
      </c>
      <c r="E11" s="261" t="str">
        <f>LstEffectif[[#This Row],[nom]] &amp; " " &amp; LstEffectif[[#This Row],[prenom]]</f>
        <v>MICHALACK Frederic</v>
      </c>
    </row>
    <row r="12" spans="1:9" ht="14">
      <c r="A12" s="259">
        <v>11</v>
      </c>
      <c r="B12" s="260" t="s">
        <v>346</v>
      </c>
      <c r="C12" s="260" t="s">
        <v>345</v>
      </c>
      <c r="D12" s="261" t="str">
        <f>LstEffectif[[#This Row],[prenom]] &amp; " " &amp; LstEffectif[[#This Row],[nom]]</f>
        <v>Vincent CLERC</v>
      </c>
      <c r="E12" s="261" t="str">
        <f>LstEffectif[[#This Row],[nom]] &amp; " " &amp; LstEffectif[[#This Row],[prenom]]</f>
        <v>CLERC Vincent</v>
      </c>
    </row>
    <row r="13" spans="1:9" ht="14">
      <c r="A13" s="259">
        <v>12</v>
      </c>
      <c r="B13" s="260" t="s">
        <v>348</v>
      </c>
      <c r="C13" s="260" t="s">
        <v>347</v>
      </c>
      <c r="D13" s="261" t="str">
        <f>LstEffectif[[#This Row],[prenom]] &amp; " " &amp; LstEffectif[[#This Row],[nom]]</f>
        <v>Yannick JAUZION</v>
      </c>
      <c r="E13" s="261" t="str">
        <f>LstEffectif[[#This Row],[nom]] &amp; " " &amp; LstEffectif[[#This Row],[prenom]]</f>
        <v>JAUZION Yannick</v>
      </c>
    </row>
    <row r="14" spans="1:9" ht="14">
      <c r="A14" s="259">
        <v>13</v>
      </c>
      <c r="B14" s="260" t="s">
        <v>350</v>
      </c>
      <c r="C14" s="260" t="s">
        <v>349</v>
      </c>
      <c r="D14" s="261" t="str">
        <f>LstEffectif[[#This Row],[prenom]] &amp; " " &amp; LstEffectif[[#This Row],[nom]]</f>
        <v>Mathieu BASTAREAUD</v>
      </c>
      <c r="E14" s="261" t="str">
        <f>LstEffectif[[#This Row],[nom]] &amp; " " &amp; LstEffectif[[#This Row],[prenom]]</f>
        <v>BASTAREAUD Mathieu</v>
      </c>
    </row>
    <row r="15" spans="1:9" ht="14">
      <c r="A15" s="259">
        <v>14</v>
      </c>
      <c r="B15" s="260" t="s">
        <v>352</v>
      </c>
      <c r="C15" s="260" t="s">
        <v>351</v>
      </c>
      <c r="D15" s="261" t="str">
        <f>LstEffectif[[#This Row],[prenom]] &amp; " " &amp; LstEffectif[[#This Row],[nom]]</f>
        <v>Aurélien ROUGERIE</v>
      </c>
      <c r="E15" s="261" t="str">
        <f>LstEffectif[[#This Row],[nom]] &amp; " " &amp; LstEffectif[[#This Row],[prenom]]</f>
        <v>ROUGERIE Aurélien</v>
      </c>
    </row>
    <row r="16" spans="1:9" ht="14">
      <c r="A16" s="259">
        <v>15</v>
      </c>
      <c r="B16" s="260" t="s">
        <v>353</v>
      </c>
      <c r="C16" s="260" t="s">
        <v>124</v>
      </c>
      <c r="D16" s="261" t="str">
        <f>LstEffectif[[#This Row],[prenom]] &amp; " " &amp; LstEffectif[[#This Row],[nom]]</f>
        <v>Thomas RAMOS</v>
      </c>
      <c r="E16" s="261" t="str">
        <f>LstEffectif[[#This Row],[nom]] &amp; " " &amp; LstEffectif[[#This Row],[prenom]]</f>
        <v>RAMOS Thomas</v>
      </c>
    </row>
    <row r="17" spans="1:5" ht="14">
      <c r="A17" s="259">
        <v>16</v>
      </c>
      <c r="B17" s="260" t="s">
        <v>354</v>
      </c>
      <c r="C17" s="260" t="s">
        <v>345</v>
      </c>
      <c r="D17" s="261" t="str">
        <f>LstEffectif[[#This Row],[prenom]] &amp; " " &amp; LstEffectif[[#This Row],[nom]]</f>
        <v>Vincent MOSCATO</v>
      </c>
      <c r="E17" s="261" t="str">
        <f>LstEffectif[[#This Row],[nom]] &amp; " " &amp; LstEffectif[[#This Row],[prenom]]</f>
        <v>MOSCATO Vincent</v>
      </c>
    </row>
    <row r="18" spans="1:5" ht="14">
      <c r="A18" s="259">
        <v>17</v>
      </c>
      <c r="B18" s="260" t="s">
        <v>356</v>
      </c>
      <c r="C18" s="260" t="s">
        <v>355</v>
      </c>
      <c r="D18" s="261" t="str">
        <f>LstEffectif[[#This Row],[prenom]] &amp; " " &amp; LstEffectif[[#This Row],[nom]]</f>
        <v>Jean-Pierre GARUET</v>
      </c>
      <c r="E18" s="261" t="str">
        <f>LstEffectif[[#This Row],[nom]] &amp; " " &amp; LstEffectif[[#This Row],[prenom]]</f>
        <v>GARUET Jean-Pierre</v>
      </c>
    </row>
    <row r="19" spans="1:5" ht="14">
      <c r="A19" s="259">
        <v>18</v>
      </c>
      <c r="B19" s="260" t="s">
        <v>358</v>
      </c>
      <c r="C19" s="260" t="s">
        <v>357</v>
      </c>
      <c r="D19" s="261" t="str">
        <f>LstEffectif[[#This Row],[prenom]] &amp; " " &amp; LstEffectif[[#This Row],[nom]]</f>
        <v>Uini ATONIO</v>
      </c>
      <c r="E19" s="261" t="str">
        <f>LstEffectif[[#This Row],[nom]] &amp; " " &amp; LstEffectif[[#This Row],[prenom]]</f>
        <v>ATONIO Uini</v>
      </c>
    </row>
    <row r="20" spans="1:5" ht="14">
      <c r="A20" s="259">
        <v>19</v>
      </c>
      <c r="B20" s="260" t="s">
        <v>360</v>
      </c>
      <c r="C20" s="260" t="s">
        <v>359</v>
      </c>
      <c r="D20" s="261" t="str">
        <f>LstEffectif[[#This Row],[prenom]] &amp; " " &amp; LstEffectif[[#This Row],[nom]]</f>
        <v>Yohan MAESTRI</v>
      </c>
      <c r="E20" s="261" t="str">
        <f>LstEffectif[[#This Row],[nom]] &amp; " " &amp; LstEffectif[[#This Row],[prenom]]</f>
        <v>MAESTRI Yohan</v>
      </c>
    </row>
    <row r="21" spans="1:5" ht="14">
      <c r="A21" s="259">
        <v>20</v>
      </c>
      <c r="B21" s="260" t="s">
        <v>361</v>
      </c>
      <c r="C21" s="260" t="s">
        <v>292</v>
      </c>
      <c r="D21" s="261" t="str">
        <f>LstEffectif[[#This Row],[prenom]] &amp; " " &amp; LstEffectif[[#This Row],[nom]]</f>
        <v>Gregory ALDRITT</v>
      </c>
      <c r="E21" s="261" t="str">
        <f>LstEffectif[[#This Row],[nom]] &amp; " " &amp; LstEffectif[[#This Row],[prenom]]</f>
        <v>ALDRITT Gregory</v>
      </c>
    </row>
    <row r="22" spans="1:5" ht="14">
      <c r="A22" s="259">
        <v>21</v>
      </c>
      <c r="B22" s="260" t="s">
        <v>363</v>
      </c>
      <c r="C22" s="260" t="s">
        <v>362</v>
      </c>
      <c r="D22" s="261" t="str">
        <f>LstEffectif[[#This Row],[prenom]] &amp; " " &amp; LstEffectif[[#This Row],[nom]]</f>
        <v>Arnaud MIGNARDI</v>
      </c>
      <c r="E22" s="261" t="str">
        <f>LstEffectif[[#This Row],[nom]] &amp; " " &amp; LstEffectif[[#This Row],[prenom]]</f>
        <v>MIGNARDI Arnaud</v>
      </c>
    </row>
    <row r="23" spans="1:5" ht="14">
      <c r="A23" s="259">
        <v>22</v>
      </c>
      <c r="B23" s="260" t="s">
        <v>364</v>
      </c>
      <c r="C23" s="260" t="s">
        <v>326</v>
      </c>
      <c r="D23" s="261" t="str">
        <f>LstEffectif[[#This Row],[prenom]] &amp; " " &amp; LstEffectif[[#This Row],[nom]]</f>
        <v>Louis BIELLE-BARREY</v>
      </c>
      <c r="E23" s="261" t="str">
        <f>LstEffectif[[#This Row],[nom]] &amp; " " &amp; LstEffectif[[#This Row],[prenom]]</f>
        <v>BIELLE-BARREY Louis</v>
      </c>
    </row>
    <row r="24" spans="1:5">
      <c r="A24" s="25"/>
      <c r="B24" s="25"/>
      <c r="C24" s="25"/>
      <c r="D24" s="25"/>
      <c r="E24" s="25"/>
    </row>
    <row r="25" spans="1:5">
      <c r="A25" s="25"/>
      <c r="B25" s="25"/>
      <c r="C25" s="25"/>
      <c r="D25" s="25"/>
      <c r="E25" s="25"/>
    </row>
    <row r="26" spans="1:5" ht="12" customHeight="1">
      <c r="A26" s="25"/>
      <c r="B26" s="25"/>
      <c r="C26" s="25"/>
      <c r="D26" s="25"/>
      <c r="E26" s="25"/>
    </row>
    <row r="27" spans="1:5" s="25" customFormat="1"/>
    <row r="28" spans="1:5" s="25" customFormat="1"/>
    <row r="29" spans="1:5" s="25" customFormat="1"/>
    <row r="30" spans="1:5" s="25" customFormat="1"/>
    <row r="31" spans="1:5" s="25" customFormat="1"/>
    <row r="32" spans="1:5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20" sqref="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193" t="s">
        <v>255</v>
      </c>
      <c r="C2" s="193"/>
      <c r="E2" s="194" t="s">
        <v>256</v>
      </c>
      <c r="F2" s="195"/>
      <c r="G2" s="195"/>
      <c r="H2" s="196"/>
    </row>
    <row r="3" spans="1:8" ht="19" customHeight="1">
      <c r="B3" s="193"/>
      <c r="C3" s="193"/>
      <c r="E3" s="197"/>
      <c r="F3" s="198"/>
      <c r="G3" s="198"/>
      <c r="H3" s="199"/>
    </row>
    <row r="4" spans="1:8" ht="19" customHeight="1" thickBot="1">
      <c r="B4" s="193"/>
      <c r="C4" s="193"/>
      <c r="E4" s="200"/>
      <c r="F4" s="201"/>
      <c r="G4" s="201"/>
      <c r="H4" s="202"/>
    </row>
    <row r="5" spans="1:8" s="25" customFormat="1">
      <c r="A5" s="91"/>
      <c r="D5" s="91"/>
    </row>
    <row r="6" spans="1:8">
      <c r="B6" s="70" t="s">
        <v>234</v>
      </c>
      <c r="C6" s="71"/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264</v>
      </c>
      <c r="C8" s="71"/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/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263</v>
      </c>
      <c r="C12" s="71"/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/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/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/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262</v>
      </c>
      <c r="C20" s="71"/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273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70" zoomScaleNormal="7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6640625" style="25" customWidth="1"/>
    <col min="18" max="18" width="10.6640625" style="25" customWidth="1"/>
    <col min="19" max="19" width="1.6640625" style="25" customWidth="1"/>
    <col min="20" max="20" width="10.6640625" style="25" customWidth="1"/>
    <col min="21" max="21" width="1.6640625" style="25" customWidth="1"/>
    <col min="22" max="22" width="10.6640625" style="25" customWidth="1"/>
    <col min="23" max="23" width="1.6640625" style="25" customWidth="1"/>
    <col min="24" max="24" width="10.6640625" style="25" customWidth="1"/>
    <col min="25" max="25" width="1.6640625" style="25" customWidth="1"/>
    <col min="26" max="26" width="10.6640625" style="25" customWidth="1"/>
    <col min="27" max="27" width="1.6640625" style="25" customWidth="1"/>
    <col min="28" max="28" width="10.6640625" style="25" customWidth="1"/>
    <col min="29" max="29" width="1.6640625" style="25" customWidth="1"/>
    <col min="30" max="30" width="10.6640625" style="25" customWidth="1"/>
    <col min="31" max="31" width="1.6640625" style="25" customWidth="1"/>
    <col min="32" max="32" width="10.6640625" style="25" customWidth="1"/>
    <col min="33" max="33" width="1.6640625" style="25" customWidth="1"/>
    <col min="34" max="34" width="10.6640625" style="25" customWidth="1"/>
    <col min="35" max="35" width="1.6640625" style="25" customWidth="1"/>
    <col min="36" max="695" width="10.83203125" style="25"/>
  </cols>
  <sheetData>
    <row r="1" spans="1:52" ht="39" customHeight="1">
      <c r="A1" s="25" t="s">
        <v>117</v>
      </c>
      <c r="C1" s="215" t="str">
        <f>"Match "&amp;IF('Compo'!C14="Aller","A",IF('Compo'!C14="Retour","R","PF"))&amp;'Compo'!C16&amp;IF('Compo'!C12="Extérieur"," : "&amp;'Compo'!C10&amp;" / MXV"," : MXV / "&amp;'Compo'!C10)</f>
        <v xml:space="preserve">Match PF : MXV / </v>
      </c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5"/>
      <c r="AZ1" s="16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54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6"/>
      <c r="AD3" s="164"/>
      <c r="AE3" s="159"/>
      <c r="AF3" s="159"/>
      <c r="AG3" s="159"/>
      <c r="AH3" s="159"/>
      <c r="AI3" s="162"/>
    </row>
    <row r="4" spans="1:52" ht="42" customHeight="1">
      <c r="A4" s="25"/>
      <c r="B4" s="25"/>
      <c r="C4" s="127"/>
      <c r="D4" s="216" t="s">
        <v>175</v>
      </c>
      <c r="E4" s="217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57"/>
      <c r="R4" s="168" t="s">
        <v>88</v>
      </c>
      <c r="S4" s="164"/>
      <c r="T4" s="39" t="s">
        <v>79</v>
      </c>
      <c r="U4" s="164"/>
      <c r="V4" s="39" t="s">
        <v>102</v>
      </c>
      <c r="W4" s="164"/>
      <c r="X4" s="39" t="s">
        <v>192</v>
      </c>
      <c r="Y4" s="164"/>
      <c r="Z4" s="39" t="s">
        <v>80</v>
      </c>
      <c r="AA4" s="164"/>
      <c r="AB4" s="39" t="s">
        <v>81</v>
      </c>
      <c r="AC4" s="166"/>
      <c r="AD4" s="164"/>
      <c r="AE4" s="159"/>
      <c r="AF4" s="159"/>
      <c r="AG4" s="159"/>
      <c r="AH4" s="159"/>
      <c r="AI4" s="162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60"/>
      <c r="R5" s="165"/>
      <c r="S5" s="161"/>
      <c r="T5" s="165"/>
      <c r="U5" s="161"/>
      <c r="V5" s="165"/>
      <c r="W5" s="161"/>
      <c r="X5" s="165"/>
      <c r="Y5" s="161"/>
      <c r="Z5" s="165"/>
      <c r="AA5" s="161"/>
      <c r="AB5" s="165"/>
      <c r="AC5" s="167"/>
      <c r="AD5" s="164"/>
      <c r="AE5" s="159"/>
      <c r="AF5" s="159"/>
      <c r="AG5" s="159"/>
      <c r="AH5" s="159"/>
      <c r="AI5" s="162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59"/>
      <c r="AE6" s="159"/>
      <c r="AF6" s="159"/>
      <c r="AG6" s="159"/>
      <c r="AH6" s="159"/>
      <c r="AI6" s="162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54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6"/>
      <c r="AD7" s="164"/>
      <c r="AE7" s="159"/>
      <c r="AF7" s="159"/>
      <c r="AG7" s="159"/>
      <c r="AH7" s="159"/>
      <c r="AI7" s="162"/>
    </row>
    <row r="8" spans="1:52" ht="26" customHeight="1">
      <c r="A8" s="25"/>
      <c r="B8" s="25"/>
      <c r="C8" s="141"/>
      <c r="D8" s="142" t="s">
        <v>301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57"/>
      <c r="R8" s="168" t="s">
        <v>99</v>
      </c>
      <c r="S8" s="164"/>
      <c r="T8" s="31" t="s">
        <v>83</v>
      </c>
      <c r="U8" s="164"/>
      <c r="V8" s="31" t="s">
        <v>84</v>
      </c>
      <c r="W8" s="164"/>
      <c r="X8" s="31" t="s">
        <v>85</v>
      </c>
      <c r="Y8" s="164"/>
      <c r="Z8" s="31" t="s">
        <v>86</v>
      </c>
      <c r="AA8" s="164"/>
      <c r="AB8" s="24" t="s">
        <v>87</v>
      </c>
      <c r="AC8" s="166"/>
      <c r="AD8" s="164"/>
      <c r="AE8" s="159"/>
      <c r="AF8" s="159"/>
      <c r="AG8" s="159"/>
      <c r="AH8" s="159"/>
      <c r="AI8" s="162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60"/>
      <c r="R9" s="165"/>
      <c r="S9" s="161"/>
      <c r="T9" s="165"/>
      <c r="U9" s="161"/>
      <c r="V9" s="165"/>
      <c r="W9" s="161"/>
      <c r="X9" s="165"/>
      <c r="Y9" s="161"/>
      <c r="Z9" s="165"/>
      <c r="AA9" s="161"/>
      <c r="AB9" s="165"/>
      <c r="AC9" s="167"/>
      <c r="AD9" s="164"/>
      <c r="AE9" s="159"/>
      <c r="AF9" s="159"/>
      <c r="AG9" s="159"/>
      <c r="AH9" s="159"/>
      <c r="AI9" s="162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59"/>
      <c r="AE10" s="159"/>
      <c r="AF10" s="159"/>
      <c r="AG10" s="159"/>
      <c r="AH10" s="159"/>
      <c r="AI10" s="162"/>
    </row>
    <row r="11" spans="1:52" ht="10" customHeight="1" thickTop="1">
      <c r="A11" s="25"/>
      <c r="B11" s="25" t="s">
        <v>95</v>
      </c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72"/>
      <c r="O11" s="156"/>
      <c r="P11" s="170"/>
      <c r="Q11" s="154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</row>
    <row r="12" spans="1:52" ht="15" customHeight="1">
      <c r="A12" s="25"/>
      <c r="B12" s="25"/>
      <c r="C12" s="157"/>
      <c r="D12" s="218" t="s">
        <v>68</v>
      </c>
      <c r="E12" s="218"/>
      <c r="F12" s="218"/>
      <c r="G12" s="218"/>
      <c r="H12" s="218"/>
      <c r="I12" s="218"/>
      <c r="J12" s="218"/>
      <c r="K12" s="218"/>
      <c r="L12" s="218"/>
      <c r="M12" s="219"/>
      <c r="N12" s="220"/>
      <c r="O12" s="158"/>
      <c r="P12" s="170"/>
      <c r="Q12" s="157"/>
      <c r="R12" s="203" t="s">
        <v>69</v>
      </c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4"/>
      <c r="AH12" s="205"/>
      <c r="AI12" s="166"/>
    </row>
    <row r="13" spans="1:52">
      <c r="A13" s="25"/>
      <c r="B13" s="25"/>
      <c r="C13" s="157"/>
      <c r="D13" s="173"/>
      <c r="E13" s="159"/>
      <c r="F13" s="173"/>
      <c r="G13" s="159"/>
      <c r="H13" s="173"/>
      <c r="I13" s="159"/>
      <c r="J13" s="173"/>
      <c r="K13" s="159"/>
      <c r="L13" s="173"/>
      <c r="M13" s="159"/>
      <c r="N13" s="173"/>
      <c r="O13" s="158"/>
      <c r="P13" s="170"/>
      <c r="Q13" s="157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58"/>
    </row>
    <row r="14" spans="1:52" ht="42" customHeight="1">
      <c r="A14" s="25"/>
      <c r="B14" s="25"/>
      <c r="C14" s="177"/>
      <c r="D14" s="178">
        <v>1</v>
      </c>
      <c r="E14" s="180"/>
      <c r="F14" s="178">
        <v>2</v>
      </c>
      <c r="G14" s="180"/>
      <c r="H14" s="178">
        <v>3</v>
      </c>
      <c r="I14" s="180"/>
      <c r="J14" s="178">
        <v>4</v>
      </c>
      <c r="K14" s="180"/>
      <c r="L14" s="178">
        <v>5</v>
      </c>
      <c r="M14" s="180"/>
      <c r="N14" s="178">
        <v>6</v>
      </c>
      <c r="O14" s="181"/>
      <c r="P14" s="170"/>
      <c r="Q14" s="157"/>
      <c r="R14" s="168" t="s">
        <v>324</v>
      </c>
      <c r="S14" s="164"/>
      <c r="T14" s="29" t="s">
        <v>72</v>
      </c>
      <c r="U14" s="164"/>
      <c r="V14" s="29" t="s">
        <v>70</v>
      </c>
      <c r="W14" s="164"/>
      <c r="X14" s="29" t="s">
        <v>73</v>
      </c>
      <c r="Y14" s="164"/>
      <c r="Z14" s="29" t="s">
        <v>74</v>
      </c>
      <c r="AA14" s="164"/>
      <c r="AB14" s="29" t="s">
        <v>71</v>
      </c>
      <c r="AC14" s="164"/>
      <c r="AD14" s="159"/>
      <c r="AE14" s="159"/>
      <c r="AF14" s="206" t="s">
        <v>302</v>
      </c>
      <c r="AG14" s="207"/>
      <c r="AH14" s="208"/>
      <c r="AI14" s="166"/>
    </row>
    <row r="15" spans="1:52" ht="10" customHeight="1">
      <c r="A15" s="25"/>
      <c r="B15" s="25"/>
      <c r="C15" s="157"/>
      <c r="D15" s="179"/>
      <c r="E15" s="159"/>
      <c r="F15" s="179"/>
      <c r="G15" s="159"/>
      <c r="H15" s="179"/>
      <c r="I15" s="159"/>
      <c r="J15" s="179"/>
      <c r="K15" s="159"/>
      <c r="L15" s="179"/>
      <c r="M15" s="159"/>
      <c r="N15" s="179"/>
      <c r="O15" s="158"/>
      <c r="P15" s="170"/>
      <c r="Q15" s="157"/>
      <c r="R15" s="163"/>
      <c r="S15" s="159"/>
      <c r="T15" s="163"/>
      <c r="U15" s="159"/>
      <c r="V15" s="163"/>
      <c r="W15" s="159"/>
      <c r="X15" s="163"/>
      <c r="Y15" s="159"/>
      <c r="Z15" s="163"/>
      <c r="AA15" s="159"/>
      <c r="AB15" s="163"/>
      <c r="AC15" s="159"/>
      <c r="AD15" s="159"/>
      <c r="AE15" s="159"/>
      <c r="AF15" s="163"/>
      <c r="AG15" s="163"/>
      <c r="AH15" s="163"/>
      <c r="AI15" s="158"/>
    </row>
    <row r="16" spans="1:52" ht="42" customHeight="1">
      <c r="A16" s="25"/>
      <c r="B16" s="25"/>
      <c r="C16" s="177"/>
      <c r="D16" s="178">
        <v>7</v>
      </c>
      <c r="E16" s="180"/>
      <c r="F16" s="178">
        <v>8</v>
      </c>
      <c r="G16" s="180"/>
      <c r="H16" s="178">
        <v>9</v>
      </c>
      <c r="I16" s="180"/>
      <c r="J16" s="178">
        <v>10</v>
      </c>
      <c r="K16" s="180"/>
      <c r="L16" s="178">
        <v>11</v>
      </c>
      <c r="M16" s="180"/>
      <c r="N16" s="178">
        <v>12</v>
      </c>
      <c r="O16" s="181"/>
      <c r="P16" s="170"/>
      <c r="Q16" s="157"/>
      <c r="R16" s="168" t="s">
        <v>278</v>
      </c>
      <c r="S16" s="164"/>
      <c r="T16" s="29" t="s">
        <v>75</v>
      </c>
      <c r="U16" s="164"/>
      <c r="V16" s="29" t="s">
        <v>76</v>
      </c>
      <c r="W16" s="164"/>
      <c r="X16" s="29" t="s">
        <v>96</v>
      </c>
      <c r="Y16" s="164"/>
      <c r="Z16" s="159"/>
      <c r="AA16" s="159"/>
      <c r="AB16" s="159"/>
      <c r="AC16" s="159"/>
      <c r="AD16" s="168" t="s">
        <v>279</v>
      </c>
      <c r="AE16" s="164"/>
      <c r="AF16" s="29" t="s">
        <v>75</v>
      </c>
      <c r="AG16" s="164"/>
      <c r="AH16" s="29" t="s">
        <v>76</v>
      </c>
      <c r="AI16" s="166"/>
    </row>
    <row r="17" spans="1:35" ht="10" customHeight="1">
      <c r="A17" s="25"/>
      <c r="B17" s="25"/>
      <c r="C17" s="157"/>
      <c r="D17" s="179"/>
      <c r="E17" s="159"/>
      <c r="F17" s="179"/>
      <c r="G17" s="159"/>
      <c r="H17" s="179"/>
      <c r="I17" s="159"/>
      <c r="J17" s="179"/>
      <c r="K17" s="159"/>
      <c r="L17" s="179"/>
      <c r="M17" s="159"/>
      <c r="N17" s="179"/>
      <c r="O17" s="158"/>
      <c r="P17" s="170"/>
      <c r="Q17" s="157"/>
      <c r="R17" s="163"/>
      <c r="S17" s="159"/>
      <c r="T17" s="163"/>
      <c r="U17" s="159"/>
      <c r="V17" s="163"/>
      <c r="W17" s="159"/>
      <c r="X17" s="163"/>
      <c r="Y17" s="159"/>
      <c r="Z17" s="159"/>
      <c r="AA17" s="159"/>
      <c r="AB17" s="159"/>
      <c r="AC17" s="159"/>
      <c r="AD17" s="163"/>
      <c r="AE17" s="159"/>
      <c r="AF17" s="163"/>
      <c r="AG17" s="159"/>
      <c r="AH17" s="163"/>
      <c r="AI17" s="158"/>
    </row>
    <row r="18" spans="1:35" ht="42" customHeight="1">
      <c r="A18" s="25"/>
      <c r="B18" s="25"/>
      <c r="C18" s="177"/>
      <c r="D18" s="178">
        <v>13</v>
      </c>
      <c r="E18" s="180"/>
      <c r="F18" s="178">
        <v>14</v>
      </c>
      <c r="G18" s="180"/>
      <c r="H18" s="178">
        <v>15</v>
      </c>
      <c r="I18" s="180"/>
      <c r="J18" s="178">
        <v>16</v>
      </c>
      <c r="K18" s="180"/>
      <c r="L18" s="178">
        <v>17</v>
      </c>
      <c r="M18" s="180"/>
      <c r="N18" s="178">
        <v>18</v>
      </c>
      <c r="O18" s="181"/>
      <c r="P18" s="170"/>
      <c r="Q18" s="157"/>
      <c r="R18" s="168" t="s">
        <v>176</v>
      </c>
      <c r="S18" s="164"/>
      <c r="T18" s="29" t="s">
        <v>177</v>
      </c>
      <c r="U18" s="164"/>
      <c r="V18" s="29" t="s">
        <v>178</v>
      </c>
      <c r="W18" s="164"/>
      <c r="X18" s="29" t="s">
        <v>179</v>
      </c>
      <c r="Y18" s="164"/>
      <c r="Z18" s="29" t="s">
        <v>180</v>
      </c>
      <c r="AA18" s="164"/>
      <c r="AB18" s="29" t="s">
        <v>60</v>
      </c>
      <c r="AC18" s="164"/>
      <c r="AD18" s="29" t="s">
        <v>77</v>
      </c>
      <c r="AE18" s="164"/>
      <c r="AF18" s="29" t="s">
        <v>275</v>
      </c>
      <c r="AG18" s="164"/>
      <c r="AH18" s="159"/>
      <c r="AI18" s="158"/>
    </row>
    <row r="19" spans="1:35" s="25" customFormat="1" ht="10" customHeight="1">
      <c r="C19" s="157"/>
      <c r="D19" s="179"/>
      <c r="E19" s="159"/>
      <c r="F19" s="179"/>
      <c r="G19" s="159"/>
      <c r="H19" s="179"/>
      <c r="I19" s="159"/>
      <c r="J19" s="179"/>
      <c r="K19" s="159"/>
      <c r="L19" s="179"/>
      <c r="M19" s="159"/>
      <c r="N19" s="179"/>
      <c r="O19" s="158"/>
      <c r="P19" s="170"/>
      <c r="Q19" s="157"/>
      <c r="R19" s="163"/>
      <c r="S19" s="159"/>
      <c r="T19" s="163"/>
      <c r="U19" s="159"/>
      <c r="V19" s="163"/>
      <c r="W19" s="159"/>
      <c r="X19" s="163"/>
      <c r="Y19" s="159"/>
      <c r="Z19" s="163"/>
      <c r="AA19" s="159"/>
      <c r="AB19" s="163"/>
      <c r="AC19" s="159"/>
      <c r="AD19" s="163"/>
      <c r="AE19" s="159"/>
      <c r="AF19" s="163"/>
      <c r="AG19" s="159"/>
      <c r="AH19" s="159"/>
      <c r="AI19" s="158"/>
    </row>
    <row r="20" spans="1:35" ht="42" customHeight="1">
      <c r="A20" s="25"/>
      <c r="B20" s="25"/>
      <c r="C20" s="177"/>
      <c r="D20" s="178">
        <v>19</v>
      </c>
      <c r="E20" s="180"/>
      <c r="F20" s="178">
        <v>20</v>
      </c>
      <c r="G20" s="180"/>
      <c r="H20" s="178">
        <v>21</v>
      </c>
      <c r="I20" s="180"/>
      <c r="J20" s="178">
        <v>22</v>
      </c>
      <c r="K20" s="180"/>
      <c r="L20" s="182" t="s">
        <v>92</v>
      </c>
      <c r="M20" s="180"/>
      <c r="N20" s="182" t="s">
        <v>82</v>
      </c>
      <c r="O20" s="176"/>
      <c r="P20" s="170"/>
      <c r="Q20" s="157"/>
      <c r="R20" s="168" t="s">
        <v>116</v>
      </c>
      <c r="S20" s="164"/>
      <c r="T20" s="30" t="s">
        <v>210</v>
      </c>
      <c r="U20" s="164"/>
      <c r="V20" s="30" t="s">
        <v>211</v>
      </c>
      <c r="W20" s="164"/>
      <c r="X20" s="168" t="s">
        <v>205</v>
      </c>
      <c r="Y20" s="164"/>
      <c r="Z20" s="30" t="s">
        <v>206</v>
      </c>
      <c r="AA20" s="164"/>
      <c r="AB20" s="30" t="s">
        <v>207</v>
      </c>
      <c r="AC20" s="164"/>
      <c r="AD20" s="30" t="s">
        <v>208</v>
      </c>
      <c r="AE20" s="164"/>
      <c r="AF20" s="30" t="s">
        <v>209</v>
      </c>
      <c r="AG20" s="164"/>
      <c r="AH20" s="30" t="s">
        <v>135</v>
      </c>
      <c r="AI20" s="166"/>
    </row>
    <row r="21" spans="1:35" ht="10" customHeight="1" thickBot="1">
      <c r="A21" s="25"/>
      <c r="B21" s="25"/>
      <c r="C21" s="157"/>
      <c r="D21" s="183"/>
      <c r="E21" s="159"/>
      <c r="F21" s="183"/>
      <c r="G21" s="159"/>
      <c r="H21" s="183"/>
      <c r="I21" s="159"/>
      <c r="J21" s="183"/>
      <c r="K21" s="159"/>
      <c r="L21" s="183"/>
      <c r="M21" s="159"/>
      <c r="N21" s="184"/>
      <c r="O21" s="169"/>
      <c r="P21" s="171"/>
      <c r="Q21" s="160"/>
      <c r="R21" s="165"/>
      <c r="S21" s="161"/>
      <c r="T21" s="165"/>
      <c r="U21" s="161"/>
      <c r="V21" s="165"/>
      <c r="W21" s="161"/>
      <c r="X21" s="165"/>
      <c r="Y21" s="161"/>
      <c r="Z21" s="165"/>
      <c r="AA21" s="161"/>
      <c r="AB21" s="165"/>
      <c r="AC21" s="161"/>
      <c r="AD21" s="165"/>
      <c r="AE21" s="161"/>
      <c r="AF21" s="165"/>
      <c r="AG21" s="161"/>
      <c r="AH21" s="165"/>
      <c r="AI21" s="167"/>
    </row>
    <row r="22" spans="1:35" ht="10" customHeight="1" thickTop="1" thickBot="1">
      <c r="A22" s="25"/>
      <c r="B22" s="2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85"/>
      <c r="P22" s="25"/>
    </row>
    <row r="23" spans="1:35" ht="10" customHeight="1" thickTop="1">
      <c r="A23" s="25"/>
      <c r="B23" s="25"/>
      <c r="C23" s="154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72"/>
      <c r="O23" s="156"/>
      <c r="P23" s="25"/>
    </row>
    <row r="24" spans="1:35" ht="15" customHeight="1">
      <c r="A24" s="25"/>
      <c r="B24" s="25"/>
      <c r="C24" s="157"/>
      <c r="D24" s="209" t="s">
        <v>90</v>
      </c>
      <c r="E24" s="209"/>
      <c r="F24" s="209"/>
      <c r="G24" s="209"/>
      <c r="H24" s="209"/>
      <c r="I24" s="209"/>
      <c r="J24" s="209"/>
      <c r="K24" s="209"/>
      <c r="L24" s="209"/>
      <c r="M24" s="210"/>
      <c r="N24" s="211"/>
      <c r="O24" s="158"/>
      <c r="P24" s="25"/>
    </row>
    <row r="25" spans="1:35" s="25" customFormat="1" ht="10" customHeight="1">
      <c r="C25" s="157"/>
      <c r="D25" s="174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8"/>
    </row>
    <row r="26" spans="1:35" ht="15" customHeight="1">
      <c r="A26" s="25"/>
      <c r="B26" s="25"/>
      <c r="C26" s="186"/>
      <c r="D26" s="187" t="s">
        <v>91</v>
      </c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8"/>
      <c r="P26" s="25"/>
    </row>
    <row r="27" spans="1:35" ht="10" customHeight="1">
      <c r="A27" s="25"/>
      <c r="B27" s="25"/>
      <c r="C27" s="157"/>
      <c r="D27" s="159"/>
      <c r="E27" s="159"/>
      <c r="F27" s="174"/>
      <c r="G27" s="159"/>
      <c r="H27" s="173"/>
      <c r="I27" s="159"/>
      <c r="J27" s="173"/>
      <c r="K27" s="159"/>
      <c r="L27" s="173"/>
      <c r="M27" s="159"/>
      <c r="N27" s="173"/>
      <c r="O27" s="158"/>
      <c r="P27" s="25"/>
    </row>
    <row r="28" spans="1:35" ht="42" customHeight="1">
      <c r="A28" s="25"/>
      <c r="B28" s="25"/>
      <c r="C28" s="157"/>
      <c r="D28" s="212">
        <v>0</v>
      </c>
      <c r="E28" s="213"/>
      <c r="F28" s="214"/>
      <c r="G28" s="188"/>
      <c r="H28" s="189" t="s">
        <v>62</v>
      </c>
      <c r="I28" s="180"/>
      <c r="J28" s="190" t="s">
        <v>61</v>
      </c>
      <c r="K28" s="180"/>
      <c r="L28" s="189" t="s">
        <v>169</v>
      </c>
      <c r="M28" s="180"/>
      <c r="N28" s="191" t="s">
        <v>63</v>
      </c>
      <c r="O28" s="176"/>
      <c r="P28" s="25"/>
      <c r="R28" s="25" t="s">
        <v>117</v>
      </c>
    </row>
    <row r="29" spans="1:35" ht="90" customHeight="1" thickBot="1">
      <c r="A29" s="25"/>
      <c r="B29" s="25"/>
      <c r="C29" s="157"/>
      <c r="D29" s="159"/>
      <c r="E29" s="159"/>
      <c r="F29" s="159"/>
      <c r="G29" s="159"/>
      <c r="H29" s="183"/>
      <c r="I29" s="159"/>
      <c r="J29" s="183"/>
      <c r="K29" s="159"/>
      <c r="L29" s="183"/>
      <c r="M29" s="159"/>
      <c r="N29" s="184"/>
      <c r="O29" s="169"/>
      <c r="P29" s="25"/>
    </row>
    <row r="30" spans="1:35" ht="106" customHeight="1" thickTop="1">
      <c r="A30" s="25"/>
      <c r="B30" s="2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85"/>
      <c r="P30" s="25"/>
    </row>
    <row r="31" spans="1:35" ht="10" customHeight="1">
      <c r="A31" s="25"/>
      <c r="B31" s="25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62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92"/>
      <c r="P32" s="25"/>
    </row>
    <row r="33" spans="1:21" ht="10" customHeight="1">
      <c r="A33" s="25"/>
      <c r="B33" s="25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62"/>
      <c r="P33" s="25"/>
    </row>
    <row r="34" spans="1:21" ht="15" customHeight="1">
      <c r="A34" s="25"/>
      <c r="B34" s="25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62"/>
      <c r="P34" s="25"/>
    </row>
    <row r="35" spans="1:21" ht="13" customHeight="1">
      <c r="A35" s="25"/>
      <c r="B35" s="25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62"/>
      <c r="P35" s="25"/>
    </row>
    <row r="36" spans="1:21" ht="42" customHeight="1">
      <c r="A36" s="25"/>
      <c r="B36" s="25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62"/>
      <c r="P36" s="25"/>
    </row>
    <row r="37" spans="1:21" ht="10" customHeight="1">
      <c r="A37" s="25"/>
      <c r="B37" s="25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62"/>
      <c r="P37" s="25"/>
    </row>
    <row r="38" spans="1:21" ht="42" customHeight="1">
      <c r="A38" s="25"/>
      <c r="B38" s="25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62"/>
      <c r="P38" s="25"/>
    </row>
    <row r="39" spans="1:21" ht="10" customHeight="1">
      <c r="A39" s="25"/>
      <c r="B39" s="25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62"/>
      <c r="P39" s="25"/>
    </row>
    <row r="40" spans="1:21" ht="42" customHeight="1">
      <c r="A40" s="25"/>
      <c r="B40" s="25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62"/>
      <c r="P40" s="25"/>
      <c r="R40" s="26"/>
      <c r="S40" s="26"/>
    </row>
    <row r="41" spans="1:21" ht="10" customHeight="1">
      <c r="A41" s="25"/>
      <c r="B41" s="25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62"/>
      <c r="P41" s="25"/>
      <c r="R41" s="26"/>
      <c r="S41" s="26"/>
    </row>
    <row r="42" spans="1:21" ht="42" customHeight="1">
      <c r="A42" s="25"/>
      <c r="B42" s="25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62"/>
      <c r="P42" s="25"/>
    </row>
    <row r="43" spans="1:21" s="25" customFormat="1" ht="10" customHeight="1"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62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92"/>
      <c r="P44" s="25"/>
    </row>
    <row r="45" spans="1:21" ht="10" customHeight="1">
      <c r="A45" s="25"/>
      <c r="B45" s="25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62"/>
      <c r="P45" s="25"/>
      <c r="Q45" s="27"/>
      <c r="T45" s="26"/>
      <c r="U45" s="26"/>
    </row>
    <row r="46" spans="1:21" ht="15" customHeight="1">
      <c r="A46" s="25"/>
      <c r="B46" s="25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62"/>
      <c r="P46" s="25"/>
      <c r="U46" s="26"/>
    </row>
    <row r="47" spans="1:21" ht="11" customHeight="1">
      <c r="A47" s="25"/>
      <c r="B47" s="25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2"/>
      <c r="P47" s="25"/>
      <c r="U47" s="26"/>
    </row>
    <row r="48" spans="1:21">
      <c r="A48" s="25"/>
      <c r="B48" s="25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62"/>
      <c r="P48" s="25"/>
      <c r="Q48" s="25" t="s">
        <v>117</v>
      </c>
      <c r="U48" s="26"/>
    </row>
    <row r="49" spans="1:18" ht="6" customHeight="1">
      <c r="A49" s="25"/>
      <c r="B49" s="25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62"/>
      <c r="P49" s="25"/>
    </row>
    <row r="50" spans="1:18" ht="42" customHeight="1">
      <c r="A50" s="25"/>
      <c r="B50" s="25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62"/>
      <c r="P50" s="25"/>
    </row>
    <row r="51" spans="1:18" ht="93" customHeight="1">
      <c r="A51" s="25"/>
      <c r="B51" s="25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5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270</v>
      </c>
      <c r="B1" t="s">
        <v>57</v>
      </c>
      <c r="C1" t="s">
        <v>64</v>
      </c>
      <c r="D1" t="s">
        <v>219</v>
      </c>
      <c r="E1" t="s">
        <v>65</v>
      </c>
      <c r="F1" t="s">
        <v>267</v>
      </c>
      <c r="G1" t="s">
        <v>194</v>
      </c>
      <c r="H1" t="s">
        <v>66</v>
      </c>
      <c r="I1" t="s">
        <v>67</v>
      </c>
      <c r="J1" t="s">
        <v>250</v>
      </c>
      <c r="K1" t="s">
        <v>251</v>
      </c>
      <c r="L1" t="s">
        <v>252</v>
      </c>
      <c r="M1" t="s">
        <v>106</v>
      </c>
      <c r="N1" t="s">
        <v>253</v>
      </c>
      <c r="O1" t="s">
        <v>254</v>
      </c>
      <c r="P1" t="s">
        <v>265</v>
      </c>
      <c r="Q1" t="s">
        <v>268</v>
      </c>
    </row>
    <row r="2" spans="1:17" s="25" customFormat="1">
      <c r="A2" s="120"/>
      <c r="B2"/>
      <c r="C2"/>
      <c r="D2"/>
      <c r="E2"/>
      <c r="F2"/>
      <c r="G2"/>
      <c r="H2"/>
      <c r="I2" s="153"/>
      <c r="J2"/>
      <c r="K2"/>
      <c r="L2" s="15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53" t="str">
        <f>"Stats par joueur - Match "&amp;IF('Compo'!C14="Aller","A",IF('Compo'!C14="Retour","R","PF"))&amp;'Compo'!C16&amp;IF('Compo'!C12="Extérieur"," : "&amp;'Compo'!C10&amp;" / MXV"," : MXV / "&amp;'Compo'!C10)&amp;" "&amp;'Compo'!C20</f>
        <v xml:space="preserve">Stats par joueur - Match PF : MXV /  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5"/>
    </row>
    <row r="4" spans="2:31" s="25" customFormat="1">
      <c r="B4" s="256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8"/>
    </row>
    <row r="5" spans="2:31" s="25" customFormat="1"/>
    <row r="6" spans="2:31" ht="14" customHeight="1">
      <c r="B6" s="238" t="s">
        <v>64</v>
      </c>
      <c r="C6" s="240" t="str">
        <f>ACT_PL_NORMAL</f>
        <v>Plaquage normal</v>
      </c>
      <c r="D6" s="241"/>
      <c r="E6" s="240" t="str">
        <f>ACT_PL_OFF</f>
        <v>Plaquage offensif</v>
      </c>
      <c r="F6" s="241"/>
      <c r="G6" s="240" t="str">
        <f>ACT_PL_RATE</f>
        <v>Plaquage raté</v>
      </c>
      <c r="H6" s="241"/>
      <c r="I6" s="240" t="str">
        <f>ACT_PL_A2</f>
        <v>Plaquage à 2</v>
      </c>
      <c r="J6" s="246"/>
      <c r="K6" s="246" t="str">
        <f>ACT_PL_HAUT</f>
        <v>Plaquage haut</v>
      </c>
      <c r="L6" s="241"/>
      <c r="M6" s="246" t="str">
        <f>ACT_GRATTAGE</f>
        <v>Grattage</v>
      </c>
      <c r="N6" s="241"/>
      <c r="O6" s="248" t="s">
        <v>288</v>
      </c>
      <c r="P6" s="249"/>
      <c r="Q6" s="249"/>
      <c r="R6" s="249"/>
      <c r="S6" s="249"/>
      <c r="T6" s="250"/>
      <c r="Z6"/>
      <c r="AA6"/>
    </row>
    <row r="7" spans="2:31" ht="13" customHeight="1">
      <c r="B7" s="239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251">
        <f t="shared" si="0"/>
        <v>0</v>
      </c>
      <c r="P32" s="251">
        <f t="shared" si="0"/>
        <v>0</v>
      </c>
      <c r="Q32" s="251">
        <f t="shared" si="0"/>
        <v>0</v>
      </c>
      <c r="R32" s="251">
        <f t="shared" si="0"/>
        <v>0</v>
      </c>
      <c r="S32" s="251">
        <f t="shared" si="0"/>
        <v>0</v>
      </c>
      <c r="T32" s="251">
        <f t="shared" si="0"/>
        <v>0</v>
      </c>
    </row>
    <row r="33" spans="2:20" s="69" customFormat="1" ht="25" customHeight="1">
      <c r="B33" s="83" t="s">
        <v>229</v>
      </c>
      <c r="C33" s="221">
        <f>C32+D32</f>
        <v>0</v>
      </c>
      <c r="D33" s="222"/>
      <c r="E33" s="244">
        <f t="shared" ref="E33" si="1">E32+F32</f>
        <v>0</v>
      </c>
      <c r="F33" s="244"/>
      <c r="G33" s="221">
        <f t="shared" ref="G33" si="2">G32+H32</f>
        <v>0</v>
      </c>
      <c r="H33" s="222"/>
      <c r="I33" s="221">
        <f>I32+J32</f>
        <v>0</v>
      </c>
      <c r="J33" s="222"/>
      <c r="K33" s="221">
        <f t="shared" ref="K33" si="3">K32+L32</f>
        <v>0</v>
      </c>
      <c r="L33" s="222"/>
      <c r="M33" s="244">
        <f t="shared" ref="M33" si="4">M32+N32</f>
        <v>0</v>
      </c>
      <c r="N33" s="222"/>
      <c r="O33" s="252"/>
      <c r="P33" s="252"/>
      <c r="Q33" s="252"/>
      <c r="R33" s="252"/>
      <c r="S33" s="252"/>
      <c r="T33" s="252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266</v>
      </c>
      <c r="E36" s="85" t="s">
        <v>195</v>
      </c>
      <c r="F36" s="25"/>
      <c r="G36" s="240" t="s">
        <v>224</v>
      </c>
      <c r="H36" s="241"/>
      <c r="J36" s="240" t="s">
        <v>78</v>
      </c>
      <c r="K36" s="240" t="s">
        <v>198</v>
      </c>
      <c r="L36" s="246"/>
      <c r="M36" s="241"/>
      <c r="N36" s="241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45"/>
      <c r="K37" s="98" t="s">
        <v>204</v>
      </c>
      <c r="L37" s="94" t="s">
        <v>223</v>
      </c>
      <c r="M37" s="99" t="s">
        <v>82</v>
      </c>
      <c r="N37" s="247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266</v>
      </c>
      <c r="E40" s="85" t="s">
        <v>195</v>
      </c>
      <c r="F40" s="25"/>
      <c r="G40" s="240" t="s">
        <v>200</v>
      </c>
      <c r="H40" s="241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27" t="s">
        <v>31</v>
      </c>
      <c r="K42" s="228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25" t="s">
        <v>33</v>
      </c>
      <c r="K43" s="226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</row>
    <row r="44" spans="2:20" ht="14">
      <c r="B44" s="25"/>
      <c r="C44" s="84" t="s">
        <v>289</v>
      </c>
      <c r="D44" s="84" t="s">
        <v>266</v>
      </c>
      <c r="E44" s="85" t="s">
        <v>195</v>
      </c>
      <c r="F44" s="25"/>
      <c r="G44" s="240" t="s">
        <v>293</v>
      </c>
      <c r="H44" s="241"/>
      <c r="I44" s="25"/>
      <c r="J44" s="227" t="s">
        <v>35</v>
      </c>
      <c r="K44" s="228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25" t="s">
        <v>37</v>
      </c>
      <c r="K45" s="226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227" t="s">
        <v>39</v>
      </c>
      <c r="K46" s="228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294</v>
      </c>
      <c r="H47" s="108">
        <v>0</v>
      </c>
      <c r="I47" s="25"/>
      <c r="J47" s="225" t="s">
        <v>220</v>
      </c>
      <c r="K47" s="226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290</v>
      </c>
      <c r="D48" s="84" t="s">
        <v>266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29" t="s">
        <v>291</v>
      </c>
      <c r="C56" s="230"/>
      <c r="D56" s="230"/>
      <c r="E56" s="230"/>
      <c r="F56" s="230"/>
      <c r="G56" s="230"/>
      <c r="H56" s="230"/>
      <c r="I56" s="230"/>
      <c r="J56" s="230"/>
      <c r="K56" s="231"/>
    </row>
    <row r="57" spans="2:14" s="25" customFormat="1">
      <c r="B57" s="232"/>
      <c r="C57" s="233"/>
      <c r="D57" s="233"/>
      <c r="E57" s="233"/>
      <c r="F57" s="233"/>
      <c r="G57" s="233"/>
      <c r="H57" s="233"/>
      <c r="I57" s="233"/>
      <c r="J57" s="233"/>
      <c r="K57" s="234"/>
    </row>
    <row r="58" spans="2:14" s="25" customFormat="1" ht="14" thickBot="1">
      <c r="B58" s="235"/>
      <c r="C58" s="236"/>
      <c r="D58" s="236"/>
      <c r="E58" s="236"/>
      <c r="F58" s="236"/>
      <c r="G58" s="236"/>
      <c r="H58" s="236"/>
      <c r="I58" s="236"/>
      <c r="J58" s="236"/>
      <c r="K58" s="237"/>
    </row>
    <row r="59" spans="2:14" s="25" customFormat="1"/>
    <row r="60" spans="2:14" s="25" customFormat="1" ht="14">
      <c r="B60" s="238" t="s">
        <v>64</v>
      </c>
      <c r="C60" s="240" t="str">
        <f>ACT_TO_NS_G</f>
        <v>Touche à nous conservée</v>
      </c>
      <c r="D60" s="241"/>
      <c r="E60" s="240" t="str">
        <f>ACT_TO_ADV_VOLEE</f>
        <v>Touche à eux volée</v>
      </c>
      <c r="F60" s="241"/>
      <c r="H60" s="242" t="str">
        <f>ACT_TO_NS_P</f>
        <v>Touche à nous perdue</v>
      </c>
      <c r="I60" s="243"/>
      <c r="J60" s="242" t="str">
        <f>ACT_TO_NS_PAS_DROIT</f>
        <v>Touche à nous pas droite</v>
      </c>
      <c r="K60" s="243"/>
    </row>
    <row r="61" spans="2:14" s="25" customFormat="1" ht="14">
      <c r="B61" s="239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21">
        <f>C86+D86</f>
        <v>0</v>
      </c>
      <c r="D87" s="222"/>
      <c r="E87" s="221">
        <f>E86+F86</f>
        <v>0</v>
      </c>
      <c r="F87" s="222"/>
      <c r="H87" s="223">
        <f>H86+I86</f>
        <v>0</v>
      </c>
      <c r="I87" s="224"/>
      <c r="J87" s="223">
        <f>J86+K86</f>
        <v>0</v>
      </c>
      <c r="K87" s="224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300</v>
      </c>
      <c r="C92" s="113" t="s">
        <v>98</v>
      </c>
      <c r="D92" s="114" t="s">
        <v>164</v>
      </c>
    </row>
    <row r="93" spans="2:11" s="25" customFormat="1" ht="16">
      <c r="B93" s="115" t="s">
        <v>295</v>
      </c>
      <c r="C93" s="112">
        <v>0</v>
      </c>
      <c r="D93" s="116">
        <v>0</v>
      </c>
    </row>
    <row r="94" spans="2:11" s="25" customFormat="1" ht="16">
      <c r="B94" s="115" t="s">
        <v>296</v>
      </c>
      <c r="C94" s="112">
        <v>0</v>
      </c>
      <c r="D94" s="116">
        <v>0</v>
      </c>
    </row>
    <row r="95" spans="2:11" s="25" customFormat="1" ht="16">
      <c r="B95" s="115" t="s">
        <v>297</v>
      </c>
      <c r="C95" s="112">
        <v>0</v>
      </c>
      <c r="D95" s="116">
        <v>0</v>
      </c>
    </row>
    <row r="96" spans="2:11" s="25" customFormat="1" ht="16">
      <c r="B96" s="115" t="s">
        <v>298</v>
      </c>
      <c r="C96" s="112">
        <v>0</v>
      </c>
      <c r="D96" s="116">
        <v>0</v>
      </c>
    </row>
    <row r="97" spans="2:4" s="25" customFormat="1" ht="17" thickBot="1">
      <c r="B97" s="117" t="s">
        <v>299</v>
      </c>
      <c r="C97" s="118">
        <v>0</v>
      </c>
      <c r="D97" s="119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12" priority="6" stopIfTrue="1">
      <formula>ISEVEN(ROW())</formula>
    </cfRule>
  </conditionalFormatting>
  <conditionalFormatting sqref="B62:B85">
    <cfRule type="expression" dxfId="11" priority="5" stopIfTrue="1">
      <formula>ISEVEN(ROW())</formula>
    </cfRule>
  </conditionalFormatting>
  <conditionalFormatting sqref="C62:D85">
    <cfRule type="expression" dxfId="10" priority="4" stopIfTrue="1">
      <formula>ISEVEN(ROW())</formula>
    </cfRule>
  </conditionalFormatting>
  <conditionalFormatting sqref="H62:I85">
    <cfRule type="expression" dxfId="9" priority="3" stopIfTrue="1">
      <formula>ISEVEN(ROW())</formula>
    </cfRule>
  </conditionalFormatting>
  <conditionalFormatting sqref="J62:K85">
    <cfRule type="expression" dxfId="8" priority="2" stopIfTrue="1">
      <formula>ISEVEN(ROW())</formula>
    </cfRule>
  </conditionalFormatting>
  <conditionalFormatting sqref="E62:F85">
    <cfRule type="expression" dxfId="7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>
      <selection sqref="A1:A10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242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243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244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245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246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/>
      <c r="D10" s="44"/>
      <c r="F10" s="42" t="s">
        <v>159</v>
      </c>
      <c r="G10" s="33"/>
      <c r="I10" s="73" t="s">
        <v>269</v>
      </c>
      <c r="Q10" s="43" t="s">
        <v>139</v>
      </c>
      <c r="R10" s="43" t="s">
        <v>110</v>
      </c>
    </row>
    <row r="11" spans="3:18" s="40" customFormat="1" ht="30" customHeight="1">
      <c r="C11" s="44" t="s">
        <v>247</v>
      </c>
      <c r="D11" s="44"/>
      <c r="F11" s="45" t="s">
        <v>303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233</v>
      </c>
      <c r="D12" s="44"/>
      <c r="F12" s="42" t="s">
        <v>304</v>
      </c>
      <c r="G12" s="122"/>
      <c r="Q12" s="46" t="s">
        <v>276</v>
      </c>
      <c r="R12" s="46" t="s">
        <v>277</v>
      </c>
    </row>
    <row r="13" spans="3:18" s="40" customFormat="1" ht="30" customHeight="1">
      <c r="C13" s="44" t="s">
        <v>248</v>
      </c>
      <c r="D13" s="44"/>
      <c r="F13" s="45" t="s">
        <v>305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249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/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 t="s">
        <v>257</v>
      </c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258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259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260</v>
      </c>
      <c r="D19" s="44"/>
      <c r="I19" s="40" t="s">
        <v>271</v>
      </c>
      <c r="Q19" s="45" t="s">
        <v>145</v>
      </c>
      <c r="R19" s="93" t="s">
        <v>107</v>
      </c>
    </row>
    <row r="20" spans="3:18" ht="30" customHeight="1">
      <c r="C20" s="44" t="s">
        <v>261</v>
      </c>
      <c r="D20" s="44"/>
      <c r="I20" s="40" t="s">
        <v>272</v>
      </c>
      <c r="Q20" s="45" t="s">
        <v>146</v>
      </c>
      <c r="R20" s="93" t="s">
        <v>104</v>
      </c>
    </row>
    <row r="21" spans="3:18" ht="30" customHeight="1">
      <c r="C21" s="44"/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274</v>
      </c>
      <c r="R37" s="53" t="s">
        <v>275</v>
      </c>
    </row>
    <row r="38" spans="17:18" ht="30" customHeight="1">
      <c r="Q38" s="46" t="s">
        <v>280</v>
      </c>
      <c r="R38" s="46" t="s">
        <v>281</v>
      </c>
    </row>
    <row r="39" spans="17:18" ht="30" customHeight="1">
      <c r="Q39" s="46" t="s">
        <v>282</v>
      </c>
      <c r="R39" s="46" t="s">
        <v>283</v>
      </c>
    </row>
    <row r="40" spans="17:18" ht="30" customHeight="1">
      <c r="Q40" s="46" t="s">
        <v>284</v>
      </c>
      <c r="R40" s="46" t="s">
        <v>285</v>
      </c>
    </row>
    <row r="41" spans="17:18" ht="30" customHeight="1">
      <c r="Q41" s="53" t="s">
        <v>286</v>
      </c>
      <c r="R41" s="53" t="s">
        <v>287</v>
      </c>
    </row>
    <row r="42" spans="17:18" ht="30" customHeight="1">
      <c r="Q42" s="53" t="s">
        <v>306</v>
      </c>
      <c r="R42" s="53" t="s">
        <v>307</v>
      </c>
    </row>
    <row r="43" spans="17:18" ht="30" customHeight="1">
      <c r="Q43" s="53" t="s">
        <v>308</v>
      </c>
      <c r="R43" s="53" t="s">
        <v>309</v>
      </c>
    </row>
    <row r="44" spans="17:18" ht="30" customHeight="1">
      <c r="Q44" s="53" t="s">
        <v>310</v>
      </c>
      <c r="R44" s="53" t="s">
        <v>311</v>
      </c>
    </row>
    <row r="45" spans="17:18" ht="30" customHeight="1">
      <c r="Q45" s="53" t="s">
        <v>312</v>
      </c>
      <c r="R45" s="53" t="s">
        <v>318</v>
      </c>
    </row>
    <row r="46" spans="17:18" ht="30" customHeight="1">
      <c r="Q46" s="53" t="s">
        <v>313</v>
      </c>
      <c r="R46" s="53" t="s">
        <v>319</v>
      </c>
    </row>
    <row r="47" spans="17:18" ht="30" customHeight="1">
      <c r="Q47" s="53" t="s">
        <v>314</v>
      </c>
      <c r="R47" s="53" t="s">
        <v>320</v>
      </c>
    </row>
    <row r="48" spans="17:18" ht="30" customHeight="1">
      <c r="Q48" s="53" t="s">
        <v>315</v>
      </c>
      <c r="R48" s="53" t="s">
        <v>321</v>
      </c>
    </row>
    <row r="49" spans="17:18" ht="30" customHeight="1">
      <c r="Q49" s="53" t="s">
        <v>316</v>
      </c>
      <c r="R49" s="53" t="s">
        <v>322</v>
      </c>
    </row>
    <row r="50" spans="17:18" ht="30" customHeight="1">
      <c r="Q50" s="53" t="s">
        <v>317</v>
      </c>
      <c r="R50" s="53" t="s">
        <v>323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3" t="s">
        <v>127</v>
      </c>
      <c r="D5" s="273"/>
      <c r="E5" s="273"/>
      <c r="F5" s="273"/>
      <c r="G5" s="273"/>
    </row>
    <row r="6" spans="3:7" ht="14" thickBot="1"/>
    <row r="7" spans="3:7">
      <c r="C7" s="263"/>
      <c r="D7" s="264"/>
      <c r="E7" s="264"/>
      <c r="F7" s="264"/>
      <c r="G7" s="265"/>
    </row>
    <row r="8" spans="3:7">
      <c r="C8" s="266"/>
      <c r="D8" s="262"/>
      <c r="E8" s="262"/>
      <c r="F8" s="262"/>
      <c r="G8" s="267"/>
    </row>
    <row r="9" spans="3:7">
      <c r="C9" s="268" t="s">
        <v>125</v>
      </c>
      <c r="D9" s="272"/>
      <c r="E9" s="262"/>
      <c r="F9" s="262"/>
      <c r="G9" s="267"/>
    </row>
    <row r="10" spans="3:7">
      <c r="C10" s="268"/>
      <c r="D10" s="262"/>
      <c r="E10" s="262"/>
      <c r="F10" s="262"/>
      <c r="G10" s="267"/>
    </row>
    <row r="11" spans="3:7">
      <c r="C11" s="268" t="s">
        <v>126</v>
      </c>
      <c r="D11" s="272"/>
      <c r="E11" s="262"/>
      <c r="F11" s="262"/>
      <c r="G11" s="267"/>
    </row>
    <row r="12" spans="3:7">
      <c r="C12" s="266"/>
      <c r="D12" s="262"/>
      <c r="E12" s="262"/>
      <c r="F12" s="262"/>
      <c r="G12" s="267"/>
    </row>
    <row r="13" spans="3:7" ht="14" thickBot="1">
      <c r="C13" s="269"/>
      <c r="D13" s="270"/>
      <c r="E13" s="270"/>
      <c r="F13" s="270"/>
      <c r="G13" s="271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2026-08-20T14:07:28Z</dcterms:modified>
</cp:coreProperties>
</file>