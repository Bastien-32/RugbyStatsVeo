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B8BE4A30-0B23-4348-8134-E3CC5CEBC6C4}" xr6:coauthVersionLast="47" xr6:coauthVersionMax="47" xr10:uidLastSave="{00000000-0000-0000-0000-000000000000}"/>
  <bookViews>
    <workbookView xWindow="13020" yWindow="660" windowWidth="21540" windowHeight="19400" activeTab="3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Melees'!$AC$192:$AC$197</definedName>
    <definedName name="LST_TM_BALLON">'Touches Melees'!$AA$192:$AA$193</definedName>
    <definedName name="LST_TM_BALLON_LONG">'Touches Melees'!$AF$192:$AF$193</definedName>
    <definedName name="LST_TM_ISSUE_MELEE">'Touches Melees'!$Y$192:$Y$193</definedName>
    <definedName name="LST_TM_ISSUE_TOUCHE">'Touches Melees'!$X$192:$X$194</definedName>
    <definedName name="LST_TM_LANCE_POUR">'Touches Melees'!$W$192:$W$193</definedName>
    <definedName name="LST_TM_UTILISATION">'Touches Melees'!$AE$192:$AE$194</definedName>
    <definedName name="LST_TM_ZONE_LARGEUR">'Touches Melees'!$AD$192:$AD$194</definedName>
    <definedName name="LST_TM_ZONE_LONGUEUR">'Touches Melees'!$AB$192:$AB$202</definedName>
    <definedName name="LST_TM_ZONE_SAUT">'Touches Melees'!$Z$192:$Z$196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B1" i="2"/>
  <c r="F73" i="3"/>
  <c r="E73" i="3"/>
  <c r="I38" i="12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<sst xmlns="http://schemas.openxmlformats.org/spreadsheetml/2006/main" count="1106" uniqueCount="662">
  <si>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</si>
  <si>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</si>
  <si>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</si>
  <si>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</si>
  <si>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</si>
  <si>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</si>
  <si>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</si>
  <si>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</si>
  <si>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</si>
  <si>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</si>
  <si>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</si>
  <si>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</si>
  <si>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</si>
  <si>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</si>
  <si>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</si>
  <si>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</si>
  <si>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</si>
  <si>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</si>
  <si>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</si>
  <si>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</si>
  <si>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</si>
  <si>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</si>
  <si>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</si>
  <si>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</si>
  <si>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</si>
  <si>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</si>
  <si>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</si>
  <si>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</si>
  <si>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</si>
  <si>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</si>
  <si>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</si>
  <si>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</si>
  <si>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</si>
  <si>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</si>
  <si>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</si>
  <si>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</si>
  <si>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</si>
  <si>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</si>
  <si>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</si>
  <si>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</si>
  <si>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</si>
  <si>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</si>
  <si>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</si>
  <si>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</si>
  <si>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</si>
  <si>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</si>
  <si>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</si>
  <si>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</si>
  <si>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</si>
  <si>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</si>
  <si>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</si>
  <si>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</si>
  <si>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</si>
  <si>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</si>
  <si>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</si>
  <si>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</si>
  <si>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</si>
  <si>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</si>
  <si>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</si>
  <si>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</si>
  <si>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</si>
  <si>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</si>
  <si>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</si>
  <si>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</si>
  <si>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</si>
  <si>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</si>
  <si>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</si>
  <si>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</si>
  <si>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</si>
  <si>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</si>
  <si>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</si>
  <si>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</si>
  <si>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</si>
  <si>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</si>
  <si>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</si>
  <si>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</si>
  <si>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</si>
  <si>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</si>
  <si>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</si>
  <si>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</si>
  <si>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</si>
  <si>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</si>
  <si>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</si>
  <si>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</si>
  <si>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</si>
  <si>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</si>
  <si>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</si>
  <si>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</si>
  <si>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</si>
  <si>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</si>
  <si>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</si>
  <si>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</si>
  <si>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</si>
  <si>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</si>
  <si>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</si>
  <si>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</si>
  <si>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</si>
  <si>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</si>
  <si>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</si>
  <si>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</si>
  <si>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</si>
  <si>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</si>
  <si>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</si>
  <si>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</si>
  <si>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</si>
  <si>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</si>
  <si>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</si>
  <si>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</si>
  <si>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</si>
  <si>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</si>
  <si>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</si>
  <si>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</si>
  <si>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</si>
  <si>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</si>
  <si>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</si>
  <si>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</si>
  <si>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</si>
  <si>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</si>
  <si>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</si>
  <si>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</si>
  <si>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</si>
  <si>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</si>
  <si>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</si>
  <si>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</si>
  <si>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</si>
  <si>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</si>
  <si>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</si>
  <si>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</si>
  <si>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</si>
  <si>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</si>
  <si>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</si>
  <si>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</si>
  <si>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</si>
  <si>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</si>
  <si>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</si>
  <si>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</si>
  <si>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</si>
  <si>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</si>
  <si>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</si>
  <si>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</si>
  <si>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</si>
  <si>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</si>
  <si>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</si>
  <si>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</si>
  <si>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</si>
  <si>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</si>
  <si>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</si>
  <si>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</si>
  <si>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</si>
  <si>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</si>
  <si>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</si>
  <si>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</si>
  <si>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</si>
  <si>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</si>
  <si>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</si>
  <si>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</si>
  <si>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</si>
  <si>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</si>
  <si>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</si>
  <si>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</si>
  <si>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</si>
  <si>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</si>
  <si>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</si>
  <si>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</si>
  <si>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</si>
  <si>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</si>
  <si>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</si>
  <si>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</si>
  <si>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</si>
  <si>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</si>
  <si>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</si>
  <si>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</si>
  <si>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</si>
  <si>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</si>
  <si>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</si>
  <si>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</si>
  <si>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</si>
  <si>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</si>
  <si>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</si>
  <si>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</si>
  <si>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</si>
  <si>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</si>
  <si>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</si>
  <si>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</si>
  <si>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</si>
  <si>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</si>
  <si>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</si>
  <si>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</si>
  <si>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</si>
  <si>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</si>
  <si>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</si>
  <si>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</si>
  <si>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</si>
  <si>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</si>
  <si>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</si>
  <si>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</si>
  <si>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</si>
  <si>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</si>
  <si>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</si>
  <si>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</si>
  <si>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</si>
  <si>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</si>
  <si>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</si>
  <si>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</si>
  <si>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</si>
  <si>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</si>
  <si>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</si>
  <si>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</si>
  <si>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</si>
  <si>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</si>
  <si>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</si>
  <si>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</si>
  <si>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</si>
  <si>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</si>
  <si>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</si>
  <si>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</si>
  <si>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</si>
  <si>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</si>
  <si>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</si>
  <si>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</si>
  <si>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</si>
  <si>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</si>
  <si>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</si>
  <si>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</si>
  <si>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</si>
  <si>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</si>
  <si>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</si>
  <si>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</si>
  <si>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</si>
  <si>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</si>
  <si>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</si>
  <si>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</si>
  <si>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</si>
  <si>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</si>
  <si>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</si>
  <si>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</si>
  <si>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</si>
  <si>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</si>
  <si>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</si>
  <si>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</si>
  <si>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</si>
  <si>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</si>
  <si>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</si>
  <si>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</si>
  <si>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</si>
  <si>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</si>
  <si>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</si>
  <si>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</si>
  <si>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</si>
  <si>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</si>
  <si>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</si>
  <si>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</si>
  <si>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</si>
  <si>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</si>
  <si>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</si>
  <si>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</si>
  <si>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</si>
  <si>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</si>
  <si>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</si>
  <si>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</si>
  <si>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</si>
  <si>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</si>
  <si>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</si>
  <si>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</si>
  <si>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</si>
  <si>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</si>
  <si>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</si>
  <si>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</si>
  <si>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</si>
  <si>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</si>
  <si>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</si>
  <si>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</si>
  <si>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</si>
  <si>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</si>
  <si>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</si>
  <si>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</si>
  <si>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</si>
  <si>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</si>
  <si>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</si>
  <si>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</si>
  <si>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</si>
  <si>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</si>
  <si>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</si>
  <si>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</si>
  <si>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</si>
  <si>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</si>
  <si>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</si>
  <si>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</si>
  <si>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</si>
  <si>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</si>
  <si>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</si>
  <si>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</si>
  <si>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</si>
  <si>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</si>
  <si>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</si>
  <si>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</si>
  <si>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</si>
  <si>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</si>
  <si>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</si>
  <si>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</si>
  <si>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</si>
  <si>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</si>
  <si>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</si>
  <si>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</si>
  <si>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</si>
  <si>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</si>
  <si>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</si>
  <si>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</si>
  <si>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</si>
  <si>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</si>
  <si>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</si>
  <si>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</si>
  <si>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</si>
  <si>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</si>
  <si>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</si>
  <si>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</si>
  <si>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</si>
  <si>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</si>
  <si>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</si>
  <si>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</si>
  <si>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</si>
  <si>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</si>
  <si>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</si>
  <si>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</si>
  <si>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</si>
  <si>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</si>
  <si>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</si>
  <si>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</si>
  <si>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</si>
  <si>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</si>
  <si>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</si>
  <si>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</si>
  <si>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</si>
  <si>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</si>
  <si>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</si>
  <si>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</si>
  <si>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</si>
  <si>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</si>
  <si>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</si>
  <si>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</si>
  <si>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</si>
  <si>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</si>
  <si>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</si>
  <si>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</si>
  <si>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</si>
  <si>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</si>
  <si>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</si>
  <si>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</si>
  <si>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</si>
  <si>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</si>
  <si>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</si>
  <si>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</si>
  <si>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</si>
  <si>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</si>
  <si>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</si>
  <si>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</si>
  <si>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</si>
  <si>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</si>
  <si>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</si>
  <si>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</si>
  <si>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</si>
  <si>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</si>
  <si>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</si>
  <si>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</si>
  <si>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</si>
  <si>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</si>
  <si>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</si>
  <si>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</si>
  <si>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</si>
  <si>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</si>
  <si>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</si>
  <si>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</si>
  <si>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</si>
  <si>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</si>
  <si>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</si>
  <si>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</si>
  <si>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</si>
  <si>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</si>
  <si>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</si>
  <si>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</si>
  <si>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</si>
  <si>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</si>
  <si>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</si>
  <si>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</si>
  <si>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</si>
  <si>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</si>
  <si>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</si>
  <si>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</si>
  <si>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</si>
  <si>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</si>
  <si>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</si>
  <si>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</si>
  <si>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</si>
  <si>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</si>
  <si>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</si>
  <si>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</si>
  <si>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</si>
  <si>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</si>
  <si>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</si>
  <si>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</si>
  <si>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</si>
  <si>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</si>
  <si>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</si>
  <si>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</si>
  <si>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</si>
  <si>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</si>
  <si>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</si>
  <si>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</si>
  <si>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</si>
  <si>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</si>
  <si>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</si>
  <si>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</si>
  <si>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</si>
  <si>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</si>
  <si>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</si>
  <si>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</si>
  <si>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</si>
  <si>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</si>
  <si>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</si>
  <si>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</si>
  <si>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</si>
  <si>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</si>
  <si>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</si>
  <si>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</si>
  <si>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</si>
  <si>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</si>
  <si>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</si>
  <si>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</si>
  <si>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</si>
  <si>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</si>
  <si>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</si>
  <si>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</si>
  <si>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</si>
  <si>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</si>
  <si>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</si>
  <si>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</si>
  <si>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</si>
  <si>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</si>
  <si>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</si>
  <si>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</si>
  <si>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</si>
  <si>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</si>
  <si>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</si>
  <si>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</si>
  <si>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</si>
  <si>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</si>
  <si>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</si>
  <si>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</si>
  <si>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</si>
  <si>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</si>
  <si>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</si>
  <si>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</si>
  <si>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</si>
  <si>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</si>
  <si>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</si>
  <si>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</si>
  <si>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</si>
  <si>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</si>
  <si>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</si>
  <si>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</si>
  <si>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</si>
  <si>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</si>
  <si>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</si>
  <si>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</si>
  <si>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</si>
  <si>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</si>
  <si>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</si>
  <si>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</si>
  <si>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</si>
  <si>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</si>
  <si>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</si>
  <si>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</si>
  <si>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</si>
  <si>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</si>
  <si>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</si>
  <si>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</si>
  <si>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</si>
  <si>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</si>
  <si>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</si>
  <si>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</si>
  <si>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</si>
  <si>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</si>
  <si>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</si>
  <si>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</si>
  <si>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</si>
  <si>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</si>
  <si>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</si>
  <si>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</si>
  <si>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</si>
  <si>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</si>
  <si>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</si>
  <si>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</si>
  <si>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</si>
  <si>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</si>
  <si>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</si>
  <si>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</si>
  <si>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</si>
  <si>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</si>
  <si>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</si>
  <si>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</si>
  <si>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</si>
  <si>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</si>
  <si>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</si>
  <si>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</si>
  <si>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</si>
  <si>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</si>
  <si>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</si>
  <si>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</si>
  <si>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</si>
  <si>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</si>
  <si>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</si>
  <si>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</si>
  <si>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</si>
  <si>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</si>
  <si>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</si>
  <si>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</si>
  <si>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</si>
  <si>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</si>
  <si>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</si>
  <si>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</si>
  <si>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</si>
  <si>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</si>
  <si>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</si>
  <si>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</si>
  <si>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</si>
  <si>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</si>
  <si>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</si>
  <si>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</si>
  <si>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</si>
  <si>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</si>
  <si>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</si>
  <si>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</si>
  <si>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</si>
  <si>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</si>
  <si>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</si>
  <si>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</si>
  <si>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</si>
  <si>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</si>
  <si>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</si>
  <si>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</si>
  <si>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</si>
  <si>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</si>
  <si>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</si>
  <si>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</si>
  <si>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</si>
  <si>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</si>
  <si>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</si>
  <si>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</si>
  <si>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</si>
  <si>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</si>
  <si>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</si>
  <si>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</si>
  <si>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</si>
  <si>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</si>
  <si>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</si>
  <si>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</si>
  <si>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</si>
  <si>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</si>
  <si>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</si>
  <si>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</si>
  <si>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</si>
  <si>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</si>
  <si>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</si>
  <si>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</si>
  <si>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</si>
  <si>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</si>
  <si>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</si>
  <si>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</si>
  <si>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</si>
  <si>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</si>
  <si>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</si>
  <si>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</si>
  <si>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</si>
  <si>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</si>
  <si>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</si>
  <si>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</si>
  <si>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</si>
  <si>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</si>
  <si>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</si>
  <si>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</si>
  <si>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</si>
  <si>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</si>
  <si>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</si>
  <si>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</si>
  <si>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</si>
  <si>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</si>
  <si>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</si>
  <si>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</si>
  <si>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</si>
  <si>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</si>
  <si>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</si>
  <si>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</si>
  <si>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</si>
  <si>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</si>
  <si>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</si>
  <si>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</si>
  <si>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</si>
  <si>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</si>
  <si>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</si>
  <si>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</si>
  <si>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</si>
  <si>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</si>
  <si>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</si>
  <si>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</si>
  <si>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</si>
  <si>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</si>
  <si>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</si>
  <si>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</si>
  <si>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</si>
  <si>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</si>
  <si>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</si>
  <si>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</si>
  <si>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</si>
  <si>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</si>
  <si>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</si>
  <si>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</si>
  <si>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</si>
  <si>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</si>
  <si>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</si>
  <si>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</si>
  <si>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</si>
  <si>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</si>
  <si>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</si>
  <si>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r>
      <t xml:space="preserve">Sens de jeu de votre équipe
</t>
    </r>
    <r>
      <rPr>
        <b/>
        <sz val="16"/>
        <color rgb="FF000000"/>
        <rFont val="Arial"/>
        <family val="2"/>
      </rPr>
      <t>➡️</t>
    </r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</si>
  <si>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</si>
  <si>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</si>
  <si>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</si>
  <si>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</si>
  <si>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</si>
  <si>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</si>
  <si>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</si>
  <si>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</si>
  <si>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</si>
  <si>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</si>
  <si>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</si>
  <si>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</si>
  <si>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</si>
  <si>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</si>
  <si>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</si>
  <si>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</si>
  <si>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</si>
  <si>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</si>
  <si>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</si>
  <si>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</si>
  <si>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</si>
  <si>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</si>
  <si>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</si>
  <si>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</si>
  <si>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</si>
  <si>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</si>
  <si>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</si>
  <si>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</si>
  <si>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Adversaire  -  carton rouge  -  ?  -  00:00</t>
  </si>
  <si>
    <t>Nous  -  carton jaune  -  ABADIE Quentin  -  00:00</t>
  </si>
  <si>
    <r>
      <t>1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ABADIE</t>
    </r>
  </si>
  <si>
    <t>E 22m</t>
  </si>
  <si>
    <t>E 15m</t>
  </si>
  <si>
    <t>E en-but</t>
  </si>
  <si>
    <t>LISTE_MOTIFS_PENALITE</t>
  </si>
  <si>
    <t>LST_SAUTEURS</t>
  </si>
  <si>
    <t xml:space="preserve">tkjhcxlkjhgfdsdfghjkl. Cfyuioiuytfv bhjklmlkjhgfcvbn </t>
  </si>
  <si>
    <t>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</si>
</sst>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FFFFFF"/>
      <name val="Arial"/>
      <family val="2"/>
    </font>
    <font>
      <b/>
      <sz val="9"/>
      <color rgb="FF000000"/>
      <name val="Arial"/>
      <family val="2"/>
    </font>
    <font>
      <b/>
      <sz val="16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AEDFB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13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0" fontId="53" fillId="45" borderId="19" xfId="0" applyFont="1" applyFill="1" applyBorder="1" applyAlignment="1">
      <alignment horizontal="center" vertical="center"/>
    </xf>
    <xf numFmtId="0" fontId="53" fillId="45" borderId="44" xfId="0" applyFont="1" applyFill="1" applyBorder="1" applyAlignment="1">
      <alignment horizontal="center" vertical="center"/>
    </xf>
    <xf numFmtId="0" fontId="53" fillId="45" borderId="20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0" fontId="54" fillId="10" borderId="19" xfId="0" applyFont="1" applyFill="1" applyBorder="1" applyAlignment="1">
      <alignment horizontal="center" vertical="center" wrapText="1"/>
    </xf>
    <xf numFmtId="0" fontId="54" fillId="10" borderId="44" xfId="0" applyFont="1" applyFill="1" applyBorder="1" applyAlignment="1">
      <alignment horizontal="center" vertical="center" wrapText="1"/>
    </xf>
    <xf numFmtId="0" fontId="54" fillId="10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18" fillId="10" borderId="0" xfId="0" applyFont="1" applyFill="1" applyBorder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0" fillId="16" borderId="0" xfId="0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0" fillId="46" borderId="19" xfId="0" applyFill="1" applyBorder="1" applyAlignment="1">
      <alignment horizontal="center" vertical="center" wrapText="1"/>
    </xf>
    <xf numFmtId="0" fontId="0" fillId="46" borderId="44" xfId="0" applyFill="1" applyBorder="1" applyAlignment="1">
      <alignment horizontal="center" vertical="center" wrapText="1"/>
    </xf>
    <xf numFmtId="0" fontId="0" fillId="46" borderId="20" xfId="0" applyFill="1" applyBorder="1" applyAlignment="1">
      <alignment horizontal="center" vertical="center" wrapText="1"/>
    </xf>
    <xf numFmtId="0" fontId="0" fillId="46" borderId="44" xfId="0" applyNumberFormat="1" applyFill="1" applyBorder="1" applyAlignment="1">
      <alignment horizontal="center" vertical="center" wrapText="1"/>
    </xf>
    <xf numFmtId="0" fontId="0" fillId="46" borderId="20" xfId="0" applyNumberFormat="1" applyFill="1" applyBorder="1" applyAlignment="1">
      <alignment horizontal="center" vertical="center" wrapText="1"/>
    </xf>
    <xf numFmtId="0" fontId="0" fillId="16" borderId="0" xfId="0" applyFill="1" applyBorder="1"/>
    <xf numFmtId="0" fontId="2" fillId="16" borderId="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3" fillId="24" borderId="0" xfId="0" applyFont="1" applyFill="1" applyBorder="1" applyAlignment="1">
      <alignment horizontal="center" vertical="center" wrapText="1"/>
    </xf>
    <xf numFmtId="0" fontId="46" fillId="46" borderId="19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2" fillId="15" borderId="34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165" fontId="46" fillId="46" borderId="19" xfId="0" applyNumberFormat="1" applyFont="1" applyFill="1" applyBorder="1" applyAlignment="1">
      <alignment horizontal="center" vertical="center" wrapText="1"/>
    </xf>
    <xf numFmtId="0" fontId="0" fillId="46" borderId="44" xfId="0" applyFont="1" applyFill="1" applyBorder="1" applyAlignment="1">
      <alignment horizontal="center" vertical="center" wrapText="1"/>
    </xf>
    <xf numFmtId="0" fontId="0" fillId="46" borderId="20" xfId="0" applyFont="1" applyFill="1" applyBorder="1" applyAlignment="1">
      <alignment horizontal="center" vertical="center" wrapText="1"/>
    </xf>
    <xf numFmtId="0" fontId="54" fillId="17" borderId="0" xfId="0" applyFont="1" applyFill="1" applyBorder="1" applyAlignment="1">
      <alignment vertical="center" wrapText="1"/>
    </xf>
    <xf numFmtId="0" fontId="54" fillId="17" borderId="0" xfId="0" applyFont="1" applyFill="1" applyBorder="1" applyAlignment="1">
      <alignment horizontal="center" vertical="center" wrapText="1"/>
    </xf>
    <xf numFmtId="0" fontId="53" fillId="45" borderId="34" xfId="0" applyFont="1" applyFill="1" applyBorder="1" applyAlignment="1">
      <alignment horizontal="center" vertical="center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40" fillId="16" borderId="0" xfId="0" applyFont="1" applyFill="1" applyBorder="1"/>
    <xf numFmtId="0" fontId="16" fillId="14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56" fillId="31" borderId="19" xfId="0" applyFont="1" applyFill="1" applyBorder="1" applyAlignment="1">
      <alignment horizontal="center" vertical="center" wrapText="1"/>
    </xf>
    <xf numFmtId="0" fontId="56" fillId="31" borderId="44" xfId="0" applyFont="1" applyFill="1" applyBorder="1" applyAlignment="1">
      <alignment horizontal="center" vertical="center" wrapText="1"/>
    </xf>
    <xf numFmtId="0" fontId="56" fillId="31" borderId="20" xfId="0" applyFont="1" applyFill="1" applyBorder="1" applyAlignment="1">
      <alignment horizontal="center" vertical="center" wrapText="1"/>
    </xf>
    <xf numFmtId="0" fontId="16" fillId="23" borderId="34" xfId="0" applyFont="1" applyFill="1" applyBorder="1" applyAlignment="1">
      <alignment horizontal="center" vertical="center" wrapText="1"/>
    </xf>
    <xf numFmtId="0" fontId="50" fillId="14" borderId="43" xfId="0" applyFont="1" applyFill="1" applyBorder="1" applyAlignment="1">
      <alignment horizontal="center" vertical="center"/>
    </xf>
    <xf numFmtId="0" fontId="33" fillId="16" borderId="0" xfId="0" applyFont="1" applyFill="1" applyAlignment="1">
      <alignment horizontal="center" vertical="center"/>
    </xf>
    <xf numFmtId="0" fontId="49" fillId="16" borderId="0" xfId="0" applyFont="1" applyFill="1" applyBorder="1" applyAlignment="1">
      <alignment horizontal="center" vertical="center" wrapText="1"/>
    </xf>
    <xf numFmtId="0" fontId="40" fillId="16" borderId="0" xfId="0" applyFont="1" applyFill="1" applyBorder="1" applyAlignment="1">
      <alignment horizontal="center" vertical="center" wrapText="1"/>
    </xf>
    <xf numFmtId="0" fontId="48" fillId="37" borderId="43" xfId="0" applyFont="1" applyFill="1" applyBorder="1" applyAlignment="1">
      <alignment horizontal="center" vertical="center"/>
    </xf>
    <xf numFmtId="0" fontId="40" fillId="16" borderId="0" xfId="0" applyFont="1" applyFill="1" applyBorder="1" applyAlignment="1">
      <alignment horizontal="center" vertical="center"/>
    </xf>
    <xf numFmtId="0" fontId="8" fillId="46" borderId="19" xfId="0" applyFont="1" applyFill="1" applyBorder="1" applyAlignment="1">
      <alignment horizontal="center" vertical="center" wrapText="1"/>
    </xf>
    <xf numFmtId="0" fontId="56" fillId="46" borderId="44" xfId="0" applyFont="1" applyFill="1" applyBorder="1" applyAlignment="1">
      <alignment horizontal="center" vertical="center" wrapText="1"/>
    </xf>
    <xf numFmtId="0" fontId="56" fillId="46" borderId="20" xfId="0" applyFont="1" applyFill="1" applyBorder="1" applyAlignment="1">
      <alignment horizontal="center" vertical="center" wrapText="1"/>
    </xf>
    <xf numFmtId="0" fontId="56" fillId="19" borderId="19" xfId="0" applyFont="1" applyFill="1" applyBorder="1" applyAlignment="1">
      <alignment horizontal="center" vertical="center"/>
    </xf>
    <xf numFmtId="0" fontId="56" fillId="19" borderId="44" xfId="0" applyFont="1" applyFill="1" applyBorder="1" applyAlignment="1">
      <alignment horizontal="center" vertical="center"/>
    </xf>
    <xf numFmtId="0" fontId="56" fillId="19" borderId="20" xfId="0" applyFont="1" applyFill="1" applyBorder="1" applyAlignment="1">
      <alignment horizontal="center" vertical="center"/>
    </xf>
    <xf numFmtId="0" fontId="50" fillId="43" borderId="64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[m]:ss"/>
    </dxf>
    <dxf>
      <numFmt numFmtId="165" formatCode="[m]:ss"/>
    </dxf>
    <dxf>
      <numFmt numFmtId="167" formatCode="dd/mm/yyyy\ hh:mm"/>
    </dxf>
    <dxf>
      <numFmt numFmtId="165" formatCode="[m]:ss"/>
    </dxf>
    <dxf>
      <numFmt numFmtId="166" formatCode="dd/mm/yyyy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72" dataDxfId="71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70"/>
    <tableColumn id="2" xr3:uid="{0C1B8A30-A3B8-DA4D-B893-C4C99FF33E90}" name="nom" dataDxfId="69"/>
    <tableColumn id="3" xr3:uid="{8AE5AF32-0026-9B41-8B0B-16B9ED0F3727}" name="prenom" dataDxfId="68"/>
    <tableColumn id="6" xr3:uid="{D5D3A7D0-7C7D-684B-8AA7-DABBCC7051CF}" name="1ère ligne" dataDxfId="67"/>
    <tableColumn id="4" xr3:uid="{4CE41A86-7158-6B42-B932-A5275F10AB48}" name="prenom NOM" dataDxfId="66">
      <calculatedColumnFormula>LstEffectif[[#This Row],[prenom]] &amp; " " &amp; LstEffectif[[#This Row],[nom]]</calculatedColumnFormula>
    </tableColumn>
    <tableColumn id="5" xr3:uid="{EB017694-E6D2-7440-91BF-61113926AB7D}" name="NOM Prénom" dataDxfId="65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4" dataDxfId="63">
  <autoFilter ref="J1:J11" xr:uid="{037D6424-D1EC-894D-B963-D36ABCA682C4}"/>
  <tableColumns count="1">
    <tableColumn id="1" xr3:uid="{63806632-B9ED-294D-800A-F2FDB2EC48D2}" name="EQUIPES_A_AFFRONTER" dataDxf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1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10" totalsRowShown="0">
  <autoFilter ref="A1:Q10" xr:uid="{274E98FB-BCE1-0347-AD79-C8025C407DEC}"/>
  <tableColumns count="17">
    <tableColumn id="1" xr3:uid="{1C6F1113-17EB-A449-86BF-30B1CE9CAC0A}" name="temps video" dataDxfId="19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18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2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1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insertRow="1" totalsRowShown="0">
  <autoFilter ref="A11:J12" xr:uid="{A1FE138B-7A57-FD4E-B0BC-4BF4203BE379}"/>
  <tableColumns count="10">
    <tableColumn id="1" xr3:uid="{9154875D-F6A2-FD43-A363-B5D480E2C8C9}" name="Temps video" dataDxfId="1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60"/>
    <tableColumn id="8" xr3:uid="{D9175B18-6528-4648-B15C-FF2CC25EEBE4}" name="Jeu 3/4" dataDxfId="59"/>
    <tableColumn id="9" xr3:uid="{CAE0CE17-6518-8346-8125-3B7CA02D88C1}" name="Jeu pied" dataDxfId="58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7" dataDxfId="55" headerRowBorderDxfId="56" tableBorderDxfId="54" totalsRowBorderDxfId="53">
  <autoFilter ref="Q1:R70" xr:uid="{6D1F5F0A-5FD5-AC4E-A195-33A78A5E0E58}"/>
  <tableColumns count="2">
    <tableColumn id="1" xr3:uid="{8A0D5429-5616-B849-BD27-167A576FE99E}" name="Nom de cellule à créer" dataDxfId="52"/>
    <tableColumn id="2" xr3:uid="{19545507-672A-9F40-8818-E4C9060AA52B}" name="Libellé" dataDxfId="5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50" headerRowBorderDxfId="49" tableBorderDxfId="48" totalsRowBorderDxfId="47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6" headerRowBorderDxfId="45" tableBorderDxfId="44" totalsRowBorderDxfId="43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42" dataDxfId="41">
  <autoFilter ref="I14:I20" xr:uid="{CC940AF9-E81A-F746-8EAD-392809C3CFBE}"/>
  <tableColumns count="1">
    <tableColumn id="1" xr3:uid="{816CA1DF-3681-2948-A622-26353E2B9A97}" name="LISTE_LECTEUR_VIDEO" dataDxfId="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9" dataDxfId="38">
  <autoFilter ref="C1:C4" xr:uid="{61FC7709-08E5-D048-A38B-441B18CF5D35}"/>
  <tableColumns count="1">
    <tableColumn id="1" xr3:uid="{C41B523D-40DA-AF48-A2C2-015B04960B0A}" name="LIEU_MATCH" dataDxfId="3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6" dataDxfId="35">
  <autoFilter ref="C6:C10" xr:uid="{86EA01CF-5567-6445-9906-AD2B60CA0A8A}"/>
  <tableColumns count="1">
    <tableColumn id="1" xr3:uid="{B57F8324-6F25-7B40-9B20-1BFDF9708631}" name="PHASE" dataDxfId="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3" dataDxfId="32">
  <autoFilter ref="C12:C15" xr:uid="{DAA9B017-78F0-D447-B788-CF8333AEAC38}"/>
  <tableColumns count="1">
    <tableColumn id="1" xr3:uid="{C5E86C3D-762A-054E-B864-5A67DBB9A8CA}" name="RESULTAT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30" dataDxfId="29">
  <autoFilter ref="C17:C21" xr:uid="{F661D9E2-619C-DA44-92C5-8A09E8E281AC}"/>
  <tableColumns count="1">
    <tableColumn id="1" xr3:uid="{ADD3AF05-089E-D149-9728-7C2A6F62FA22}" name="EQUIPE_NIV" dataDxfId="2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7" dataDxfId="25" headerRowBorderDxfId="26" tableBorderDxfId="24" totalsRowBorderDxfId="23">
  <autoFilter ref="K1:K25" xr:uid="{391966D0-8F83-3948-82BB-835638F7D3FE}"/>
  <tableColumns count="1">
    <tableColumn id="1" xr3:uid="{F45BF991-6668-F741-B07C-7905B99AC752}" name="LISTE_JOUEURS_JOURNAL" dataDxfId="2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21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573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622</v>
      </c>
      <c r="C73" s="85" t="s">
        <v>621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20" sqref="C2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66" t="s">
        <v>200</v>
      </c>
      <c r="C2" s="166"/>
      <c r="E2" s="167" t="str">
        <f>"FEUILLE COMPO "&amp;MATCH_NOUS</f>
        <v>FEUILLE COMPO MXV</v>
      </c>
      <c r="F2" s="168"/>
      <c r="G2" s="168"/>
      <c r="H2" s="169"/>
    </row>
    <row r="3" spans="1:8" ht="19" customHeight="1">
      <c r="B3" s="166"/>
      <c r="C3" s="166"/>
      <c r="E3" s="170"/>
      <c r="F3" s="171"/>
      <c r="G3" s="171"/>
      <c r="H3" s="172"/>
    </row>
    <row r="4" spans="1:8" ht="19" customHeight="1" thickBot="1">
      <c r="B4" s="166"/>
      <c r="C4" s="166"/>
      <c r="E4" s="173"/>
      <c r="F4" s="174"/>
      <c r="G4" s="174"/>
      <c r="H4" s="175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606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opLeftCell="S1" zoomScaleNormal="100" workbookViewId="0"/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190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288"/>
      <c r="BP3" s="288"/>
      <c r="BQ3" s="28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276" t="s">
        <v>124</v>
      </c>
      <c r="D4" s="266"/>
      <c r="E4" s="266"/>
      <c r="F4" s="266"/>
      <c r="G4" s="266"/>
      <c r="H4" s="266"/>
      <c r="I4" s="266"/>
      <c r="J4" s="266"/>
      <c r="K4" s="275"/>
      <c r="L4" s="248" t="s">
        <v>39</v>
      </c>
      <c r="M4" s="249"/>
      <c r="N4" s="249"/>
      <c r="O4" s="249"/>
      <c r="P4" s="249"/>
      <c r="Q4" s="249"/>
      <c r="R4" s="250"/>
      <c r="S4" s="275"/>
      <c r="T4" s="253" t="s">
        <v>55</v>
      </c>
      <c r="U4" s="254"/>
      <c r="V4" s="254"/>
      <c r="W4" s="254"/>
      <c r="X4" s="254"/>
      <c r="Y4" s="254"/>
      <c r="Z4" s="255"/>
      <c r="AA4" s="275"/>
      <c r="AB4" s="276" t="s">
        <v>607</v>
      </c>
      <c r="AC4" s="266"/>
      <c r="AD4" s="266"/>
      <c r="AE4" s="266"/>
      <c r="AF4" s="266"/>
      <c r="AG4" s="266"/>
      <c r="AH4" s="266"/>
      <c r="AI4" s="275"/>
      <c r="AJ4" s="248" t="s">
        <v>43</v>
      </c>
      <c r="AK4" s="249"/>
      <c r="AL4" s="249"/>
      <c r="AM4" s="249"/>
      <c r="AN4" s="249"/>
      <c r="AO4" s="249"/>
      <c r="AP4" s="250"/>
      <c r="AQ4" s="275"/>
      <c r="AR4" s="309" t="s">
        <v>44</v>
      </c>
      <c r="AS4" s="310"/>
      <c r="AT4" s="310"/>
      <c r="AU4" s="310"/>
      <c r="AV4" s="310"/>
      <c r="AW4" s="310"/>
      <c r="AX4" s="311"/>
      <c r="AY4" s="143"/>
      <c r="AZ4" s="138"/>
      <c r="BA4" s="139"/>
      <c r="BB4" s="280" t="s">
        <v>38</v>
      </c>
      <c r="BC4" s="275"/>
      <c r="BD4" s="283" t="s">
        <v>29</v>
      </c>
      <c r="BE4" s="275"/>
      <c r="BF4" s="283" t="s">
        <v>51</v>
      </c>
      <c r="BG4" s="275"/>
      <c r="BH4" s="283" t="s">
        <v>141</v>
      </c>
      <c r="BI4" s="275"/>
      <c r="BJ4" s="299" t="s">
        <v>30</v>
      </c>
      <c r="BK4" s="275"/>
      <c r="BL4" s="283" t="s">
        <v>31</v>
      </c>
      <c r="BM4" s="143"/>
      <c r="BN4" s="138"/>
      <c r="BO4" s="288"/>
      <c r="BP4" s="289" t="s">
        <v>623</v>
      </c>
      <c r="BQ4" s="28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288"/>
      <c r="BP5" s="288"/>
      <c r="BQ5" s="28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79" t="s">
        <v>514</v>
      </c>
      <c r="BP7" s="180"/>
      <c r="BQ7" s="181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77" t="s">
        <v>242</v>
      </c>
      <c r="D8" s="266"/>
      <c r="E8" s="266"/>
      <c r="F8" s="266"/>
      <c r="G8" s="266"/>
      <c r="H8" s="266"/>
      <c r="I8" s="266"/>
      <c r="J8" s="275"/>
      <c r="K8" s="260"/>
      <c r="L8" s="261"/>
      <c r="M8" s="261"/>
      <c r="N8" s="261"/>
      <c r="O8" s="261"/>
      <c r="P8" s="261"/>
      <c r="Q8" s="262"/>
      <c r="R8" s="275"/>
      <c r="S8" s="296"/>
      <c r="T8" s="297"/>
      <c r="U8" s="297"/>
      <c r="V8" s="297"/>
      <c r="W8" s="297"/>
      <c r="X8" s="297"/>
      <c r="Y8" s="298"/>
      <c r="Z8" s="275"/>
      <c r="AA8" s="267"/>
      <c r="AB8" s="268"/>
      <c r="AC8" s="268"/>
      <c r="AD8" s="268"/>
      <c r="AE8" s="268"/>
      <c r="AF8" s="268"/>
      <c r="AG8" s="269"/>
      <c r="AH8" s="275"/>
      <c r="AI8" s="187"/>
      <c r="AJ8" s="188"/>
      <c r="AK8" s="188"/>
      <c r="AL8" s="188"/>
      <c r="AM8" s="188"/>
      <c r="AN8" s="188"/>
      <c r="AO8" s="189"/>
      <c r="AP8" s="275"/>
      <c r="AQ8" s="256" t="s">
        <v>605</v>
      </c>
      <c r="AR8" s="257"/>
      <c r="AS8" s="257"/>
      <c r="AT8" s="257"/>
      <c r="AU8" s="257"/>
      <c r="AV8" s="257"/>
      <c r="AW8" s="258"/>
      <c r="AX8" s="275"/>
      <c r="AY8" s="143"/>
      <c r="AZ8" s="138"/>
      <c r="BA8" s="139"/>
      <c r="BB8" s="280" t="s">
        <v>48</v>
      </c>
      <c r="BC8" s="275"/>
      <c r="BD8" s="291" t="s">
        <v>33</v>
      </c>
      <c r="BE8" s="275"/>
      <c r="BF8" s="291" t="s">
        <v>34</v>
      </c>
      <c r="BG8" s="275"/>
      <c r="BH8" s="291" t="s">
        <v>35</v>
      </c>
      <c r="BI8" s="275"/>
      <c r="BJ8" s="281" t="s">
        <v>36</v>
      </c>
      <c r="BK8" s="275"/>
      <c r="BL8" s="295" t="s">
        <v>37</v>
      </c>
      <c r="BM8" s="143"/>
      <c r="BN8" s="138"/>
      <c r="BO8" s="182"/>
      <c r="BP8" s="259"/>
      <c r="BQ8" s="183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84"/>
      <c r="BP9" s="185"/>
      <c r="BQ9" s="186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278" t="s">
        <v>18</v>
      </c>
      <c r="D12" s="266"/>
      <c r="E12" s="266"/>
      <c r="F12" s="266"/>
      <c r="G12" s="266"/>
      <c r="H12" s="266"/>
      <c r="I12" s="266"/>
      <c r="J12" s="266"/>
      <c r="K12" s="266"/>
      <c r="L12" s="266"/>
      <c r="M12" s="266"/>
      <c r="N12" s="266"/>
      <c r="O12" s="266"/>
      <c r="P12" s="266"/>
      <c r="Q12" s="266"/>
      <c r="R12" s="266"/>
      <c r="S12" s="266"/>
      <c r="T12" s="266"/>
      <c r="U12" s="266"/>
      <c r="V12" s="266"/>
      <c r="W12" s="266"/>
      <c r="X12" s="266"/>
      <c r="Y12" s="266"/>
      <c r="Z12" s="266"/>
      <c r="AA12" s="266"/>
      <c r="AB12" s="266"/>
      <c r="AC12" s="266"/>
      <c r="AD12" s="266"/>
      <c r="AE12" s="266"/>
      <c r="AF12" s="266"/>
      <c r="AG12" s="266"/>
      <c r="AH12" s="266"/>
      <c r="AI12" s="266"/>
      <c r="AJ12" s="266"/>
      <c r="AK12" s="266"/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66"/>
      <c r="AX12" s="266"/>
      <c r="AY12" s="143"/>
      <c r="AZ12" s="138"/>
      <c r="BA12" s="139"/>
      <c r="BB12" s="278" t="s">
        <v>19</v>
      </c>
      <c r="BC12" s="266"/>
      <c r="BD12" s="266"/>
      <c r="BE12" s="266"/>
      <c r="BF12" s="266"/>
      <c r="BG12" s="266"/>
      <c r="BH12" s="266"/>
      <c r="BI12" s="266"/>
      <c r="BJ12" s="266"/>
      <c r="BK12" s="266"/>
      <c r="BL12" s="266"/>
      <c r="BM12" s="266"/>
      <c r="BN12" s="266"/>
      <c r="BO12" s="266"/>
      <c r="BP12" s="266"/>
      <c r="BQ12" s="266"/>
      <c r="BR12" s="266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5"/>
      <c r="Y13" s="275"/>
      <c r="Z13" s="275"/>
      <c r="AA13" s="275"/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275"/>
      <c r="AR13" s="275"/>
      <c r="AS13" s="275"/>
      <c r="AT13" s="275"/>
      <c r="AU13" s="275"/>
      <c r="AV13" s="275"/>
      <c r="AW13" s="275"/>
      <c r="AX13" s="275"/>
      <c r="AY13" s="143"/>
      <c r="AZ13" s="138"/>
      <c r="BA13" s="139"/>
      <c r="BB13" s="275"/>
      <c r="BC13" s="275"/>
      <c r="BD13" s="275"/>
      <c r="BE13" s="275"/>
      <c r="BF13" s="275"/>
      <c r="BG13" s="275"/>
      <c r="BH13" s="275"/>
      <c r="BI13" s="275"/>
      <c r="BJ13" s="275"/>
      <c r="BK13" s="275"/>
      <c r="BL13" s="275"/>
      <c r="BM13" s="275"/>
      <c r="BN13" s="275"/>
      <c r="BO13" s="275"/>
      <c r="BP13" s="275"/>
      <c r="BQ13" s="275"/>
      <c r="BR13" s="275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306" t="s">
        <v>654</v>
      </c>
      <c r="D14" s="307"/>
      <c r="E14" s="307"/>
      <c r="F14" s="307"/>
      <c r="G14" s="307"/>
      <c r="H14" s="307"/>
      <c r="I14" s="308"/>
      <c r="J14" s="275"/>
      <c r="K14" s="279" t="s">
        <v>540</v>
      </c>
      <c r="L14" s="286"/>
      <c r="M14" s="286"/>
      <c r="N14" s="286"/>
      <c r="O14" s="286"/>
      <c r="P14" s="286"/>
      <c r="Q14" s="287"/>
      <c r="R14" s="275"/>
      <c r="S14" s="279" t="s">
        <v>541</v>
      </c>
      <c r="T14" s="286"/>
      <c r="U14" s="286"/>
      <c r="V14" s="286"/>
      <c r="W14" s="286"/>
      <c r="X14" s="286"/>
      <c r="Y14" s="287"/>
      <c r="Z14" s="275"/>
      <c r="AA14" s="275"/>
      <c r="AB14" s="275"/>
      <c r="AC14" s="275"/>
      <c r="AD14" s="279" t="s">
        <v>547</v>
      </c>
      <c r="AE14" s="286"/>
      <c r="AF14" s="286"/>
      <c r="AG14" s="286"/>
      <c r="AH14" s="286"/>
      <c r="AI14" s="286"/>
      <c r="AJ14" s="287"/>
      <c r="AK14" s="275"/>
      <c r="AL14" s="275"/>
      <c r="AM14" s="275"/>
      <c r="AN14" s="275"/>
      <c r="AO14" s="275"/>
      <c r="AP14" s="279" t="s">
        <v>548</v>
      </c>
      <c r="AQ14" s="286"/>
      <c r="AR14" s="286"/>
      <c r="AS14" s="286"/>
      <c r="AT14" s="286"/>
      <c r="AU14" s="286"/>
      <c r="AV14" s="287"/>
      <c r="AW14" s="275"/>
      <c r="AX14" s="275"/>
      <c r="AY14" s="143"/>
      <c r="AZ14" s="138"/>
      <c r="BA14" s="139"/>
      <c r="BB14" s="280" t="s">
        <v>265</v>
      </c>
      <c r="BC14" s="275"/>
      <c r="BD14" s="282" t="s">
        <v>22</v>
      </c>
      <c r="BE14" s="275"/>
      <c r="BF14" s="282" t="s">
        <v>20</v>
      </c>
      <c r="BG14" s="275"/>
      <c r="BH14" s="282" t="s">
        <v>23</v>
      </c>
      <c r="BI14" s="275"/>
      <c r="BJ14" s="282" t="s">
        <v>24</v>
      </c>
      <c r="BK14" s="275"/>
      <c r="BL14" s="282" t="s">
        <v>21</v>
      </c>
      <c r="BM14" s="275"/>
      <c r="BN14" s="280" t="s">
        <v>222</v>
      </c>
      <c r="BO14" s="275"/>
      <c r="BP14" s="292" t="s">
        <v>25</v>
      </c>
      <c r="BQ14" s="275"/>
      <c r="BR14" s="282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275"/>
      <c r="D15" s="275"/>
      <c r="E15" s="275"/>
      <c r="F15" s="275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  <c r="AA15" s="275"/>
      <c r="AB15" s="275"/>
      <c r="AC15" s="275"/>
      <c r="AD15" s="275"/>
      <c r="AE15" s="275"/>
      <c r="AF15" s="275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275"/>
      <c r="AR15" s="275"/>
      <c r="AS15" s="275"/>
      <c r="AT15" s="275"/>
      <c r="AU15" s="275"/>
      <c r="AV15" s="275"/>
      <c r="AW15" s="275"/>
      <c r="AX15" s="275"/>
      <c r="AY15" s="143"/>
      <c r="AZ15" s="138"/>
      <c r="BA15" s="139"/>
      <c r="BB15" s="275"/>
      <c r="BC15" s="275"/>
      <c r="BD15" s="275"/>
      <c r="BE15" s="275"/>
      <c r="BF15" s="275"/>
      <c r="BG15" s="275"/>
      <c r="BH15" s="275"/>
      <c r="BI15" s="275"/>
      <c r="BJ15" s="275"/>
      <c r="BK15" s="275"/>
      <c r="BL15" s="275"/>
      <c r="BM15" s="275"/>
      <c r="BN15" s="275"/>
      <c r="BO15" s="275"/>
      <c r="BP15" s="275"/>
      <c r="BQ15" s="275"/>
      <c r="BR15" s="275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275"/>
      <c r="D16" s="275"/>
      <c r="E16" s="275"/>
      <c r="F16" s="275"/>
      <c r="G16" s="279" t="s">
        <v>542</v>
      </c>
      <c r="H16" s="286"/>
      <c r="I16" s="286"/>
      <c r="J16" s="286"/>
      <c r="K16" s="286"/>
      <c r="L16" s="286"/>
      <c r="M16" s="287"/>
      <c r="N16" s="275"/>
      <c r="O16" s="279" t="s">
        <v>543</v>
      </c>
      <c r="P16" s="286"/>
      <c r="Q16" s="286"/>
      <c r="R16" s="286"/>
      <c r="S16" s="286"/>
      <c r="T16" s="286"/>
      <c r="U16" s="287"/>
      <c r="V16" s="275"/>
      <c r="W16" s="275"/>
      <c r="X16" s="275"/>
      <c r="Y16" s="275"/>
      <c r="Z16" s="275"/>
      <c r="AA16" s="275"/>
      <c r="AB16" s="275"/>
      <c r="AC16" s="275"/>
      <c r="AD16" s="275"/>
      <c r="AE16" s="275"/>
      <c r="AF16" s="279" t="s">
        <v>550</v>
      </c>
      <c r="AG16" s="286"/>
      <c r="AH16" s="286"/>
      <c r="AI16" s="286"/>
      <c r="AJ16" s="286"/>
      <c r="AK16" s="286"/>
      <c r="AL16" s="287"/>
      <c r="AM16" s="275"/>
      <c r="AN16" s="279" t="s">
        <v>551</v>
      </c>
      <c r="AO16" s="286"/>
      <c r="AP16" s="286"/>
      <c r="AQ16" s="286"/>
      <c r="AR16" s="286"/>
      <c r="AS16" s="286"/>
      <c r="AT16" s="287"/>
      <c r="AU16" s="275"/>
      <c r="AV16" s="275"/>
      <c r="AW16" s="275"/>
      <c r="AX16" s="275"/>
      <c r="AY16" s="143"/>
      <c r="AZ16" s="138"/>
      <c r="BA16" s="139"/>
      <c r="BB16" s="280" t="s">
        <v>221</v>
      </c>
      <c r="BC16" s="275"/>
      <c r="BD16" s="290" t="s">
        <v>25</v>
      </c>
      <c r="BE16" s="275"/>
      <c r="BF16" s="282" t="s">
        <v>26</v>
      </c>
      <c r="BG16" s="275"/>
      <c r="BH16" s="282" t="s">
        <v>45</v>
      </c>
      <c r="BI16" s="275"/>
      <c r="BJ16" s="275"/>
      <c r="BK16" s="275"/>
      <c r="BL16" s="280" t="s">
        <v>402</v>
      </c>
      <c r="BM16" s="275"/>
      <c r="BN16" s="283" t="s">
        <v>243</v>
      </c>
      <c r="BO16" s="275"/>
      <c r="BP16" s="283" t="s">
        <v>400</v>
      </c>
      <c r="BQ16" s="275"/>
      <c r="BR16" s="283" t="s">
        <v>401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275"/>
      <c r="D17" s="275"/>
      <c r="E17" s="275"/>
      <c r="F17" s="275"/>
      <c r="G17" s="275"/>
      <c r="H17" s="275"/>
      <c r="I17" s="275"/>
      <c r="J17" s="275"/>
      <c r="K17" s="275"/>
      <c r="L17" s="275"/>
      <c r="M17" s="275"/>
      <c r="N17" s="275"/>
      <c r="O17" s="275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  <c r="AA17" s="275"/>
      <c r="AB17" s="275"/>
      <c r="AC17" s="275"/>
      <c r="AD17" s="275"/>
      <c r="AE17" s="275"/>
      <c r="AF17" s="275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275"/>
      <c r="AT17" s="275"/>
      <c r="AU17" s="275"/>
      <c r="AV17" s="275"/>
      <c r="AW17" s="275"/>
      <c r="AX17" s="275"/>
      <c r="AY17" s="143"/>
      <c r="AZ17" s="138"/>
      <c r="BA17" s="139"/>
      <c r="BB17" s="275"/>
      <c r="BC17" s="275"/>
      <c r="BD17" s="275"/>
      <c r="BE17" s="275"/>
      <c r="BF17" s="275"/>
      <c r="BG17" s="275"/>
      <c r="BH17" s="275"/>
      <c r="BI17" s="275"/>
      <c r="BJ17" s="275"/>
      <c r="BK17" s="275"/>
      <c r="BL17" s="275"/>
      <c r="BM17" s="275"/>
      <c r="BN17" s="275"/>
      <c r="BO17" s="275"/>
      <c r="BP17" s="275"/>
      <c r="BQ17" s="275"/>
      <c r="BR17" s="275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279" t="s">
        <v>544</v>
      </c>
      <c r="D18" s="286"/>
      <c r="E18" s="286"/>
      <c r="F18" s="286"/>
      <c r="G18" s="286"/>
      <c r="H18" s="286"/>
      <c r="I18" s="287"/>
      <c r="J18" s="275"/>
      <c r="K18" s="279" t="s">
        <v>546</v>
      </c>
      <c r="L18" s="286"/>
      <c r="M18" s="286"/>
      <c r="N18" s="286"/>
      <c r="O18" s="286"/>
      <c r="P18" s="286"/>
      <c r="Q18" s="287"/>
      <c r="R18" s="275"/>
      <c r="S18" s="279" t="s">
        <v>545</v>
      </c>
      <c r="T18" s="286"/>
      <c r="U18" s="286"/>
      <c r="V18" s="286"/>
      <c r="W18" s="286"/>
      <c r="X18" s="286"/>
      <c r="Y18" s="287"/>
      <c r="Z18" s="275"/>
      <c r="AA18" s="275"/>
      <c r="AB18" s="279" t="s">
        <v>549</v>
      </c>
      <c r="AC18" s="286"/>
      <c r="AD18" s="286"/>
      <c r="AE18" s="286"/>
      <c r="AF18" s="286"/>
      <c r="AG18" s="286"/>
      <c r="AH18" s="287"/>
      <c r="AI18" s="275"/>
      <c r="AJ18" s="279" t="s">
        <v>553</v>
      </c>
      <c r="AK18" s="286"/>
      <c r="AL18" s="286"/>
      <c r="AM18" s="286"/>
      <c r="AN18" s="286"/>
      <c r="AO18" s="286"/>
      <c r="AP18" s="287"/>
      <c r="AQ18" s="275"/>
      <c r="AR18" s="279" t="s">
        <v>552</v>
      </c>
      <c r="AS18" s="286"/>
      <c r="AT18" s="286"/>
      <c r="AU18" s="286"/>
      <c r="AV18" s="286"/>
      <c r="AW18" s="286"/>
      <c r="AX18" s="287"/>
      <c r="AY18" s="143"/>
      <c r="AZ18" s="138"/>
      <c r="BA18" s="139"/>
      <c r="BB18" s="280" t="s">
        <v>125</v>
      </c>
      <c r="BC18" s="275"/>
      <c r="BD18" s="282" t="s">
        <v>126</v>
      </c>
      <c r="BE18" s="275"/>
      <c r="BF18" s="282" t="s">
        <v>127</v>
      </c>
      <c r="BG18" s="275"/>
      <c r="BH18" s="282" t="s">
        <v>128</v>
      </c>
      <c r="BI18" s="275"/>
      <c r="BJ18" s="292" t="s">
        <v>129</v>
      </c>
      <c r="BK18" s="275"/>
      <c r="BL18" s="282" t="s">
        <v>10</v>
      </c>
      <c r="BM18" s="275"/>
      <c r="BN18" s="282" t="s">
        <v>27</v>
      </c>
      <c r="BO18" s="275"/>
      <c r="BP18" s="282" t="s">
        <v>218</v>
      </c>
      <c r="BQ18" s="275"/>
      <c r="BR18" s="292" t="s">
        <v>395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143"/>
      <c r="AZ19" s="138"/>
      <c r="BA19" s="139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5"/>
      <c r="BR19" s="275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275"/>
      <c r="D20" s="275"/>
      <c r="E20" s="275"/>
      <c r="F20" s="275"/>
      <c r="G20" s="275"/>
      <c r="H20" s="275"/>
      <c r="I20" s="275"/>
      <c r="J20" s="275"/>
      <c r="K20" s="270" t="s">
        <v>42</v>
      </c>
      <c r="L20" s="271"/>
      <c r="M20" s="271"/>
      <c r="N20" s="271"/>
      <c r="O20" s="271"/>
      <c r="P20" s="271"/>
      <c r="Q20" s="272"/>
      <c r="R20" s="275"/>
      <c r="S20" s="270" t="s">
        <v>153</v>
      </c>
      <c r="T20" s="271"/>
      <c r="U20" s="271"/>
      <c r="V20" s="271"/>
      <c r="W20" s="271"/>
      <c r="X20" s="271"/>
      <c r="Y20" s="272"/>
      <c r="Z20" s="275"/>
      <c r="AA20" s="275"/>
      <c r="AB20" s="270" t="s">
        <v>169</v>
      </c>
      <c r="AC20" s="271"/>
      <c r="AD20" s="271"/>
      <c r="AE20" s="271"/>
      <c r="AF20" s="271"/>
      <c r="AG20" s="271"/>
      <c r="AH20" s="272"/>
      <c r="AI20" s="275"/>
      <c r="AJ20" s="270" t="s">
        <v>32</v>
      </c>
      <c r="AK20" s="271"/>
      <c r="AL20" s="271"/>
      <c r="AM20" s="271"/>
      <c r="AN20" s="271"/>
      <c r="AO20" s="271"/>
      <c r="AP20" s="272"/>
      <c r="AQ20" s="275"/>
      <c r="AR20" s="275"/>
      <c r="AS20" s="275"/>
      <c r="AT20" s="275"/>
      <c r="AU20" s="275"/>
      <c r="AV20" s="275"/>
      <c r="AW20" s="275"/>
      <c r="AX20" s="275"/>
      <c r="AY20" s="143"/>
      <c r="AZ20" s="138"/>
      <c r="BA20" s="139"/>
      <c r="BB20" s="280" t="s">
        <v>65</v>
      </c>
      <c r="BC20" s="275"/>
      <c r="BD20" s="294" t="s">
        <v>157</v>
      </c>
      <c r="BE20" s="275"/>
      <c r="BF20" s="294" t="s">
        <v>158</v>
      </c>
      <c r="BG20" s="275"/>
      <c r="BH20" s="275"/>
      <c r="BI20" s="275"/>
      <c r="BJ20" s="280" t="s">
        <v>504</v>
      </c>
      <c r="BK20" s="275"/>
      <c r="BL20" s="284" t="s">
        <v>157</v>
      </c>
      <c r="BM20" s="275"/>
      <c r="BN20" s="284" t="s">
        <v>158</v>
      </c>
      <c r="BO20" s="275"/>
      <c r="BP20" s="275"/>
      <c r="BQ20" s="275"/>
      <c r="BR20" s="275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278" t="s">
        <v>40</v>
      </c>
      <c r="D24" s="266"/>
      <c r="E24" s="266"/>
      <c r="F24" s="266"/>
      <c r="G24" s="266"/>
      <c r="H24" s="266"/>
      <c r="I24" s="266"/>
      <c r="J24" s="266"/>
      <c r="K24" s="266"/>
      <c r="L24" s="266"/>
      <c r="M24" s="266"/>
      <c r="N24" s="266"/>
      <c r="O24" s="266"/>
      <c r="P24" s="266"/>
      <c r="Q24" s="266"/>
      <c r="R24" s="266"/>
      <c r="S24" s="266"/>
      <c r="T24" s="266"/>
      <c r="U24" s="266"/>
      <c r="V24" s="266"/>
      <c r="W24" s="266"/>
      <c r="X24" s="266"/>
      <c r="Y24" s="266"/>
      <c r="Z24" s="266"/>
      <c r="AA24" s="266"/>
      <c r="AB24" s="266"/>
      <c r="AC24" s="266"/>
      <c r="AD24" s="266"/>
      <c r="AE24" s="266"/>
      <c r="AF24" s="266"/>
      <c r="AG24" s="266"/>
      <c r="AH24" s="266"/>
      <c r="AI24" s="266"/>
      <c r="AJ24" s="266"/>
      <c r="AK24" s="266"/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66"/>
      <c r="AX24" s="266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275"/>
      <c r="D25" s="275"/>
      <c r="E25" s="275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275"/>
      <c r="AE25" s="275"/>
      <c r="AF25" s="275"/>
      <c r="AG25" s="275"/>
      <c r="AH25" s="275"/>
      <c r="AI25" s="275"/>
      <c r="AJ25" s="275"/>
      <c r="AK25" s="275"/>
      <c r="AL25" s="275"/>
      <c r="AM25" s="275"/>
      <c r="AN25" s="275"/>
      <c r="AO25" s="275"/>
      <c r="AP25" s="275"/>
      <c r="AQ25" s="275"/>
      <c r="AR25" s="275"/>
      <c r="AS25" s="275"/>
      <c r="AT25" s="275"/>
      <c r="AU25" s="275"/>
      <c r="AV25" s="275"/>
      <c r="AW25" s="275"/>
      <c r="AX25" s="275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276" t="s">
        <v>41</v>
      </c>
      <c r="D26" s="266"/>
      <c r="E26" s="266"/>
      <c r="F26" s="266"/>
      <c r="G26" s="266"/>
      <c r="H26" s="266"/>
      <c r="I26" s="266"/>
      <c r="J26" s="266"/>
      <c r="K26" s="266"/>
      <c r="L26" s="275"/>
      <c r="M26" s="275"/>
      <c r="N26" s="275"/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275"/>
      <c r="AE26" s="275"/>
      <c r="AF26" s="275"/>
      <c r="AG26" s="275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  <c r="AR26" s="275"/>
      <c r="AS26" s="275"/>
      <c r="AT26" s="275"/>
      <c r="AU26" s="275"/>
      <c r="AV26" s="275"/>
      <c r="AW26" s="275"/>
      <c r="AX26" s="275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275"/>
      <c r="D27" s="275"/>
      <c r="E27" s="275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275"/>
      <c r="AE27" s="275"/>
      <c r="AF27" s="275"/>
      <c r="AG27" s="275"/>
      <c r="AH27" s="275"/>
      <c r="AI27" s="275"/>
      <c r="AJ27" s="275"/>
      <c r="AK27" s="275"/>
      <c r="AL27" s="275"/>
      <c r="AM27" s="275"/>
      <c r="AN27" s="275"/>
      <c r="AO27" s="275"/>
      <c r="AP27" s="275"/>
      <c r="AQ27" s="275"/>
      <c r="AR27" s="275"/>
      <c r="AS27" s="275"/>
      <c r="AT27" s="275"/>
      <c r="AU27" s="275"/>
      <c r="AV27" s="275"/>
      <c r="AW27" s="275"/>
      <c r="AX27" s="275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285">
        <v>0</v>
      </c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  <c r="O28" s="273"/>
      <c r="P28" s="274"/>
      <c r="Q28" s="275"/>
      <c r="R28" s="176" t="s">
        <v>12</v>
      </c>
      <c r="S28" s="177"/>
      <c r="T28" s="177"/>
      <c r="U28" s="177"/>
      <c r="V28" s="177"/>
      <c r="W28" s="177"/>
      <c r="X28" s="178"/>
      <c r="Y28" s="275"/>
      <c r="Z28" s="176" t="s">
        <v>11</v>
      </c>
      <c r="AA28" s="177"/>
      <c r="AB28" s="177"/>
      <c r="AC28" s="177"/>
      <c r="AD28" s="177"/>
      <c r="AE28" s="177"/>
      <c r="AF28" s="178"/>
      <c r="AG28" s="275"/>
      <c r="AH28" s="176" t="s">
        <v>118</v>
      </c>
      <c r="AI28" s="177"/>
      <c r="AJ28" s="177"/>
      <c r="AK28" s="177"/>
      <c r="AL28" s="177"/>
      <c r="AM28" s="177"/>
      <c r="AN28" s="178"/>
      <c r="AO28" s="275"/>
      <c r="AP28" s="263" t="s">
        <v>13</v>
      </c>
      <c r="AQ28" s="264"/>
      <c r="AR28" s="264"/>
      <c r="AS28" s="264"/>
      <c r="AT28" s="264"/>
      <c r="AU28" s="264"/>
      <c r="AV28" s="265"/>
      <c r="AW28" s="275"/>
      <c r="AX28" s="275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tabSelected="1" workbookViewId="0">
      <selection activeCell="B3" sqref="B3"/>
    </sheetView>
    <sheetView tabSelected="1" workbookViewId="1">
      <selection activeCell="A4" sqref="A2:Q19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>
        <v>0</v>
      </c>
      <c r="B2" t="s">
        <v>46</v>
      </c>
      <c r="C2" t="s">
        <v>482</v>
      </c>
      <c r="D2"/>
      <c r="E2" t="s">
        <v>59</v>
      </c>
      <c r="F2"/>
      <c r="G2" t="s">
        <v>113</v>
      </c>
      <c r="H2"/>
      <c r="I2" s="252">
        <v>46316.451956018522</v>
      </c>
      <c r="J2" t="s">
        <v>606</v>
      </c>
      <c r="K2" t="s">
        <v>387</v>
      </c>
      <c r="L2" s="251">
        <v>46313</v>
      </c>
      <c r="M2" t="s">
        <v>380</v>
      </c>
      <c r="N2" t="s">
        <v>186</v>
      </c>
      <c r="O2" t="s">
        <v>178</v>
      </c>
      <c r="P2">
        <v>4</v>
      </c>
      <c r="Q2" t="s">
        <v>179</v>
      </c>
    </row>
    <row r="3" spans="1:17" s="3" customFormat="1">
      <c r="A3" s="82">
        <v>0</v>
      </c>
      <c r="B3" t="s">
        <v>46</v>
      </c>
      <c r="C3"/>
      <c r="D3"/>
      <c r="E3" t="s">
        <v>53</v>
      </c>
      <c r="F3"/>
      <c r="G3" t="s">
        <v>113</v>
      </c>
      <c r="H3"/>
      <c r="I3" s="252">
        <v>46316.451817129629</v>
      </c>
      <c r="J3" t="s">
        <v>606</v>
      </c>
      <c r="K3" t="s">
        <v>387</v>
      </c>
      <c r="L3" s="251">
        <v>46313</v>
      </c>
      <c r="M3" t="s">
        <v>380</v>
      </c>
      <c r="N3" t="s">
        <v>186</v>
      </c>
      <c r="O3" t="s">
        <v>178</v>
      </c>
      <c r="P3">
        <v>4</v>
      </c>
      <c r="Q3" t="s">
        <v>179</v>
      </c>
    </row>
    <row r="4" spans="1:17" s="3" customFormat="1">
      <c r="A4" s="82">
        <v>0</v>
      </c>
      <c r="B4" t="s">
        <v>44</v>
      </c>
      <c r="C4"/>
      <c r="D4"/>
      <c r="E4" t="s">
        <v>224</v>
      </c>
      <c r="F4"/>
      <c r="G4" t="s">
        <v>47</v>
      </c>
      <c r="H4"/>
      <c r="I4" s="252">
        <v>46316.447951388887</v>
      </c>
      <c r="J4" t="s">
        <v>606</v>
      </c>
      <c r="K4" t="s">
        <v>387</v>
      </c>
      <c r="L4" s="251">
        <v>46313</v>
      </c>
      <c r="M4" t="s">
        <v>380</v>
      </c>
      <c r="N4" t="s">
        <v>186</v>
      </c>
      <c r="O4" t="s">
        <v>178</v>
      </c>
      <c r="P4">
        <v>4</v>
      </c>
      <c r="Q4" t="s">
        <v>179</v>
      </c>
    </row>
    <row r="5" spans="1:17" s="3" customFormat="1">
      <c r="A5" s="82">
        <v>0</v>
      </c>
      <c r="B5" t="s">
        <v>44</v>
      </c>
      <c r="C5"/>
      <c r="D5"/>
      <c r="E5" t="s">
        <v>54</v>
      </c>
      <c r="F5"/>
      <c r="G5" t="s">
        <v>47</v>
      </c>
      <c r="H5"/>
      <c r="I5" s="252">
        <v>46316.447766203702</v>
      </c>
      <c r="J5" t="s">
        <v>606</v>
      </c>
      <c r="K5" t="s">
        <v>387</v>
      </c>
      <c r="L5" s="251">
        <v>46313</v>
      </c>
      <c r="M5" t="s">
        <v>380</v>
      </c>
      <c r="N5" t="s">
        <v>186</v>
      </c>
      <c r="O5" t="s">
        <v>178</v>
      </c>
      <c r="P5">
        <v>4</v>
      </c>
      <c r="Q5" t="s">
        <v>179</v>
      </c>
    </row>
    <row r="6" spans="1:17" s="3" customFormat="1">
      <c r="A6" s="82">
        <v>0</v>
      </c>
      <c r="B6" t="s">
        <v>46</v>
      </c>
      <c r="C6" t="s">
        <v>483</v>
      </c>
      <c r="D6"/>
      <c r="E6" t="s">
        <v>60</v>
      </c>
      <c r="F6"/>
      <c r="G6" t="s">
        <v>47</v>
      </c>
      <c r="H6"/>
      <c r="I6" s="252">
        <v>46316.439814814818</v>
      </c>
      <c r="J6" t="s">
        <v>606</v>
      </c>
      <c r="K6" t="s">
        <v>387</v>
      </c>
      <c r="L6" s="251">
        <v>46313</v>
      </c>
      <c r="M6" t="s">
        <v>380</v>
      </c>
      <c r="N6" t="s">
        <v>186</v>
      </c>
      <c r="O6" t="s">
        <v>178</v>
      </c>
      <c r="P6">
        <v>4</v>
      </c>
      <c r="Q6" t="s">
        <v>179</v>
      </c>
    </row>
    <row r="7" spans="1:17" s="3" customFormat="1">
      <c r="A7" s="82">
        <v>0</v>
      </c>
      <c r="B7" t="s">
        <v>46</v>
      </c>
      <c r="C7"/>
      <c r="D7"/>
      <c r="E7" t="s">
        <v>60</v>
      </c>
      <c r="F7"/>
      <c r="G7" t="s">
        <v>47</v>
      </c>
      <c r="H7"/>
      <c r="I7" s="252">
        <v>46316.43167824074</v>
      </c>
      <c r="J7" t="s">
        <v>606</v>
      </c>
      <c r="K7" t="s">
        <v>387</v>
      </c>
      <c r="L7" s="251">
        <v>46313</v>
      </c>
      <c r="M7" t="s">
        <v>380</v>
      </c>
      <c r="N7" t="s">
        <v>186</v>
      </c>
      <c r="O7" t="s">
        <v>178</v>
      </c>
      <c r="P7">
        <v>4</v>
      </c>
      <c r="Q7" t="s">
        <v>179</v>
      </c>
    </row>
    <row r="8" spans="1:17" s="3" customFormat="1">
      <c r="A8" s="82">
        <v>0</v>
      </c>
      <c r="B8" t="s">
        <v>46</v>
      </c>
      <c r="C8"/>
      <c r="D8"/>
      <c r="E8" t="s">
        <v>53</v>
      </c>
      <c r="F8"/>
      <c r="G8" t="s">
        <v>47</v>
      </c>
      <c r="H8"/>
      <c r="I8" s="252">
        <v>46316.430925925924</v>
      </c>
      <c r="J8" t="s">
        <v>606</v>
      </c>
      <c r="K8" t="s">
        <v>387</v>
      </c>
      <c r="L8" s="251">
        <v>46313</v>
      </c>
      <c r="M8" t="s">
        <v>380</v>
      </c>
      <c r="N8" t="s">
        <v>186</v>
      </c>
      <c r="O8" t="s">
        <v>178</v>
      </c>
      <c r="P8">
        <v>4</v>
      </c>
      <c r="Q8" t="s">
        <v>179</v>
      </c>
    </row>
    <row r="9" spans="1:17" s="3" customFormat="1">
      <c r="A9" s="82">
        <v>0</v>
      </c>
      <c r="B9" t="s">
        <v>46</v>
      </c>
      <c r="C9"/>
      <c r="D9"/>
      <c r="E9" t="s">
        <v>224</v>
      </c>
      <c r="F9"/>
      <c r="G9" t="s">
        <v>47</v>
      </c>
      <c r="H9"/>
      <c r="I9" s="252">
        <v>46316.409918981481</v>
      </c>
      <c r="J9" t="s">
        <v>606</v>
      </c>
      <c r="K9" t="s">
        <v>387</v>
      </c>
      <c r="L9" s="251">
        <v>46313</v>
      </c>
      <c r="M9" t="s">
        <v>380</v>
      </c>
      <c r="N9" t="s">
        <v>186</v>
      </c>
      <c r="O9" t="s">
        <v>178</v>
      </c>
      <c r="P9">
        <v>4</v>
      </c>
      <c r="Q9" t="s">
        <v>179</v>
      </c>
    </row>
    <row r="10" spans="1:17" s="3" customFormat="1">
      <c r="A10" s="82">
        <v>0</v>
      </c>
      <c r="B10" t="s">
        <v>46</v>
      </c>
      <c r="C10"/>
      <c r="D10"/>
      <c r="E10" t="s">
        <v>54</v>
      </c>
      <c r="F10"/>
      <c r="G10" t="s">
        <v>47</v>
      </c>
      <c r="H10"/>
      <c r="I10" s="252">
        <v>46316.409861111111</v>
      </c>
      <c r="J10" t="s">
        <v>606</v>
      </c>
      <c r="K10" t="s">
        <v>387</v>
      </c>
      <c r="L10" s="251">
        <v>46313</v>
      </c>
      <c r="M10" t="s">
        <v>380</v>
      </c>
      <c r="N10" t="s">
        <v>186</v>
      </c>
      <c r="O10" t="s">
        <v>178</v>
      </c>
      <c r="P10">
        <v>4</v>
      </c>
      <c r="Q10" t="s">
        <v>179</v>
      </c>
    </row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10">
    <dataValidation type="list" allowBlank="1" showInputMessage="1" showErrorMessage="1" sqref="D2:D10" xr:uid="{EACE573C-BE71-034E-97F4-7AC7A7772AA6}">
      <formula1>LISTE_GROUPES_FAUTIFS</formula1>
    </dataValidation>
    <dataValidation type="list" allowBlank="1" showErrorMessage="1" sqref="B3:B10" xr:uid="{B4C5ADA5-7CE9-084A-858D-6CCCF713346A}">
      <formula1>LISTE_MT_JOURNAL</formula1>
    </dataValidation>
    <dataValidation type="list" allowBlank="1" showErrorMessage="1" sqref="E3:E10" xr:uid="{E5992D74-477F-3A4B-A3CD-420448E1FC5C}">
      <formula1>LISTE_ACTIONS_JOURNAL</formula1>
    </dataValidation>
    <dataValidation type="list" allowBlank="1" showErrorMessage="1" sqref="G3:G10" xr:uid="{4B25824B-C6C9-074C-B307-2F56989F75BC}">
      <formula1>LISTE_EQUIPES_JOURNAL</formula1>
    </dataValidation>
    <dataValidation type="list" allowBlank="1" showErrorMessage="1" sqref="F3:F10" xr:uid="{47D95981-111F-3F49-8F42-FF94348AFA9D}">
      <formula1>LISTE_MOTIFS_PENALITE</formula1>
    </dataValidation>
    <dataValidation type="list" allowBlank="1" showErrorMessage="1" sqref="B2" xr:uid="{7235664C-CACC-9C44-AE4C-27D682ECC0A6}">
      <formula1>LISTE_MT_JOURNAL</formula1>
    </dataValidation>
    <dataValidation type="list" allowBlank="1" showErrorMessage="1" sqref="C2" xr:uid="{12723A24-D75C-0A46-8CF9-32172C2F85F5}">
      <formula1>LISTE_JOUEURS_JOURNAL</formula1>
    </dataValidation>
    <dataValidation type="list" allowBlank="1" showErrorMessage="1" sqref="E2" xr:uid="{E5A10F92-1DEE-FA4E-82C3-C15D3D72F3C8}">
      <formula1>LISTE_ACTIONS_JOURNAL</formula1>
    </dataValidation>
    <dataValidation type="list" allowBlank="1" showErrorMessage="1" sqref="G2" xr:uid="{FE1A95BC-E7D6-C849-8DC0-E098B1723272}">
      <formula1>LISTE_EQUIPES_JOURNAL</formula1>
    </dataValidation>
    <dataValidation type="list" allowBlank="1" showErrorMessage="1" sqref="F2" xr:uid="{74F08660-9505-D84E-8562-A96CF20A60EB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0CF47B-86CF-2C42-935E-D1AD74BE20E4}">
          <x14:formula1>
            <xm:f>Paramètres!$AA$1:$AA$24</xm:f>
          </x14:formula1>
          <xm:sqref>C3:C10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24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6"/>
    </row>
    <row r="4" spans="2:37" s="3" customFormat="1" ht="20" customHeight="1">
      <c r="B4" s="227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9"/>
    </row>
    <row r="5" spans="2:37" s="3" customFormat="1"/>
    <row r="6" spans="2:37" ht="14" customHeight="1">
      <c r="B6" s="220" t="s">
        <v>14</v>
      </c>
      <c r="C6" s="194" t="str">
        <f>ACT_PL_NORMAL</f>
        <v>Plaquage normal</v>
      </c>
      <c r="D6" s="192"/>
      <c r="E6" s="194" t="str">
        <f>ACT_PL_OFF</f>
        <v>Plaquage offensif</v>
      </c>
      <c r="F6" s="192"/>
      <c r="G6" s="194" t="str">
        <f>ACT_PL_RATE</f>
        <v>Plaquage raté</v>
      </c>
      <c r="H6" s="192"/>
      <c r="I6" s="194" t="str">
        <f>ACT_PL_A2</f>
        <v>Plaquage à 2</v>
      </c>
      <c r="J6" s="206"/>
      <c r="K6" s="206" t="str">
        <f>ACT_PL_HAUT</f>
        <v>Plaquage haut</v>
      </c>
      <c r="L6" s="192"/>
      <c r="M6" s="206" t="s">
        <v>10</v>
      </c>
      <c r="N6" s="192"/>
      <c r="O6" s="206" t="str">
        <f>ACT_FRANCHISSEMENT</f>
        <v>Franchissement</v>
      </c>
      <c r="P6" s="192"/>
      <c r="Q6" s="206" t="str">
        <f>ACT_AVANCEE</f>
        <v>Avancée au contact</v>
      </c>
      <c r="R6" s="192"/>
      <c r="S6" s="206" t="str">
        <f>ACT_ATT_NULLE</f>
        <v>Recul ou sans progression</v>
      </c>
      <c r="T6" s="192"/>
      <c r="U6" s="195" t="s">
        <v>231</v>
      </c>
      <c r="V6" s="196"/>
      <c r="W6" s="196"/>
      <c r="X6" s="196"/>
      <c r="Y6" s="196"/>
      <c r="Z6" s="197"/>
      <c r="AF6"/>
      <c r="AG6"/>
    </row>
    <row r="7" spans="2:37" ht="13" customHeight="1">
      <c r="B7" s="221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198">
        <f t="shared" si="0"/>
        <v>0</v>
      </c>
      <c r="V32" s="198">
        <f t="shared" si="0"/>
        <v>0</v>
      </c>
      <c r="W32" s="198">
        <f t="shared" si="0"/>
        <v>0</v>
      </c>
      <c r="X32" s="198">
        <f t="shared" si="0"/>
        <v>0</v>
      </c>
      <c r="Y32" s="198">
        <f t="shared" si="0"/>
        <v>0</v>
      </c>
      <c r="Z32" s="198">
        <f t="shared" si="0"/>
        <v>0</v>
      </c>
    </row>
    <row r="33" spans="2:33" s="41" customFormat="1" ht="25" customHeight="1">
      <c r="B33" s="55" t="s">
        <v>175</v>
      </c>
      <c r="C33" s="202">
        <f>C32+D32</f>
        <v>0</v>
      </c>
      <c r="D33" s="203"/>
      <c r="E33" s="204">
        <f t="shared" ref="E33" si="3">E32+F32</f>
        <v>0</v>
      </c>
      <c r="F33" s="204"/>
      <c r="G33" s="202">
        <f t="shared" ref="G33" si="4">G32+H32</f>
        <v>0</v>
      </c>
      <c r="H33" s="203"/>
      <c r="I33" s="202">
        <f>I32+J32</f>
        <v>0</v>
      </c>
      <c r="J33" s="203"/>
      <c r="K33" s="202">
        <f t="shared" ref="K33" si="5">K32+L32</f>
        <v>0</v>
      </c>
      <c r="L33" s="203"/>
      <c r="M33" s="204">
        <f t="shared" ref="M33" si="6">M32+N32</f>
        <v>0</v>
      </c>
      <c r="N33" s="203"/>
      <c r="O33" s="204">
        <f t="shared" ref="O33" si="7">O32+P32</f>
        <v>0</v>
      </c>
      <c r="P33" s="203"/>
      <c r="Q33" s="204">
        <f t="shared" ref="Q33" si="8">Q32+R32</f>
        <v>0</v>
      </c>
      <c r="R33" s="203"/>
      <c r="S33" s="204">
        <f t="shared" ref="S33" si="9">S32+T32</f>
        <v>0</v>
      </c>
      <c r="T33" s="203"/>
      <c r="U33" s="199"/>
      <c r="V33" s="199"/>
      <c r="W33" s="199"/>
      <c r="X33" s="199"/>
      <c r="Y33" s="199"/>
      <c r="Z33" s="199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620</v>
      </c>
      <c r="H36" s="150" t="s">
        <v>46</v>
      </c>
      <c r="I36" s="48" t="s">
        <v>44</v>
      </c>
      <c r="J36" s="3"/>
      <c r="K36" s="3"/>
      <c r="L36" s="194" t="s">
        <v>28</v>
      </c>
      <c r="M36" s="194" t="s">
        <v>147</v>
      </c>
      <c r="N36" s="206"/>
      <c r="O36" s="192"/>
      <c r="P36" s="192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2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5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05"/>
      <c r="M37" s="70" t="s">
        <v>153</v>
      </c>
      <c r="N37" s="66" t="s">
        <v>170</v>
      </c>
      <c r="O37" s="71" t="s">
        <v>32</v>
      </c>
      <c r="P37" s="193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1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194" t="s">
        <v>149</v>
      </c>
      <c r="H40" s="19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00" t="s">
        <v>1</v>
      </c>
      <c r="M42" s="201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09" t="s">
        <v>2</v>
      </c>
      <c r="M43" s="210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574</v>
      </c>
      <c r="H44" s="154" t="s">
        <v>47</v>
      </c>
      <c r="I44" s="149" t="s">
        <v>575</v>
      </c>
      <c r="J44" s="156" t="s">
        <v>236</v>
      </c>
      <c r="K44" s="3"/>
      <c r="L44" s="200" t="s">
        <v>3</v>
      </c>
      <c r="M44" s="201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1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0</v>
      </c>
      <c r="I45" s="77">
        <v>0</v>
      </c>
      <c r="J45" s="77">
        <v>0</v>
      </c>
      <c r="K45" s="3"/>
      <c r="L45" s="209" t="s">
        <v>4</v>
      </c>
      <c r="M45" s="210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0</v>
      </c>
      <c r="I46" s="78">
        <v>0</v>
      </c>
      <c r="J46" s="78">
        <v>0</v>
      </c>
      <c r="K46" s="3"/>
      <c r="L46" s="200" t="s">
        <v>5</v>
      </c>
      <c r="M46" s="201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0</v>
      </c>
      <c r="I47" s="79">
        <v>0</v>
      </c>
      <c r="J47" s="79">
        <v>0</v>
      </c>
      <c r="K47" s="3"/>
      <c r="L47" s="209" t="s">
        <v>167</v>
      </c>
      <c r="M47" s="210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1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24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25"/>
      <c r="D56" s="225"/>
      <c r="E56" s="225"/>
      <c r="F56" s="225"/>
      <c r="G56" s="225"/>
      <c r="H56" s="225"/>
      <c r="I56" s="225"/>
      <c r="J56" s="225"/>
      <c r="K56" s="226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227"/>
      <c r="C57" s="228"/>
      <c r="D57" s="228"/>
      <c r="E57" s="228"/>
      <c r="F57" s="228"/>
      <c r="G57" s="228"/>
      <c r="H57" s="228"/>
      <c r="I57" s="228"/>
      <c r="J57" s="228"/>
      <c r="K57" s="229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11" t="s">
        <v>234</v>
      </c>
      <c r="C59" s="212"/>
      <c r="D59" s="212"/>
      <c r="E59" s="212"/>
      <c r="F59" s="212"/>
      <c r="G59" s="212"/>
      <c r="H59" s="212"/>
      <c r="I59" s="212"/>
      <c r="J59" s="212"/>
      <c r="K59" s="213"/>
    </row>
    <row r="60" spans="2:20" s="3" customFormat="1">
      <c r="B60" s="214"/>
      <c r="C60" s="215"/>
      <c r="D60" s="215"/>
      <c r="E60" s="215"/>
      <c r="F60" s="215"/>
      <c r="G60" s="215"/>
      <c r="H60" s="215"/>
      <c r="I60" s="215"/>
      <c r="J60" s="215"/>
      <c r="K60" s="216"/>
    </row>
    <row r="61" spans="2:20" s="3" customFormat="1" ht="14" thickBot="1">
      <c r="B61" s="217"/>
      <c r="C61" s="218"/>
      <c r="D61" s="218"/>
      <c r="E61" s="218"/>
      <c r="F61" s="218"/>
      <c r="G61" s="218"/>
      <c r="H61" s="218"/>
      <c r="I61" s="218"/>
      <c r="J61" s="218"/>
      <c r="K61" s="219"/>
    </row>
    <row r="62" spans="2:20" s="3" customFormat="1"/>
    <row r="63" spans="2:20" s="3" customFormat="1" ht="14">
      <c r="B63" s="220" t="s">
        <v>14</v>
      </c>
      <c r="C63" s="194" t="str">
        <f>ACT_TO_NS_G</f>
        <v>Touche à nous conservée</v>
      </c>
      <c r="D63" s="192"/>
      <c r="E63" s="194" t="str">
        <f>ACT_TO_ADV_VOLEE</f>
        <v>Touche à eux volée</v>
      </c>
      <c r="F63" s="192"/>
      <c r="H63" s="222" t="str">
        <f>ACT_TO_NS_P</f>
        <v>Touche à nous perdue</v>
      </c>
      <c r="I63" s="223"/>
      <c r="J63" s="222" t="str">
        <f>ACT_TO_NS_PAS_DROIT</f>
        <v>Touche à nous pas droite</v>
      </c>
      <c r="K63" s="223"/>
    </row>
    <row r="64" spans="2:20" s="3" customFormat="1" ht="14">
      <c r="B64" s="221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>
        <f>IF(COUNTIFS(JournalActions[Joueur],$B65,JournalActions[Action],$C$63,JournalActions[Mi-temps],C$64)=0,"",COUNTIFS(JournalActions[Joueur],$B65,JournalActions[Action],$C$63,JournalActions[Mi-temps],C$64))</f>
        <v>1</v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>
        <f>IF(COUNTIFS(JournalActions[Joueur],$B69,JournalActions[Action],$E$63,JournalActions[Mi-temps],E$64)=0,"",COUNTIFS(JournalActions[Joueur],$B69,JournalActions[Action],$E$63,JournalActions[Mi-temps],E$64))</f>
        <v>1</v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1</v>
      </c>
      <c r="D89" s="54">
        <f t="shared" ref="D89" si="10">SUM(D65:D88)</f>
        <v>0</v>
      </c>
      <c r="E89" s="53">
        <f>SUM(E65:E88)</f>
        <v>1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02">
        <f>C89+D89</f>
        <v>1</v>
      </c>
      <c r="D90" s="203"/>
      <c r="E90" s="202">
        <f>E89+F89</f>
        <v>1</v>
      </c>
      <c r="F90" s="203"/>
      <c r="H90" s="207">
        <f>H89+I89</f>
        <v>0</v>
      </c>
      <c r="I90" s="208"/>
      <c r="J90" s="207">
        <f>J89+K89</f>
        <v>0</v>
      </c>
      <c r="K90" s="208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32" t="s">
        <v>390</v>
      </c>
      <c r="G94" s="233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0</v>
      </c>
      <c r="D95" s="130">
        <v>0</v>
      </c>
      <c r="F95" s="230" t="s">
        <v>237</v>
      </c>
      <c r="G95" s="231"/>
      <c r="H95" s="81">
        <v>0</v>
      </c>
      <c r="I95" s="81">
        <v>0</v>
      </c>
      <c r="J95" s="135">
        <v>0</v>
      </c>
    </row>
    <row r="96" spans="2:11" s="3" customFormat="1" ht="16">
      <c r="B96" s="129" t="s">
        <v>238</v>
      </c>
      <c r="C96" s="81">
        <v>0</v>
      </c>
      <c r="D96" s="130">
        <v>0</v>
      </c>
      <c r="F96" s="230" t="s">
        <v>238</v>
      </c>
      <c r="G96" s="231"/>
      <c r="H96" s="81">
        <v>0</v>
      </c>
      <c r="I96" s="81">
        <v>0</v>
      </c>
      <c r="J96" s="135">
        <v>0</v>
      </c>
    </row>
    <row r="97" spans="2:10" s="3" customFormat="1" ht="16">
      <c r="B97" s="129" t="s">
        <v>239</v>
      </c>
      <c r="C97" s="81">
        <v>0</v>
      </c>
      <c r="D97" s="130">
        <v>0</v>
      </c>
      <c r="F97" s="230" t="s">
        <v>239</v>
      </c>
      <c r="G97" s="231"/>
      <c r="H97" s="81">
        <v>0</v>
      </c>
      <c r="I97" s="81">
        <v>0</v>
      </c>
      <c r="J97" s="135">
        <v>0</v>
      </c>
    </row>
    <row r="98" spans="2:10" s="3" customFormat="1" ht="16">
      <c r="B98" s="129" t="s">
        <v>240</v>
      </c>
      <c r="C98" s="81">
        <v>0</v>
      </c>
      <c r="D98" s="130">
        <v>0</v>
      </c>
      <c r="F98" s="230" t="s">
        <v>240</v>
      </c>
      <c r="G98" s="231"/>
      <c r="H98" s="81">
        <v>0</v>
      </c>
      <c r="I98" s="81">
        <v>0</v>
      </c>
      <c r="J98" s="135">
        <v>0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30" t="s">
        <v>391</v>
      </c>
      <c r="G99" s="231"/>
      <c r="H99" s="81">
        <v>0</v>
      </c>
      <c r="I99" s="81">
        <v>0</v>
      </c>
      <c r="J99" s="135">
        <v>0</v>
      </c>
    </row>
    <row r="100" spans="2:10" s="3" customFormat="1" ht="16">
      <c r="F100" s="230" t="s">
        <v>392</v>
      </c>
      <c r="G100" s="231"/>
      <c r="H100" s="81">
        <v>0</v>
      </c>
      <c r="I100" s="81">
        <v>0</v>
      </c>
      <c r="J100" s="135">
        <v>0</v>
      </c>
    </row>
    <row r="101" spans="2:10" s="3" customFormat="1" ht="16">
      <c r="F101" s="230" t="s">
        <v>393</v>
      </c>
      <c r="G101" s="231"/>
      <c r="H101" s="81">
        <v>0</v>
      </c>
      <c r="I101" s="81">
        <v>0</v>
      </c>
      <c r="J101" s="135">
        <v>0</v>
      </c>
    </row>
    <row r="102" spans="2:10" s="3" customFormat="1" ht="17" thickBot="1">
      <c r="F102" s="234" t="s">
        <v>394</v>
      </c>
      <c r="G102" s="235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15" priority="6" stopIfTrue="1">
      <formula>ISEVEN(ROW())</formula>
    </cfRule>
  </conditionalFormatting>
  <conditionalFormatting sqref="B65:B88">
    <cfRule type="expression" dxfId="14" priority="5" stopIfTrue="1">
      <formula>ISEVEN(ROW())</formula>
    </cfRule>
  </conditionalFormatting>
  <conditionalFormatting sqref="C65:D88">
    <cfRule type="expression" dxfId="13" priority="4" stopIfTrue="1">
      <formula>ISEVEN(ROW())</formula>
    </cfRule>
  </conditionalFormatting>
  <conditionalFormatting sqref="H65:I88">
    <cfRule type="expression" dxfId="12" priority="3" stopIfTrue="1">
      <formula>ISEVEN(ROW())</formula>
    </cfRule>
  </conditionalFormatting>
  <conditionalFormatting sqref="J65:K88">
    <cfRule type="expression" dxfId="11" priority="2" stopIfTrue="1">
      <formula>ISEVEN(ROW())</formula>
    </cfRule>
  </conditionalFormatting>
  <conditionalFormatting sqref="E65:F88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215"/>
  <sheetViews>
    <sheetView workbookViewId="0">
      <pane ySplit="2" topLeftCell="A3" activePane="bottomLeft" state="frozen"/>
      <selection pane="bottomLeft" activeCell="C22" sqref="C22"/>
    </sheetView>
    <sheetView workbookViewId="1"/>
  </sheetViews>
  <sheetFormatPr baseColWidth="10" defaultRowHeight="13"/>
  <cols>
    <col min="1" max="9" width="12.83203125" customWidth="1"/>
    <col min="10" max="10" width="40" bestFit="1" customWidth="1"/>
    <col min="11" max="20" width="12.83203125" customWidth="1"/>
    <col min="21" max="21" width="30.83203125" customWidth="1"/>
    <col min="22" max="33" width="10.83203125" customWidth="1"/>
  </cols>
  <sheetData>
    <row r="1" spans="1:31" ht="18">
      <c r="A1" s="98" t="s">
        <v>444</v>
      </c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</row>
    <row r="3" spans="1:31">
      <c r="A3" s="82"/>
      <c r="AE3" s="99"/>
    </row>
    <row r="4" spans="1:31">
      <c r="A4" s="82"/>
    </row>
    <row r="5" spans="1:31">
      <c r="A5" s="110" t="s">
        <v>221</v>
      </c>
      <c r="B5" s="111" t="s">
        <v>210</v>
      </c>
      <c r="C5" s="111" t="s">
        <v>144</v>
      </c>
      <c r="D5" s="111" t="s">
        <v>473</v>
      </c>
    </row>
    <row r="6" spans="1:31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</row>
    <row r="7" spans="1:31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</row>
    <row r="10" spans="1:31" ht="18">
      <c r="A10" s="98" t="s">
        <v>454</v>
      </c>
    </row>
    <row r="11" spans="1:31">
      <c r="A11" t="s">
        <v>445</v>
      </c>
      <c r="B11" t="s">
        <v>7</v>
      </c>
      <c r="C11" t="s">
        <v>472</v>
      </c>
      <c r="D11" t="s">
        <v>447</v>
      </c>
      <c r="E11" t="s">
        <v>455</v>
      </c>
      <c r="F11" t="s">
        <v>456</v>
      </c>
      <c r="G11" t="s">
        <v>457</v>
      </c>
      <c r="H11" t="s">
        <v>458</v>
      </c>
      <c r="I11" t="s">
        <v>459</v>
      </c>
      <c r="J11" t="s">
        <v>453</v>
      </c>
    </row>
    <row r="12" spans="1:31">
      <c r="A12" s="82"/>
      <c r="G12" s="96"/>
      <c r="H12" s="96"/>
      <c r="I12" s="96"/>
    </row>
    <row r="13" spans="1:31">
      <c r="A13" s="82"/>
      <c r="G13" s="96"/>
      <c r="H13" s="96"/>
      <c r="I13" s="96"/>
    </row>
    <row r="14" spans="1:31">
      <c r="A14" s="114" t="s">
        <v>474</v>
      </c>
      <c r="B14" s="115" t="s">
        <v>210</v>
      </c>
      <c r="C14" s="115" t="s">
        <v>144</v>
      </c>
      <c r="G14" s="96"/>
      <c r="H14" s="96"/>
      <c r="I14" s="96"/>
    </row>
    <row r="15" spans="1:31">
      <c r="A15" s="116" t="s">
        <v>142</v>
      </c>
      <c r="B15" s="117">
        <f>COUNTIFS(DetailMelees[Introduction pour],"N",DetailMelees[Issue],"G")</f>
        <v>0</v>
      </c>
      <c r="C15" s="117">
        <f>COUNTIFS(DetailMelees[Introduction pour],"N",DetailMelees[Issue],"P")</f>
        <v>0</v>
      </c>
      <c r="G15" s="96"/>
      <c r="H15" s="96"/>
      <c r="I15" s="96"/>
    </row>
    <row r="16" spans="1:31">
      <c r="A16" s="108" t="s">
        <v>172</v>
      </c>
      <c r="B16" s="109">
        <f>COUNTIFS(DetailMelees[Introduction pour],"E",DetailMelees[Issue],"P")</f>
        <v>0</v>
      </c>
      <c r="C16" s="109">
        <f>COUNTIFS(DetailMelees[Introduction pour],"E",DetailMelees[Issue],"G")</f>
        <v>0</v>
      </c>
      <c r="G16" s="96"/>
      <c r="H16" s="96"/>
      <c r="I16" s="96"/>
    </row>
    <row r="17" spans="1:9">
      <c r="G17" s="96"/>
      <c r="H17" s="96"/>
      <c r="I17" s="96"/>
    </row>
    <row r="18" spans="1:9">
      <c r="A18" s="236" t="s">
        <v>516</v>
      </c>
      <c r="B18" s="236"/>
      <c r="G18" s="96"/>
      <c r="H18" s="96"/>
      <c r="I18" s="96"/>
    </row>
    <row r="19" spans="1:9">
      <c r="A19" s="236"/>
      <c r="B19" s="236"/>
      <c r="G19" s="96"/>
      <c r="H19" s="96"/>
      <c r="I19" s="96"/>
    </row>
    <row r="191" spans="23:33">
      <c r="W191" t="s">
        <v>412</v>
      </c>
      <c r="X191" t="s">
        <v>415</v>
      </c>
      <c r="Y191" t="s">
        <v>419</v>
      </c>
      <c r="Z191" t="s">
        <v>420</v>
      </c>
      <c r="AA191" t="s">
        <v>426</v>
      </c>
      <c r="AB191" t="s">
        <v>429</v>
      </c>
      <c r="AC191" t="s">
        <v>438</v>
      </c>
      <c r="AD191" t="s">
        <v>440</v>
      </c>
      <c r="AE191" t="s">
        <v>460</v>
      </c>
      <c r="AF191" t="s">
        <v>469</v>
      </c>
      <c r="AG191" t="s">
        <v>659</v>
      </c>
    </row>
    <row r="192" spans="23:33">
      <c r="W192" t="s">
        <v>413</v>
      </c>
      <c r="X192" t="s">
        <v>416</v>
      </c>
      <c r="Y192" t="s">
        <v>416</v>
      </c>
      <c r="Z192" t="s">
        <v>421</v>
      </c>
      <c r="AA192" t="s">
        <v>427</v>
      </c>
      <c r="AB192" t="s">
        <v>430</v>
      </c>
      <c r="AC192">
        <v>2</v>
      </c>
      <c r="AD192" t="s">
        <v>441</v>
      </c>
      <c r="AE192" t="s">
        <v>461</v>
      </c>
      <c r="AF192" t="s">
        <v>470</v>
      </c>
      <c r="AG192" t="s">
        <v>483</v>
      </c>
    </row>
    <row r="193" spans="23:33">
      <c r="W193" t="s">
        <v>414</v>
      </c>
      <c r="X193" t="s">
        <v>417</v>
      </c>
      <c r="Y193" t="s">
        <v>417</v>
      </c>
      <c r="Z193" t="s">
        <v>422</v>
      </c>
      <c r="AA193" t="s">
        <v>428</v>
      </c>
      <c r="AB193" t="s">
        <v>431</v>
      </c>
      <c r="AC193">
        <v>3</v>
      </c>
      <c r="AD193" t="s">
        <v>442</v>
      </c>
      <c r="AE193" t="s">
        <v>170</v>
      </c>
      <c r="AF193" t="s">
        <v>471</v>
      </c>
      <c r="AG193" t="s">
        <v>480</v>
      </c>
    </row>
    <row r="194" spans="23:33">
      <c r="X194" t="s">
        <v>418</v>
      </c>
      <c r="Z194" t="s">
        <v>423</v>
      </c>
      <c r="AB194" t="s">
        <v>432</v>
      </c>
      <c r="AC194">
        <v>4</v>
      </c>
      <c r="AD194" t="s">
        <v>443</v>
      </c>
      <c r="AE194" t="s">
        <v>462</v>
      </c>
      <c r="AG194" t="s">
        <v>495</v>
      </c>
    </row>
    <row r="195" spans="23:33">
      <c r="Z195" t="s">
        <v>424</v>
      </c>
      <c r="AB195" t="s">
        <v>433</v>
      </c>
      <c r="AC195">
        <v>5</v>
      </c>
      <c r="AG195" t="s">
        <v>484</v>
      </c>
    </row>
    <row r="196" spans="23:33">
      <c r="Z196" t="s">
        <v>425</v>
      </c>
      <c r="AB196" t="s">
        <v>434</v>
      </c>
      <c r="AC196">
        <v>6</v>
      </c>
      <c r="AG196" t="s">
        <v>482</v>
      </c>
    </row>
    <row r="197" spans="23:33">
      <c r="AB197" t="s">
        <v>435</v>
      </c>
      <c r="AC197" t="s">
        <v>439</v>
      </c>
      <c r="AG197" t="s">
        <v>493</v>
      </c>
    </row>
    <row r="198" spans="23:33">
      <c r="AB198" t="s">
        <v>436</v>
      </c>
      <c r="AG198" t="s">
        <v>487</v>
      </c>
    </row>
    <row r="199" spans="23:33">
      <c r="AB199" t="s">
        <v>437</v>
      </c>
      <c r="AG199" t="s">
        <v>494</v>
      </c>
    </row>
    <row r="200" spans="23:33">
      <c r="AB200" t="s">
        <v>655</v>
      </c>
      <c r="AG200" t="s">
        <v>486</v>
      </c>
    </row>
    <row r="201" spans="23:33">
      <c r="AB201" t="s">
        <v>656</v>
      </c>
      <c r="AG201" t="s">
        <v>481</v>
      </c>
    </row>
    <row r="202" spans="23:33">
      <c r="AB202" t="s">
        <v>657</v>
      </c>
      <c r="AG202" t="s">
        <v>509</v>
      </c>
    </row>
    <row r="203" spans="23:33">
      <c r="AG203" t="s">
        <v>511</v>
      </c>
    </row>
    <row r="204" spans="23:33">
      <c r="AG204" t="s">
        <v>490</v>
      </c>
    </row>
    <row r="205" spans="23:33">
      <c r="AG205" t="s">
        <v>489</v>
      </c>
    </row>
    <row r="206" spans="23:33">
      <c r="AG206" t="s">
        <v>488</v>
      </c>
    </row>
    <row r="207" spans="23:33">
      <c r="AG207" t="s">
        <v>479</v>
      </c>
    </row>
    <row r="208" spans="23:33">
      <c r="AG208" t="s">
        <v>485</v>
      </c>
    </row>
    <row r="209" spans="33:33">
      <c r="AG209" t="s">
        <v>510</v>
      </c>
    </row>
    <row r="210" spans="33:33">
      <c r="AG210" t="s">
        <v>492</v>
      </c>
    </row>
    <row r="211" spans="33:33">
      <c r="AG211" t="s">
        <v>491</v>
      </c>
    </row>
    <row r="212" spans="33:33">
      <c r="AG212" t="s">
        <v>513</v>
      </c>
    </row>
    <row r="213" spans="33:33">
      <c r="AG213" t="s">
        <v>512</v>
      </c>
    </row>
    <row r="214" spans="33:33">
      <c r="AG214" t="s">
        <v>42</v>
      </c>
    </row>
    <row r="215" spans="33:33">
      <c r="AG215" t="s">
        <v>32</v>
      </c>
    </row>
  </sheetData>
  <mergeCells count="1">
    <mergeCell ref="A18:B19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2">
    <cfRule type="expression" dxfId="3" priority="7" stopIfTrue="1">
      <formula>($C12&amp;$D12)="NP"</formula>
    </cfRule>
    <cfRule type="expression" dxfId="2" priority="8" stopIfTrue="1">
      <formula>($C12&amp;$D12)="EG"</formula>
    </cfRule>
  </conditionalFormatting>
  <conditionalFormatting sqref="A12:J12">
    <cfRule type="expression" dxfId="1" priority="9" stopIfTrue="1">
      <formula>$C12="N"</formula>
    </cfRule>
    <cfRule type="expression" dxfId="0" priority="10" stopIfTrue="1">
      <formula>$C12&lt;&gt;""</formula>
    </cfRule>
  </conditionalFormatting>
  <dataValidations count="16">
    <dataValidation type="list" allowBlank="1" showInputMessage="1" showErrorMessage="1" sqref="E19" xr:uid="{64A4C253-AEB6-0746-8088-408393901E28}">
      <formula1>$AB$2:$AB$9</formula1>
    </dataValidation>
    <dataValidation type="list" allowBlank="1" showInputMessage="1" showErrorMessage="1" sqref="F19" xr:uid="{5677D023-EFE8-D448-B8D6-30965607D817}">
      <formula1>$AD$2:$AD$4</formula1>
    </dataValidation>
    <dataValidation type="list" allowBlank="1" showInputMessage="1" showErrorMessage="1" sqref="F5" xr:uid="{1615FE97-AFB3-C54F-BC34-C33B45FCAAD5}">
      <formula1>$Z$2:$Z$6</formula1>
    </dataValidation>
    <dataValidation type="list" allowBlank="1" showInputMessage="1" showErrorMessage="1" sqref="G5" xr:uid="{A897C233-410E-FA43-84DC-81DDFE13BCA7}">
      <formula1>$AA$2:$AA$3</formula1>
    </dataValidation>
    <dataValidation type="list" allowBlank="1" showInputMessage="1" showErrorMessage="1" sqref="I5" xr:uid="{28191346-D1F9-FA45-A0F3-F7AF4379ECEE}">
      <formula1>$AC$2:$AC$7</formula1>
    </dataValidation>
    <dataValidation type="list" allowBlank="1" showInputMessage="1" showErrorMessage="1" sqref="C3 C12" xr:uid="{B22A318D-8254-DF47-B1F5-0D9D9BD11491}">
      <formula1>$W$192:$W$193</formula1>
    </dataValidation>
    <dataValidation type="list" allowBlank="1" showInputMessage="1" showErrorMessage="1" sqref="D3" xr:uid="{49A95B8B-41FD-1043-99E8-1DC49F66A672}">
      <formula1>$X$192:$X$194</formula1>
    </dataValidation>
    <dataValidation type="list" allowBlank="1" showInputMessage="1" showErrorMessage="1" sqref="F3" xr:uid="{7485C071-855A-F64A-AD41-626646A59635}">
      <formula1>$Z$192:$Z$196</formula1>
    </dataValidation>
    <dataValidation type="list" allowBlank="1" showInputMessage="1" showErrorMessage="1" sqref="G3" xr:uid="{DC597234-DEA4-614A-96E5-DF00C9484D5A}">
      <formula1>$AA$192:$AA$193</formula1>
    </dataValidation>
    <dataValidation type="list" allowBlank="1" showInputMessage="1" showErrorMessage="1" sqref="H3 E12" xr:uid="{4D513F7B-B505-BB45-82B3-1D68C8DA627E}">
      <formula1>$AB$192:$AB$202</formula1>
    </dataValidation>
    <dataValidation type="list" allowBlank="1" showInputMessage="1" showErrorMessage="1" sqref="I3" xr:uid="{9957E5D2-3CB1-4949-8680-031E76BA6B54}">
      <formula1>$AC$192:$AC$197</formula1>
    </dataValidation>
    <dataValidation type="list" allowBlank="1" showInputMessage="1" showErrorMessage="1" sqref="E3" xr:uid="{885C39BB-168A-D24E-B963-434AFD9103B8}">
      <formula1>$AG$192:$AG$215</formula1>
    </dataValidation>
    <dataValidation type="list" allowBlank="1" showInputMessage="1" showErrorMessage="1" sqref="D12" xr:uid="{8E9E1CAA-22E1-B541-948F-7E0EC639A878}">
      <formula1>$Y$192:$Y$193</formula1>
    </dataValidation>
    <dataValidation type="list" allowBlank="1" showInputMessage="1" showErrorMessage="1" sqref="F12" xr:uid="{1599686B-1E4F-2443-AA72-256F6BD806CB}">
      <formula1>$AD$192:$AD$194</formula1>
    </dataValidation>
    <dataValidation type="list" allowBlank="1" showInputMessage="1" showErrorMessage="1" sqref="H5" xr:uid="{2910AAA6-AF93-4849-955E-B355D933E6E1}">
      <formula1>$AB$2:$AB$10</formula1>
    </dataValidation>
    <dataValidation type="list" allowBlank="1" showInputMessage="1" showErrorMessage="1" sqref="E5" xr:uid="{6C43C8CD-C31E-E946-A9BA-6099CC807F94}">
      <formula1>$AG$2:$AG$16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658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T2" t="s">
        <v>625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T3" t="s">
        <v>626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T4" t="s">
        <v>627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T5" t="s">
        <v>628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T6" t="s">
        <v>629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T7" t="s">
        <v>630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T8" t="s">
        <v>631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T9" s="15" t="s">
        <v>632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T10" t="s">
        <v>167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T11" s="15" t="s">
        <v>32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T12" t="s">
        <v>633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T13" s="15" t="s">
        <v>634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T14" t="s">
        <v>635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T15" s="15" t="s">
        <v>636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T16" t="s">
        <v>637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T17" s="15" t="s">
        <v>638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T18" t="s">
        <v>639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T19" t="s">
        <v>640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T20" t="s">
        <v>641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T21" t="s">
        <v>642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T22" t="s">
        <v>643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T23" t="s">
        <v>644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T24" t="s">
        <v>645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  <c r="T25" t="s">
        <v>646</v>
      </c>
    </row>
    <row r="26" spans="3:27" ht="30" customHeight="1">
      <c r="Q26" s="20" t="s">
        <v>131</v>
      </c>
      <c r="R26" s="65" t="s">
        <v>133</v>
      </c>
      <c r="T26" t="s">
        <v>647</v>
      </c>
    </row>
    <row r="27" spans="3:27" ht="30" customHeight="1">
      <c r="K27" s="16" t="s">
        <v>408</v>
      </c>
      <c r="Q27" s="20" t="s">
        <v>134</v>
      </c>
      <c r="R27" s="65" t="s">
        <v>135</v>
      </c>
      <c r="T27" t="s">
        <v>648</v>
      </c>
    </row>
    <row r="28" spans="3:27" ht="30" customHeight="1">
      <c r="K28" t="s">
        <v>409</v>
      </c>
      <c r="Q28" s="20" t="s">
        <v>136</v>
      </c>
      <c r="R28" s="65" t="s">
        <v>137</v>
      </c>
      <c r="T28" t="s">
        <v>649</v>
      </c>
    </row>
    <row r="29" spans="3:27" ht="30" customHeight="1">
      <c r="K29" t="s">
        <v>410</v>
      </c>
      <c r="Q29" s="20" t="s">
        <v>138</v>
      </c>
      <c r="R29" s="65" t="s">
        <v>10</v>
      </c>
      <c r="T29" t="s">
        <v>650</v>
      </c>
    </row>
    <row r="30" spans="3:27" ht="30" customHeight="1">
      <c r="Q30" s="20" t="s">
        <v>139</v>
      </c>
      <c r="R30" s="65" t="s">
        <v>140</v>
      </c>
      <c r="T30" t="s">
        <v>515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651</v>
      </c>
    </row>
    <row r="33" spans="17:20" ht="30" customHeight="1">
      <c r="Q33" s="20" t="s">
        <v>163</v>
      </c>
      <c r="R33" s="65" t="s">
        <v>156</v>
      </c>
      <c r="T33" t="s">
        <v>576</v>
      </c>
    </row>
    <row r="34" spans="17:20" ht="30" customHeight="1">
      <c r="Q34" s="20" t="s">
        <v>164</v>
      </c>
      <c r="R34" s="65" t="s">
        <v>82</v>
      </c>
      <c r="T34" t="s">
        <v>577</v>
      </c>
    </row>
    <row r="35" spans="17:20" ht="30" customHeight="1">
      <c r="Q35" s="20" t="s">
        <v>165</v>
      </c>
      <c r="R35" s="65" t="s">
        <v>84</v>
      </c>
      <c r="T35" t="s">
        <v>578</v>
      </c>
    </row>
    <row r="36" spans="17:20" ht="30" customHeight="1">
      <c r="Q36" s="20" t="s">
        <v>168</v>
      </c>
      <c r="R36" s="65" t="s">
        <v>32</v>
      </c>
      <c r="T36" t="s">
        <v>579</v>
      </c>
    </row>
    <row r="37" spans="17:20" ht="30" customHeight="1">
      <c r="Q37" s="25" t="s">
        <v>217</v>
      </c>
      <c r="R37" s="25" t="s">
        <v>218</v>
      </c>
      <c r="T37" t="s">
        <v>580</v>
      </c>
    </row>
    <row r="38" spans="17:20" ht="30" customHeight="1">
      <c r="Q38" s="21" t="s">
        <v>223</v>
      </c>
      <c r="R38" s="21" t="s">
        <v>224</v>
      </c>
      <c r="T38" t="s">
        <v>581</v>
      </c>
    </row>
    <row r="39" spans="17:20" ht="30" customHeight="1">
      <c r="Q39" s="21" t="s">
        <v>225</v>
      </c>
      <c r="R39" s="21" t="s">
        <v>226</v>
      </c>
      <c r="T39" t="s">
        <v>582</v>
      </c>
    </row>
    <row r="40" spans="17:20" ht="30" customHeight="1">
      <c r="Q40" s="21" t="s">
        <v>227</v>
      </c>
      <c r="R40" s="21" t="s">
        <v>228</v>
      </c>
      <c r="T40" t="s">
        <v>583</v>
      </c>
    </row>
    <row r="41" spans="17:20" ht="30" customHeight="1">
      <c r="Q41" s="25" t="s">
        <v>229</v>
      </c>
      <c r="R41" s="25" t="s">
        <v>230</v>
      </c>
      <c r="T41" t="s">
        <v>584</v>
      </c>
    </row>
    <row r="42" spans="17:20" ht="30" customHeight="1">
      <c r="Q42" s="25" t="s">
        <v>247</v>
      </c>
      <c r="R42" s="25" t="s">
        <v>248</v>
      </c>
      <c r="T42" t="s">
        <v>585</v>
      </c>
    </row>
    <row r="43" spans="17:20" ht="30" customHeight="1">
      <c r="Q43" s="25" t="s">
        <v>249</v>
      </c>
      <c r="R43" s="25" t="s">
        <v>250</v>
      </c>
      <c r="T43" t="s">
        <v>586</v>
      </c>
    </row>
    <row r="44" spans="17:20" ht="30" customHeight="1">
      <c r="Q44" s="25" t="s">
        <v>251</v>
      </c>
      <c r="R44" s="25" t="s">
        <v>252</v>
      </c>
      <c r="T44" t="s">
        <v>587</v>
      </c>
    </row>
    <row r="45" spans="17:20" ht="30" customHeight="1">
      <c r="Q45" s="25" t="s">
        <v>253</v>
      </c>
      <c r="R45" s="25" t="s">
        <v>259</v>
      </c>
      <c r="T45" t="s">
        <v>588</v>
      </c>
    </row>
    <row r="46" spans="17:20" ht="30" customHeight="1">
      <c r="Q46" s="25" t="s">
        <v>254</v>
      </c>
      <c r="R46" s="25" t="s">
        <v>260</v>
      </c>
      <c r="T46" t="s">
        <v>589</v>
      </c>
    </row>
    <row r="47" spans="17:20" ht="30" customHeight="1">
      <c r="Q47" s="25" t="s">
        <v>255</v>
      </c>
      <c r="R47" s="25" t="s">
        <v>261</v>
      </c>
      <c r="T47" t="s">
        <v>590</v>
      </c>
    </row>
    <row r="48" spans="17:20" ht="30" customHeight="1">
      <c r="Q48" s="25" t="s">
        <v>256</v>
      </c>
      <c r="R48" s="25" t="s">
        <v>262</v>
      </c>
      <c r="T48" t="s">
        <v>591</v>
      </c>
    </row>
    <row r="49" spans="17:20" ht="30" customHeight="1">
      <c r="Q49" s="25" t="s">
        <v>257</v>
      </c>
      <c r="R49" s="25" t="s">
        <v>263</v>
      </c>
      <c r="T49" t="s">
        <v>592</v>
      </c>
    </row>
    <row r="50" spans="17:20" ht="30" customHeight="1">
      <c r="Q50" s="25" t="s">
        <v>258</v>
      </c>
      <c r="R50" s="25" t="s">
        <v>264</v>
      </c>
      <c r="T50" t="s">
        <v>593</v>
      </c>
    </row>
    <row r="51" spans="17:20" ht="30" customHeight="1">
      <c r="Q51" s="21" t="s">
        <v>396</v>
      </c>
      <c r="R51" s="21" t="s">
        <v>399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2" t="s">
        <v>500</v>
      </c>
      <c r="R55" s="162" t="s">
        <v>502</v>
      </c>
    </row>
    <row r="56" spans="17:20" ht="30" customHeight="1">
      <c r="Q56" s="163" t="s">
        <v>501</v>
      </c>
      <c r="R56" s="163" t="s">
        <v>503</v>
      </c>
    </row>
    <row r="57" spans="17:20" ht="30" customHeight="1">
      <c r="Q57" s="21" t="s">
        <v>554</v>
      </c>
      <c r="R57" s="21" t="s">
        <v>555</v>
      </c>
    </row>
    <row r="58" spans="17:20" ht="30" customHeight="1">
      <c r="Q58" s="21" t="s">
        <v>556</v>
      </c>
      <c r="R58" s="21" t="s">
        <v>557</v>
      </c>
    </row>
    <row r="59" spans="17:20" ht="30" customHeight="1">
      <c r="Q59" s="21" t="s">
        <v>558</v>
      </c>
      <c r="R59" s="21" t="s">
        <v>559</v>
      </c>
    </row>
    <row r="60" spans="17:20" ht="30" customHeight="1">
      <c r="Q60" s="21" t="s">
        <v>560</v>
      </c>
      <c r="R60" s="21" t="s">
        <v>561</v>
      </c>
    </row>
    <row r="61" spans="17:20" ht="30" customHeight="1">
      <c r="Q61" s="21" t="s">
        <v>562</v>
      </c>
      <c r="R61" s="21" t="s">
        <v>563</v>
      </c>
    </row>
    <row r="62" spans="17:20" ht="30" customHeight="1">
      <c r="Q62" s="21" t="s">
        <v>564</v>
      </c>
      <c r="R62" s="21" t="s">
        <v>565</v>
      </c>
    </row>
    <row r="63" spans="17:20" ht="30" customHeight="1">
      <c r="Q63" s="21" t="s">
        <v>566</v>
      </c>
      <c r="R63" s="21" t="s">
        <v>567</v>
      </c>
    </row>
    <row r="64" spans="17:20" ht="30" customHeight="1">
      <c r="Q64" s="25" t="s">
        <v>568</v>
      </c>
      <c r="R64" s="25" t="s">
        <v>569</v>
      </c>
    </row>
    <row r="65" spans="17:18" ht="30" customHeight="1">
      <c r="Q65" s="25" t="s">
        <v>608</v>
      </c>
      <c r="R65" s="25" t="s">
        <v>609</v>
      </c>
    </row>
    <row r="66" spans="17:18" ht="30" customHeight="1">
      <c r="Q66" s="25" t="s">
        <v>610</v>
      </c>
      <c r="R66" s="25" t="s">
        <v>611</v>
      </c>
    </row>
    <row r="67" spans="17:18" ht="30" customHeight="1">
      <c r="Q67" s="25" t="s">
        <v>612</v>
      </c>
      <c r="R67" s="25" t="s">
        <v>613</v>
      </c>
    </row>
    <row r="68" spans="17:18" ht="30" customHeight="1">
      <c r="Q68" s="25" t="s">
        <v>614</v>
      </c>
      <c r="R68" s="25" t="s">
        <v>615</v>
      </c>
    </row>
    <row r="69" spans="17:18" ht="30" customHeight="1">
      <c r="Q69" s="25" t="s">
        <v>616</v>
      </c>
      <c r="R69" s="25" t="s">
        <v>617</v>
      </c>
    </row>
    <row r="70" spans="17:18" ht="30" customHeight="1">
      <c r="Q70" s="25" t="s">
        <v>618</v>
      </c>
      <c r="R70" s="25" t="s">
        <v>619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37" t="s">
        <v>76</v>
      </c>
      <c r="D5" s="237"/>
      <c r="E5" s="237"/>
      <c r="F5" s="237"/>
      <c r="G5" s="237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463</v>
      </c>
      <c r="AD2" s="101" t="s">
        <v>421</v>
      </c>
    </row>
    <row r="3" spans="2:30">
      <c r="AD3" s="101" t="s">
        <v>470</v>
      </c>
    </row>
    <row r="4" spans="2:30" ht="20" customHeight="1">
      <c r="B4" s="102" t="s">
        <v>445</v>
      </c>
      <c r="C4" s="245" t="s">
        <v>517</v>
      </c>
      <c r="D4" s="244"/>
      <c r="E4" s="240" t="s">
        <v>11</v>
      </c>
      <c r="F4" s="240"/>
      <c r="G4" s="240"/>
      <c r="AD4" s="101" t="s">
        <v>432</v>
      </c>
    </row>
    <row r="5" spans="2:30" ht="20" customHeight="1">
      <c r="B5" s="102" t="s">
        <v>7</v>
      </c>
      <c r="C5" s="244" t="s">
        <v>46</v>
      </c>
      <c r="D5" s="244"/>
      <c r="AD5" s="101">
        <v>6</v>
      </c>
    </row>
    <row r="6" spans="2:30" ht="20" customHeight="1">
      <c r="B6" s="102" t="s">
        <v>446</v>
      </c>
      <c r="C6" s="244" t="s">
        <v>55</v>
      </c>
      <c r="D6" s="244"/>
    </row>
    <row r="7" spans="2:30" ht="20" customHeight="1">
      <c r="B7" s="102" t="s">
        <v>447</v>
      </c>
      <c r="C7" s="244" t="s">
        <v>604</v>
      </c>
      <c r="D7" s="244"/>
    </row>
    <row r="8" spans="2:30" ht="8" customHeight="1"/>
    <row r="9" spans="2:30" ht="20" customHeight="1">
      <c r="B9" s="157" t="s">
        <v>448</v>
      </c>
      <c r="C9" s="241" t="s">
        <v>482</v>
      </c>
      <c r="D9" s="241"/>
      <c r="E9" s="241"/>
      <c r="F9" s="241"/>
    </row>
    <row r="10" spans="2:30" ht="8" customHeight="1"/>
    <row r="11" spans="2:30" ht="20" customHeight="1">
      <c r="B11" s="157" t="s">
        <v>452</v>
      </c>
      <c r="C11" s="242">
        <v>2</v>
      </c>
      <c r="D11" s="242"/>
      <c r="E11" s="242">
        <v>3</v>
      </c>
      <c r="F11" s="242"/>
      <c r="G11" s="242">
        <v>4</v>
      </c>
      <c r="H11" s="242"/>
      <c r="I11" s="242">
        <v>5</v>
      </c>
      <c r="J11" s="242"/>
      <c r="K11" s="247">
        <v>6</v>
      </c>
      <c r="L11" s="247"/>
      <c r="M11" s="242" t="s">
        <v>439</v>
      </c>
      <c r="N11" s="242"/>
    </row>
    <row r="12" spans="2:30" ht="8" customHeight="1"/>
    <row r="13" spans="2:30" ht="20" customHeight="1">
      <c r="B13" s="157" t="s">
        <v>464</v>
      </c>
      <c r="C13" s="247" t="s">
        <v>421</v>
      </c>
      <c r="D13" s="247"/>
      <c r="E13" s="242" t="s">
        <v>422</v>
      </c>
      <c r="F13" s="242"/>
      <c r="G13" s="242" t="s">
        <v>423</v>
      </c>
      <c r="H13" s="242"/>
      <c r="I13" s="242" t="s">
        <v>424</v>
      </c>
      <c r="J13" s="242"/>
      <c r="K13" s="242" t="s">
        <v>425</v>
      </c>
      <c r="L13" s="242"/>
    </row>
    <row r="14" spans="2:30" ht="8" customHeight="1"/>
    <row r="15" spans="2:30" ht="20" customHeight="1">
      <c r="B15" s="157" t="s">
        <v>450</v>
      </c>
      <c r="C15" s="247" t="s">
        <v>470</v>
      </c>
      <c r="D15" s="247"/>
      <c r="E15" s="242" t="s">
        <v>471</v>
      </c>
      <c r="F15" s="242"/>
    </row>
    <row r="16" spans="2:30" ht="8" customHeight="1"/>
    <row r="17" spans="2:14" ht="20" customHeight="1">
      <c r="B17" s="161" t="s">
        <v>594</v>
      </c>
      <c r="C17" s="243" t="s">
        <v>600</v>
      </c>
      <c r="D17" s="243"/>
      <c r="E17" s="243"/>
      <c r="F17" s="243"/>
      <c r="G17" s="243"/>
      <c r="I17" s="243" t="s">
        <v>601</v>
      </c>
      <c r="J17" s="243"/>
      <c r="K17" s="243"/>
      <c r="L17" s="243"/>
      <c r="M17" s="243"/>
    </row>
    <row r="18" spans="2:14" ht="20" customHeight="1">
      <c r="C18" s="158" t="s">
        <v>595</v>
      </c>
      <c r="D18" s="158" t="s">
        <v>596</v>
      </c>
      <c r="E18" s="158" t="s">
        <v>597</v>
      </c>
      <c r="F18" s="158" t="s">
        <v>598</v>
      </c>
      <c r="G18" s="158" t="s">
        <v>599</v>
      </c>
      <c r="H18" s="158" t="s">
        <v>435</v>
      </c>
      <c r="I18" s="158" t="s">
        <v>599</v>
      </c>
      <c r="J18" s="158" t="s">
        <v>598</v>
      </c>
      <c r="K18" s="158" t="s">
        <v>597</v>
      </c>
      <c r="L18" s="158" t="s">
        <v>596</v>
      </c>
      <c r="M18" s="158" t="s">
        <v>595</v>
      </c>
    </row>
    <row r="19" spans="2:14" ht="20" customHeight="1">
      <c r="B19" s="157" t="s">
        <v>603</v>
      </c>
      <c r="C19" s="159"/>
      <c r="D19" s="160"/>
      <c r="E19" s="312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38" t="s">
        <v>661</v>
      </c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</row>
    <row r="22" spans="2:14" ht="8" customHeight="1"/>
    <row r="23" spans="2:14" ht="26" customHeight="1">
      <c r="C23" s="239" t="s">
        <v>466</v>
      </c>
      <c r="D23" s="239"/>
      <c r="F23" s="240" t="s">
        <v>476</v>
      </c>
      <c r="G23" s="240"/>
      <c r="H23" s="240"/>
      <c r="I23" s="240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467</v>
      </c>
      <c r="AD2" s="101" t="s">
        <v>430</v>
      </c>
    </row>
    <row r="3" spans="2:30">
      <c r="AD3" s="101" t="s">
        <v>441</v>
      </c>
    </row>
    <row r="4" spans="2:30" ht="20" customHeight="1">
      <c r="B4" s="102" t="s">
        <v>445</v>
      </c>
      <c r="C4" s="245" t="s">
        <v>517</v>
      </c>
      <c r="D4" s="244"/>
      <c r="E4" s="240" t="s">
        <v>11</v>
      </c>
      <c r="F4" s="240"/>
      <c r="G4" s="240"/>
      <c r="AD4" s="101" t="s">
        <v>170</v>
      </c>
    </row>
    <row r="5" spans="2:30" ht="20" customHeight="1">
      <c r="B5" s="102" t="s">
        <v>7</v>
      </c>
      <c r="C5" s="244" t="s">
        <v>44</v>
      </c>
      <c r="D5" s="244"/>
    </row>
    <row r="6" spans="2:30" ht="20" customHeight="1">
      <c r="B6" s="102" t="s">
        <v>472</v>
      </c>
      <c r="C6" s="244" t="s">
        <v>47</v>
      </c>
      <c r="D6" s="244"/>
    </row>
    <row r="7" spans="2:30" ht="20" customHeight="1">
      <c r="B7" s="102" t="s">
        <v>447</v>
      </c>
      <c r="C7" s="244" t="s">
        <v>604</v>
      </c>
      <c r="D7" s="244"/>
    </row>
    <row r="8" spans="2:30" ht="8" customHeight="1"/>
    <row r="9" spans="2:30" ht="20" customHeight="1">
      <c r="B9" s="161" t="s">
        <v>602</v>
      </c>
      <c r="C9" s="243" t="s">
        <v>600</v>
      </c>
      <c r="D9" s="243"/>
      <c r="E9" s="243"/>
      <c r="F9" s="243"/>
      <c r="G9" s="243"/>
      <c r="I9" s="243" t="s">
        <v>601</v>
      </c>
      <c r="J9" s="243"/>
      <c r="K9" s="243"/>
      <c r="L9" s="243"/>
      <c r="M9" s="243"/>
    </row>
    <row r="10" spans="2:30" ht="20" customHeight="1">
      <c r="C10" s="158" t="s">
        <v>595</v>
      </c>
      <c r="D10" s="158" t="s">
        <v>596</v>
      </c>
      <c r="E10" s="158" t="s">
        <v>597</v>
      </c>
      <c r="F10" s="158" t="s">
        <v>598</v>
      </c>
      <c r="G10" s="158" t="s">
        <v>599</v>
      </c>
      <c r="H10" s="158" t="s">
        <v>435</v>
      </c>
      <c r="I10" s="158" t="s">
        <v>599</v>
      </c>
      <c r="J10" s="158" t="s">
        <v>598</v>
      </c>
      <c r="K10" s="158" t="s">
        <v>597</v>
      </c>
      <c r="L10" s="158" t="s">
        <v>596</v>
      </c>
      <c r="M10" s="158" t="s">
        <v>595</v>
      </c>
    </row>
    <row r="11" spans="2:30" ht="20" customHeight="1">
      <c r="B11" s="157" t="s">
        <v>441</v>
      </c>
      <c r="C11" s="312"/>
      <c r="D11" s="160"/>
      <c r="E11" s="160"/>
      <c r="F11" s="160"/>
      <c r="G11" s="160"/>
      <c r="H11" s="160"/>
      <c r="I11" s="160"/>
      <c r="J11" s="160"/>
      <c r="K11" s="160"/>
      <c r="L11" s="160"/>
      <c r="M11" s="159"/>
    </row>
    <row r="12" spans="2:30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30" ht="20" customHeight="1">
      <c r="B13" s="157" t="s">
        <v>443</v>
      </c>
      <c r="C13" s="159"/>
      <c r="D13" s="160"/>
      <c r="E13" s="160"/>
      <c r="F13" s="160"/>
      <c r="G13" s="160"/>
      <c r="H13" s="160"/>
      <c r="I13" s="160"/>
      <c r="J13" s="160"/>
      <c r="K13" s="160"/>
      <c r="L13" s="160"/>
      <c r="M13" s="159"/>
    </row>
    <row r="14" spans="2:30" ht="8" customHeight="1"/>
    <row r="15" spans="2:30" ht="20" customHeight="1">
      <c r="B15" s="157" t="s">
        <v>468</v>
      </c>
      <c r="C15" s="242" t="s">
        <v>461</v>
      </c>
      <c r="D15" s="242"/>
      <c r="E15" s="247" t="s">
        <v>170</v>
      </c>
      <c r="F15" s="247"/>
      <c r="G15" s="242" t="s">
        <v>462</v>
      </c>
      <c r="H15" s="242"/>
    </row>
    <row r="16" spans="2:30" ht="8" customHeight="1"/>
    <row r="17" spans="2:14" ht="20" customHeight="1">
      <c r="B17" s="157" t="s">
        <v>453</v>
      </c>
      <c r="C17" s="238" t="s">
        <v>660</v>
      </c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</row>
    <row r="18" spans="2:14" ht="8" customHeight="1"/>
    <row r="19" spans="2:14" ht="26" customHeight="1">
      <c r="C19" s="239" t="s">
        <v>466</v>
      </c>
      <c r="D19" s="239"/>
      <c r="F19" s="240" t="s">
        <v>476</v>
      </c>
      <c r="G19" s="240"/>
      <c r="H19" s="240"/>
      <c r="I19" s="240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624</v>
      </c>
    </row>
    <row r="4" spans="2:21" ht="14" customHeight="1">
      <c r="B4" s="102" t="s">
        <v>445</v>
      </c>
      <c r="C4" s="245" t="s">
        <v>517</v>
      </c>
      <c r="D4" s="244"/>
      <c r="E4" s="240" t="s">
        <v>11</v>
      </c>
      <c r="F4" s="240"/>
      <c r="K4" s="301"/>
      <c r="L4" s="301"/>
      <c r="M4" s="301"/>
      <c r="N4" s="301"/>
      <c r="O4" s="301"/>
      <c r="P4" s="301"/>
      <c r="Q4" s="301"/>
      <c r="R4" s="301"/>
      <c r="S4" s="301"/>
      <c r="T4" s="301"/>
      <c r="U4" s="301"/>
    </row>
    <row r="5" spans="2:21" ht="15" customHeight="1">
      <c r="B5" s="102" t="s">
        <v>7</v>
      </c>
      <c r="C5" s="244" t="s">
        <v>46</v>
      </c>
      <c r="D5" s="244"/>
      <c r="K5" s="301"/>
      <c r="L5" s="301"/>
      <c r="M5" s="301"/>
      <c r="N5" s="301"/>
      <c r="O5" s="301"/>
      <c r="P5" s="301"/>
      <c r="Q5" s="301"/>
      <c r="R5" s="301"/>
      <c r="S5" s="301"/>
      <c r="T5" s="301"/>
      <c r="U5" s="301"/>
    </row>
    <row r="6" spans="2:21">
      <c r="B6" s="102" t="s">
        <v>475</v>
      </c>
      <c r="C6" s="244" t="s">
        <v>55</v>
      </c>
      <c r="D6" s="244"/>
    </row>
    <row r="7" spans="2:21" ht="32" customHeight="1">
      <c r="B7" s="293"/>
      <c r="C7" s="293"/>
      <c r="D7" s="293"/>
      <c r="E7" s="293"/>
      <c r="F7" s="293"/>
      <c r="G7" s="293"/>
      <c r="H7" s="293"/>
      <c r="I7" s="293"/>
      <c r="K7" s="302"/>
      <c r="L7" s="303"/>
      <c r="M7" s="303"/>
      <c r="O7" s="302"/>
      <c r="P7" s="303"/>
      <c r="Q7" s="303"/>
      <c r="S7" s="302"/>
      <c r="T7" s="303"/>
      <c r="U7" s="303"/>
    </row>
    <row r="8" spans="2:21" ht="10" customHeight="1">
      <c r="B8" s="293"/>
      <c r="C8" s="293"/>
      <c r="D8" s="293"/>
      <c r="E8" s="293"/>
      <c r="F8" s="293"/>
      <c r="G8" s="293"/>
      <c r="H8" s="293"/>
      <c r="I8" s="293"/>
    </row>
    <row r="9" spans="2:21" ht="32" customHeight="1">
      <c r="B9" s="242" t="s">
        <v>625</v>
      </c>
      <c r="C9" s="242"/>
      <c r="D9" s="293"/>
      <c r="E9" s="242" t="s">
        <v>633</v>
      </c>
      <c r="F9" s="242"/>
      <c r="G9" s="293"/>
      <c r="H9" s="247" t="s">
        <v>644</v>
      </c>
      <c r="I9" s="242"/>
      <c r="M9" s="302"/>
      <c r="N9" s="303"/>
      <c r="O9" s="303"/>
      <c r="Q9" s="302"/>
      <c r="R9" s="303"/>
      <c r="S9" s="303"/>
    </row>
    <row r="10" spans="2:21" ht="10" customHeight="1">
      <c r="B10" s="293"/>
      <c r="C10" s="293"/>
      <c r="D10" s="293"/>
      <c r="E10" s="293"/>
      <c r="F10" s="293"/>
      <c r="G10" s="293"/>
      <c r="H10" s="293"/>
      <c r="I10" s="293"/>
    </row>
    <row r="11" spans="2:21" ht="32" customHeight="1">
      <c r="B11" s="242" t="s">
        <v>626</v>
      </c>
      <c r="C11" s="242"/>
      <c r="D11" s="293"/>
      <c r="E11" s="242" t="s">
        <v>634</v>
      </c>
      <c r="F11" s="242"/>
      <c r="G11" s="293"/>
      <c r="H11" s="242" t="s">
        <v>645</v>
      </c>
      <c r="I11" s="242"/>
      <c r="K11" s="302"/>
      <c r="L11" s="303"/>
      <c r="M11" s="303"/>
      <c r="O11" s="302"/>
      <c r="P11" s="303"/>
      <c r="Q11" s="303"/>
      <c r="S11" s="302"/>
      <c r="T11" s="303"/>
      <c r="U11" s="303"/>
    </row>
    <row r="12" spans="2:21" ht="10" customHeight="1">
      <c r="B12" s="293"/>
      <c r="C12" s="293"/>
      <c r="D12" s="293"/>
      <c r="E12" s="293"/>
      <c r="F12" s="293"/>
      <c r="G12" s="293"/>
      <c r="H12" s="293"/>
      <c r="I12" s="293"/>
    </row>
    <row r="13" spans="2:21" ht="32" customHeight="1">
      <c r="B13" s="242" t="s">
        <v>627</v>
      </c>
      <c r="C13" s="242"/>
      <c r="D13" s="293"/>
      <c r="E13" s="242" t="s">
        <v>635</v>
      </c>
      <c r="F13" s="242"/>
      <c r="G13" s="293"/>
      <c r="H13" s="242" t="s">
        <v>646</v>
      </c>
      <c r="I13" s="242"/>
      <c r="M13" s="302"/>
      <c r="N13" s="303"/>
      <c r="O13" s="303"/>
    </row>
    <row r="14" spans="2:21" ht="10" customHeight="1">
      <c r="B14" s="293"/>
      <c r="C14" s="293"/>
      <c r="D14" s="293"/>
      <c r="E14" s="293"/>
      <c r="F14" s="293"/>
      <c r="G14" s="293"/>
      <c r="H14" s="293"/>
      <c r="I14" s="293"/>
    </row>
    <row r="15" spans="2:21" ht="32" customHeight="1">
      <c r="B15" s="242" t="s">
        <v>628</v>
      </c>
      <c r="C15" s="242"/>
      <c r="D15" s="293"/>
      <c r="E15" s="242" t="s">
        <v>636</v>
      </c>
      <c r="F15" s="242"/>
      <c r="G15" s="293"/>
      <c r="H15" s="242" t="s">
        <v>647</v>
      </c>
      <c r="I15" s="300"/>
      <c r="P15" s="302"/>
      <c r="Q15" s="303"/>
      <c r="R15" s="303"/>
    </row>
    <row r="16" spans="2:21" ht="10" customHeight="1">
      <c r="B16" s="293"/>
      <c r="C16" s="293"/>
      <c r="D16" s="293"/>
      <c r="E16" s="293"/>
      <c r="F16" s="293"/>
      <c r="G16" s="293"/>
      <c r="H16" s="293"/>
      <c r="I16" s="293"/>
    </row>
    <row r="17" spans="2:21" ht="32" customHeight="1">
      <c r="B17" s="242" t="s">
        <v>629</v>
      </c>
      <c r="C17" s="242"/>
      <c r="D17" s="293"/>
      <c r="E17" s="242" t="s">
        <v>637</v>
      </c>
      <c r="F17" s="242"/>
      <c r="G17" s="293"/>
      <c r="H17" s="242" t="s">
        <v>648</v>
      </c>
      <c r="I17" s="242"/>
      <c r="M17" s="302"/>
      <c r="N17" s="303"/>
      <c r="O17" s="303"/>
      <c r="Q17" s="302"/>
      <c r="R17" s="303"/>
      <c r="S17" s="303"/>
    </row>
    <row r="18" spans="2:21" ht="10" customHeight="1">
      <c r="B18" s="293"/>
      <c r="C18" s="293"/>
      <c r="D18" s="293"/>
      <c r="E18" s="293"/>
      <c r="F18" s="293"/>
      <c r="G18" s="293"/>
      <c r="H18" s="293"/>
      <c r="I18" s="293"/>
    </row>
    <row r="19" spans="2:21" ht="32" customHeight="1">
      <c r="B19" s="293"/>
      <c r="C19" s="293"/>
      <c r="D19" s="293"/>
      <c r="E19" s="242" t="s">
        <v>638</v>
      </c>
      <c r="F19" s="242"/>
      <c r="G19" s="293"/>
      <c r="H19" s="242" t="s">
        <v>649</v>
      </c>
      <c r="I19" s="242"/>
      <c r="K19" s="302"/>
      <c r="L19" s="303"/>
      <c r="M19" s="303"/>
      <c r="O19" s="302"/>
      <c r="P19" s="303"/>
      <c r="Q19" s="303"/>
      <c r="S19" s="302"/>
      <c r="T19" s="303"/>
      <c r="U19" s="303"/>
    </row>
    <row r="20" spans="2:21" ht="10" customHeight="1">
      <c r="B20" s="293"/>
      <c r="C20" s="293"/>
      <c r="D20" s="293"/>
      <c r="E20" s="293"/>
      <c r="F20" s="293"/>
      <c r="G20" s="293"/>
      <c r="H20" s="293"/>
      <c r="I20" s="293"/>
    </row>
    <row r="21" spans="2:21" ht="25" customHeight="1">
      <c r="B21" s="242" t="s">
        <v>630</v>
      </c>
      <c r="C21" s="242"/>
      <c r="D21" s="293"/>
      <c r="E21" s="242" t="s">
        <v>639</v>
      </c>
      <c r="F21" s="242"/>
      <c r="G21" s="293"/>
      <c r="H21" s="242" t="s">
        <v>650</v>
      </c>
      <c r="I21" s="242"/>
      <c r="K21" s="302"/>
      <c r="L21" s="303"/>
      <c r="M21" s="303"/>
      <c r="S21" s="302"/>
      <c r="T21" s="303"/>
      <c r="U21" s="303"/>
    </row>
    <row r="22" spans="2:21" ht="10" customHeight="1">
      <c r="B22" s="293"/>
      <c r="C22" s="293"/>
      <c r="D22" s="293"/>
      <c r="E22" s="293"/>
      <c r="F22" s="293"/>
      <c r="G22" s="293"/>
      <c r="H22" s="293"/>
      <c r="I22" s="293"/>
    </row>
    <row r="23" spans="2:21" ht="25" customHeight="1">
      <c r="B23" s="242" t="s">
        <v>631</v>
      </c>
      <c r="C23" s="242"/>
      <c r="D23" s="293"/>
      <c r="E23" s="242" t="s">
        <v>640</v>
      </c>
      <c r="F23" s="242"/>
      <c r="G23" s="293"/>
      <c r="H23" s="242" t="s">
        <v>515</v>
      </c>
      <c r="I23" s="242"/>
      <c r="K23" s="302"/>
      <c r="L23" s="302"/>
      <c r="M23" s="302"/>
      <c r="S23" s="302"/>
      <c r="T23" s="302"/>
      <c r="U23" s="302"/>
    </row>
    <row r="24" spans="2:21" ht="10" customHeight="1">
      <c r="B24" s="293"/>
      <c r="C24" s="293"/>
      <c r="D24" s="293"/>
      <c r="E24" s="293"/>
      <c r="F24" s="293"/>
      <c r="G24" s="293"/>
      <c r="H24" s="293"/>
      <c r="I24" s="293"/>
    </row>
    <row r="25" spans="2:21" ht="25" customHeight="1">
      <c r="B25" s="242" t="s">
        <v>632</v>
      </c>
      <c r="C25" s="242"/>
      <c r="D25" s="293"/>
      <c r="E25" s="242" t="s">
        <v>641</v>
      </c>
      <c r="F25" s="242"/>
      <c r="G25" s="293"/>
      <c r="H25" s="242" t="s">
        <v>156</v>
      </c>
      <c r="I25" s="242"/>
    </row>
    <row r="26" spans="2:21" ht="10" customHeight="1">
      <c r="B26" s="293"/>
      <c r="C26" s="293"/>
      <c r="D26" s="293"/>
      <c r="E26" s="293"/>
      <c r="F26" s="293"/>
      <c r="G26" s="293"/>
      <c r="H26" s="293"/>
      <c r="I26" s="293"/>
    </row>
    <row r="27" spans="2:21" ht="25" customHeight="1">
      <c r="B27" s="242" t="s">
        <v>167</v>
      </c>
      <c r="C27" s="242"/>
      <c r="D27" s="293"/>
      <c r="E27" s="242" t="s">
        <v>642</v>
      </c>
      <c r="F27" s="242"/>
      <c r="G27" s="293"/>
      <c r="H27" s="242" t="s">
        <v>651</v>
      </c>
      <c r="I27" s="242"/>
    </row>
    <row r="28" spans="2:21" ht="10" customHeight="1">
      <c r="B28" s="293"/>
      <c r="C28" s="293"/>
      <c r="D28" s="293"/>
      <c r="E28" s="293"/>
      <c r="F28" s="293"/>
      <c r="G28" s="293"/>
      <c r="H28" s="293"/>
      <c r="I28" s="293"/>
    </row>
    <row r="29" spans="2:21" ht="25" customHeight="1">
      <c r="B29" s="242" t="s">
        <v>32</v>
      </c>
      <c r="C29" s="242"/>
      <c r="D29" s="293"/>
      <c r="E29" s="242" t="s">
        <v>643</v>
      </c>
      <c r="F29" s="242"/>
      <c r="G29" s="293"/>
      <c r="H29" s="242" t="s">
        <v>576</v>
      </c>
      <c r="I29" s="242"/>
    </row>
    <row r="30" spans="2:21" ht="10" customHeight="1">
      <c r="B30" s="293"/>
      <c r="C30" s="293"/>
      <c r="D30" s="293"/>
      <c r="E30" s="293"/>
      <c r="F30" s="293"/>
      <c r="G30" s="293"/>
      <c r="H30" s="293"/>
      <c r="I30" s="293"/>
    </row>
    <row r="31" spans="2:21" ht="9" customHeight="1">
      <c r="B31" s="293"/>
      <c r="C31" s="293"/>
      <c r="D31" s="293"/>
      <c r="E31" s="293"/>
      <c r="F31" s="293"/>
      <c r="G31" s="293"/>
      <c r="H31" s="293"/>
      <c r="I31" s="293"/>
    </row>
    <row r="32" spans="2:21" ht="26" customHeight="1">
      <c r="B32" s="239" t="s">
        <v>466</v>
      </c>
      <c r="C32" s="239"/>
      <c r="D32" s="121"/>
      <c r="E32" s="240" t="s">
        <v>476</v>
      </c>
      <c r="F32" s="240"/>
      <c r="G32" s="240"/>
      <c r="H32" s="240"/>
      <c r="I32" s="121"/>
    </row>
  </sheetData>
  <mergeCells count="58"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27:F27"/>
    <mergeCell ref="E29:F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518</v>
      </c>
      <c r="L1" s="101" t="s">
        <v>533</v>
      </c>
    </row>
    <row r="2" spans="2:12" ht="21">
      <c r="B2" s="100" t="s">
        <v>496</v>
      </c>
      <c r="J2" s="101" t="s">
        <v>519</v>
      </c>
      <c r="L2" s="101" t="s">
        <v>534</v>
      </c>
    </row>
    <row r="3" spans="2:12">
      <c r="J3" s="101" t="s">
        <v>520</v>
      </c>
      <c r="L3" s="101" t="s">
        <v>535</v>
      </c>
    </row>
    <row r="4" spans="2:12">
      <c r="B4" s="102" t="s">
        <v>445</v>
      </c>
      <c r="D4" s="137" t="s">
        <v>517</v>
      </c>
      <c r="E4" s="104" t="s">
        <v>11</v>
      </c>
      <c r="J4" s="101" t="s">
        <v>521</v>
      </c>
      <c r="L4" s="101" t="s">
        <v>536</v>
      </c>
    </row>
    <row r="5" spans="2:12">
      <c r="B5" s="118" t="s">
        <v>499</v>
      </c>
      <c r="D5" s="122"/>
      <c r="J5" s="101" t="s">
        <v>522</v>
      </c>
      <c r="L5" s="101" t="s">
        <v>537</v>
      </c>
    </row>
    <row r="6" spans="2:12">
      <c r="J6" s="101" t="s">
        <v>523</v>
      </c>
      <c r="L6" s="101" t="s">
        <v>538</v>
      </c>
    </row>
    <row r="7" spans="2:12">
      <c r="B7" s="118" t="s">
        <v>497</v>
      </c>
      <c r="D7" s="118" t="s">
        <v>498</v>
      </c>
      <c r="J7" s="101" t="s">
        <v>524</v>
      </c>
      <c r="L7" s="101" t="s">
        <v>539</v>
      </c>
    </row>
    <row r="8" spans="2:12">
      <c r="B8" s="123"/>
      <c r="D8" s="123"/>
      <c r="J8" s="101" t="s">
        <v>525</v>
      </c>
    </row>
    <row r="9" spans="2:12">
      <c r="B9" s="123"/>
      <c r="D9" s="123"/>
      <c r="J9" s="101" t="s">
        <v>526</v>
      </c>
    </row>
    <row r="10" spans="2:12">
      <c r="B10" s="123"/>
      <c r="D10" s="123"/>
      <c r="J10" s="101" t="s">
        <v>527</v>
      </c>
    </row>
    <row r="11" spans="2:12">
      <c r="B11" s="123"/>
      <c r="D11" s="123"/>
      <c r="J11" s="101" t="s">
        <v>528</v>
      </c>
    </row>
    <row r="12" spans="2:12">
      <c r="B12" s="123"/>
      <c r="D12" s="123"/>
      <c r="J12" s="101" t="s">
        <v>529</v>
      </c>
    </row>
    <row r="13" spans="2:12">
      <c r="J13" s="101" t="s">
        <v>530</v>
      </c>
    </row>
    <row r="14" spans="2:12" ht="26" customHeight="1">
      <c r="B14" s="103" t="s">
        <v>466</v>
      </c>
      <c r="C14" s="121"/>
      <c r="D14" s="104" t="s">
        <v>465</v>
      </c>
      <c r="J14" s="101" t="s">
        <v>531</v>
      </c>
    </row>
    <row r="15" spans="2:12">
      <c r="J15" s="101" t="s">
        <v>532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570</v>
      </c>
    </row>
    <row r="4" spans="2:8">
      <c r="B4" s="102" t="s">
        <v>571</v>
      </c>
      <c r="C4" s="245" t="s">
        <v>517</v>
      </c>
      <c r="D4" s="244"/>
      <c r="G4" s="240" t="s">
        <v>11</v>
      </c>
      <c r="H4" s="240"/>
    </row>
    <row r="5" spans="2:8">
      <c r="B5" s="102" t="s">
        <v>7</v>
      </c>
      <c r="C5" s="244" t="s">
        <v>46</v>
      </c>
      <c r="D5" s="244"/>
    </row>
    <row r="7" spans="2:8" ht="22" customHeight="1">
      <c r="B7" s="246" t="s">
        <v>572</v>
      </c>
      <c r="C7" s="246"/>
      <c r="D7" s="246"/>
      <c r="E7" s="246"/>
      <c r="F7" s="246"/>
      <c r="G7" s="246"/>
      <c r="H7" s="246"/>
    </row>
    <row r="9" spans="2:8" ht="22" customHeight="1">
      <c r="B9" s="304" t="s">
        <v>652</v>
      </c>
      <c r="C9" s="304"/>
      <c r="D9" s="304"/>
      <c r="E9" s="304"/>
      <c r="F9" s="304"/>
      <c r="G9" s="304"/>
      <c r="H9" s="304"/>
    </row>
    <row r="10" spans="2:8" ht="8" customHeight="1"/>
    <row r="11" spans="2:8" ht="22" customHeight="1">
      <c r="B11" s="247" t="s">
        <v>653</v>
      </c>
      <c r="C11" s="247"/>
      <c r="D11" s="247"/>
      <c r="E11" s="247"/>
      <c r="F11" s="247"/>
      <c r="G11" s="247"/>
      <c r="H11" s="247"/>
    </row>
    <row r="12" spans="2:8" ht="8" customHeight="1"/>
    <row r="13" spans="2:8" ht="22" customHeight="1">
      <c r="B13" s="305"/>
      <c r="C13" s="305"/>
      <c r="D13" s="305"/>
      <c r="E13" s="305"/>
      <c r="F13" s="305"/>
      <c r="G13" s="305"/>
      <c r="H13" s="305"/>
    </row>
    <row r="14" spans="2:8" ht="8" customHeight="1"/>
    <row r="15" spans="2:8" ht="22" customHeight="1">
      <c r="B15" s="305"/>
      <c r="C15" s="305"/>
      <c r="D15" s="305"/>
      <c r="E15" s="305"/>
      <c r="F15" s="305"/>
      <c r="G15" s="305"/>
      <c r="H15" s="305"/>
    </row>
    <row r="16" spans="2:8" ht="8" customHeight="1"/>
    <row r="17" spans="2:8" ht="22" customHeight="1">
      <c r="B17" s="305"/>
      <c r="C17" s="305"/>
      <c r="D17" s="305"/>
      <c r="E17" s="305"/>
      <c r="F17" s="305"/>
      <c r="G17" s="305"/>
      <c r="H17" s="305"/>
    </row>
    <row r="18" spans="2:8" ht="8" customHeight="1"/>
    <row r="19" spans="2:8" ht="22" customHeight="1">
      <c r="B19" s="305"/>
      <c r="C19" s="305"/>
      <c r="D19" s="305"/>
      <c r="E19" s="305"/>
      <c r="F19" s="305"/>
      <c r="G19" s="305"/>
      <c r="H19" s="305"/>
    </row>
    <row r="20" spans="2:8" ht="8" customHeight="1"/>
    <row r="21" spans="2:8" ht="22" customHeight="1">
      <c r="B21" s="305"/>
      <c r="C21" s="305"/>
      <c r="D21" s="305"/>
      <c r="E21" s="305"/>
      <c r="F21" s="305"/>
      <c r="G21" s="305"/>
      <c r="H21" s="305"/>
    </row>
    <row r="22" spans="2:8" ht="8" customHeight="1"/>
    <row r="23" spans="2:8" ht="22" customHeight="1">
      <c r="B23" s="305"/>
      <c r="C23" s="305"/>
      <c r="D23" s="305"/>
      <c r="E23" s="305"/>
      <c r="F23" s="305"/>
      <c r="G23" s="305"/>
      <c r="H23" s="305"/>
    </row>
    <row r="24" spans="2:8" ht="8" customHeight="1"/>
    <row r="25" spans="2:8" ht="22" customHeight="1">
      <c r="B25" s="305"/>
      <c r="C25" s="305"/>
      <c r="D25" s="305"/>
      <c r="E25" s="305"/>
      <c r="F25" s="305"/>
      <c r="G25" s="305"/>
      <c r="H25" s="305"/>
    </row>
    <row r="26" spans="2:8" ht="8" customHeight="1"/>
    <row r="27" spans="2:8" ht="22" customHeight="1">
      <c r="B27" s="305"/>
      <c r="C27" s="305"/>
      <c r="D27" s="305"/>
      <c r="E27" s="305"/>
      <c r="F27" s="305"/>
      <c r="G27" s="305"/>
      <c r="H27" s="305"/>
    </row>
    <row r="28" spans="2:8" ht="8" customHeight="1"/>
    <row r="29" spans="2:8" ht="26" customHeight="1">
      <c r="B29" s="239" t="s">
        <v>466</v>
      </c>
      <c r="C29" s="239"/>
      <c r="D29" s="121"/>
      <c r="E29" s="240" t="s">
        <v>476</v>
      </c>
      <c r="F29" s="240"/>
      <c r="G29" s="240"/>
      <c r="H29" s="240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2026-10-21T09:02:13Z</dcterms:modified>
</cp:coreProperties>
</file>