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75EE7C21-BB44-8944-A7ED-1DAFB87FF85B}" xr6:coauthVersionLast="47" xr6:coauthVersionMax="47" xr10:uidLastSave="{00000000-0000-0000-0000-000000000000}"/>
  <bookViews>
    <workbookView xWindow="10740" yWindow="660" windowWidth="23820" windowHeight="1766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12" l="1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C23" i="18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<sst xmlns="http://schemas.openxmlformats.org/spreadsheetml/2006/main" count="940" uniqueCount="644">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</sst>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2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 vertical="center" wrapText="1"/>
    </xf>
    <xf numFmtId="0" fontId="51" fillId="43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0" fillId="40" borderId="44" xfId="0" applyFont="1" applyFill="1" applyBorder="1" applyAlignment="1">
      <alignment horizontal="center" vertical="center" wrapText="1"/>
    </xf>
    <xf numFmtId="0" fontId="0" fillId="40" borderId="2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5" sqref="C35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0" t="s">
        <v>200</v>
      </c>
      <c r="C2" s="170"/>
      <c r="E2" s="171" t="str">
        <f>"FEUILLE COMPO "&amp;MATCH_NOUS</f>
        <v>FEUILLE COMPO MXV</v>
      </c>
      <c r="F2" s="172"/>
      <c r="G2" s="172"/>
      <c r="H2" s="173"/>
    </row>
    <row r="3" spans="1:8" ht="19" customHeight="1">
      <c r="B3" s="170"/>
      <c r="C3" s="170"/>
      <c r="E3" s="174"/>
      <c r="F3" s="175"/>
      <c r="G3" s="175"/>
      <c r="H3" s="176"/>
    </row>
    <row r="4" spans="1:8" ht="19" customHeight="1" thickBot="1">
      <c r="B4" s="170"/>
      <c r="C4" s="170"/>
      <c r="E4" s="177"/>
      <c r="F4" s="178"/>
      <c r="G4" s="178"/>
      <c r="H4" s="17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46314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627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BB27" sqref="BB27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183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200" t="s">
        <v>124</v>
      </c>
      <c r="D4" s="189"/>
      <c r="E4" s="189"/>
      <c r="F4" s="189"/>
      <c r="G4" s="189"/>
      <c r="H4" s="189"/>
      <c r="I4" s="189"/>
      <c r="J4" s="189"/>
      <c r="K4" s="138"/>
      <c r="L4" s="201" t="s">
        <v>39</v>
      </c>
      <c r="M4" s="202"/>
      <c r="N4" s="202"/>
      <c r="O4" s="202"/>
      <c r="P4" s="202"/>
      <c r="Q4" s="202"/>
      <c r="R4" s="203"/>
      <c r="S4" s="138"/>
      <c r="T4" s="201" t="s">
        <v>55</v>
      </c>
      <c r="U4" s="202"/>
      <c r="V4" s="202"/>
      <c r="W4" s="202"/>
      <c r="X4" s="202"/>
      <c r="Y4" s="202"/>
      <c r="Z4" s="203"/>
      <c r="AA4" s="138"/>
      <c r="AB4" s="200" t="s">
        <v>628</v>
      </c>
      <c r="AC4" s="189"/>
      <c r="AD4" s="189"/>
      <c r="AE4" s="189"/>
      <c r="AF4" s="189"/>
      <c r="AG4" s="189"/>
      <c r="AH4" s="189"/>
      <c r="AI4" s="138"/>
      <c r="AJ4" s="204" t="s">
        <v>43</v>
      </c>
      <c r="AK4" s="205"/>
      <c r="AL4" s="205"/>
      <c r="AM4" s="205"/>
      <c r="AN4" s="205"/>
      <c r="AO4" s="205"/>
      <c r="AP4" s="206"/>
      <c r="AQ4" s="138"/>
      <c r="AR4" s="204" t="s">
        <v>44</v>
      </c>
      <c r="AS4" s="205"/>
      <c r="AT4" s="205"/>
      <c r="AU4" s="205"/>
      <c r="AV4" s="205"/>
      <c r="AW4" s="205"/>
      <c r="AX4" s="206"/>
      <c r="AY4" s="143"/>
      <c r="AZ4" s="138"/>
      <c r="BA4" s="139"/>
      <c r="BB4" s="162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141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91" t="s">
        <v>514</v>
      </c>
      <c r="BP7" s="192"/>
      <c r="BQ7" s="193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7" t="s">
        <v>242</v>
      </c>
      <c r="D8" s="189"/>
      <c r="E8" s="189"/>
      <c r="F8" s="189"/>
      <c r="G8" s="189"/>
      <c r="H8" s="189"/>
      <c r="I8" s="189"/>
      <c r="J8" s="138"/>
      <c r="K8" s="208"/>
      <c r="L8" s="209"/>
      <c r="M8" s="209"/>
      <c r="N8" s="209"/>
      <c r="O8" s="209"/>
      <c r="P8" s="209"/>
      <c r="Q8" s="210"/>
      <c r="R8" s="138"/>
      <c r="S8" s="211"/>
      <c r="T8" s="212"/>
      <c r="U8" s="212"/>
      <c r="V8" s="212"/>
      <c r="W8" s="212"/>
      <c r="X8" s="212"/>
      <c r="Y8" s="213"/>
      <c r="Z8" s="138"/>
      <c r="AA8" s="214"/>
      <c r="AB8" s="215"/>
      <c r="AC8" s="215"/>
      <c r="AD8" s="215"/>
      <c r="AE8" s="215"/>
      <c r="AF8" s="215"/>
      <c r="AG8" s="216"/>
      <c r="AH8" s="138"/>
      <c r="AI8" s="217"/>
      <c r="AJ8" s="218"/>
      <c r="AK8" s="218"/>
      <c r="AL8" s="218"/>
      <c r="AM8" s="218"/>
      <c r="AN8" s="218"/>
      <c r="AO8" s="219"/>
      <c r="AP8" s="138"/>
      <c r="AQ8" s="220" t="s">
        <v>626</v>
      </c>
      <c r="AR8" s="221"/>
      <c r="AS8" s="221"/>
      <c r="AT8" s="221"/>
      <c r="AU8" s="221"/>
      <c r="AV8" s="221"/>
      <c r="AW8" s="222"/>
      <c r="AX8" s="138"/>
      <c r="AY8" s="143"/>
      <c r="AZ8" s="138"/>
      <c r="BA8" s="139"/>
      <c r="BB8" s="162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4"/>
      <c r="BP8" s="195"/>
      <c r="BQ8" s="196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7"/>
      <c r="BP9" s="198"/>
      <c r="BQ9" s="199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8" t="s">
        <v>18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43"/>
      <c r="AZ12" s="138"/>
      <c r="BA12" s="139"/>
      <c r="BB12" s="188" t="s">
        <v>19</v>
      </c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190" t="s">
        <v>593</v>
      </c>
      <c r="D14" s="286"/>
      <c r="E14" s="286"/>
      <c r="F14" s="286"/>
      <c r="G14" s="286"/>
      <c r="H14" s="286"/>
      <c r="I14" s="287"/>
      <c r="J14" s="138"/>
      <c r="K14" s="190" t="s">
        <v>541</v>
      </c>
      <c r="L14" s="286"/>
      <c r="M14" s="286"/>
      <c r="N14" s="286"/>
      <c r="O14" s="286"/>
      <c r="P14" s="286"/>
      <c r="Q14" s="287"/>
      <c r="R14" s="138"/>
      <c r="S14" s="190" t="s">
        <v>542</v>
      </c>
      <c r="T14" s="286"/>
      <c r="U14" s="286"/>
      <c r="V14" s="286"/>
      <c r="W14" s="286"/>
      <c r="X14" s="286"/>
      <c r="Y14" s="287"/>
      <c r="Z14" s="138"/>
      <c r="AA14" s="138"/>
      <c r="AB14" s="138"/>
      <c r="AC14" s="138"/>
      <c r="AD14" s="190" t="s">
        <v>548</v>
      </c>
      <c r="AE14" s="286"/>
      <c r="AF14" s="286"/>
      <c r="AG14" s="286"/>
      <c r="AH14" s="286"/>
      <c r="AI14" s="286"/>
      <c r="AJ14" s="287"/>
      <c r="AK14" s="138"/>
      <c r="AL14" s="138"/>
      <c r="AM14" s="138"/>
      <c r="AN14" s="138"/>
      <c r="AO14" s="138"/>
      <c r="AP14" s="190" t="s">
        <v>549</v>
      </c>
      <c r="AQ14" s="286"/>
      <c r="AR14" s="286"/>
      <c r="AS14" s="286"/>
      <c r="AT14" s="286"/>
      <c r="AU14" s="286"/>
      <c r="AV14" s="287"/>
      <c r="AW14" s="138"/>
      <c r="AX14" s="138"/>
      <c r="AY14" s="143"/>
      <c r="AZ14" s="138"/>
      <c r="BA14" s="139"/>
      <c r="BB14" s="162" t="s">
        <v>265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2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190" t="s">
        <v>543</v>
      </c>
      <c r="H16" s="286"/>
      <c r="I16" s="286"/>
      <c r="J16" s="286"/>
      <c r="K16" s="286"/>
      <c r="L16" s="286"/>
      <c r="M16" s="287"/>
      <c r="N16" s="138"/>
      <c r="O16" s="190" t="s">
        <v>544</v>
      </c>
      <c r="P16" s="286"/>
      <c r="Q16" s="286"/>
      <c r="R16" s="286"/>
      <c r="S16" s="286"/>
      <c r="T16" s="286"/>
      <c r="U16" s="287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90" t="s">
        <v>551</v>
      </c>
      <c r="AG16" s="286"/>
      <c r="AH16" s="286"/>
      <c r="AI16" s="286"/>
      <c r="AJ16" s="286"/>
      <c r="AK16" s="286"/>
      <c r="AL16" s="287"/>
      <c r="AM16" s="138"/>
      <c r="AN16" s="190" t="s">
        <v>552</v>
      </c>
      <c r="AO16" s="286"/>
      <c r="AP16" s="286"/>
      <c r="AQ16" s="286"/>
      <c r="AR16" s="286"/>
      <c r="AS16" s="286"/>
      <c r="AT16" s="287"/>
      <c r="AU16" s="138"/>
      <c r="AV16" s="138"/>
      <c r="AW16" s="138"/>
      <c r="AX16" s="138"/>
      <c r="AY16" s="143"/>
      <c r="AZ16" s="138"/>
      <c r="BA16" s="139"/>
      <c r="BB16" s="162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2" t="s">
        <v>402</v>
      </c>
      <c r="BM16" s="138"/>
      <c r="BN16" s="14" t="s">
        <v>243</v>
      </c>
      <c r="BO16" s="138"/>
      <c r="BP16" s="14" t="s">
        <v>400</v>
      </c>
      <c r="BQ16" s="138"/>
      <c r="BR16" s="14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190" t="s">
        <v>545</v>
      </c>
      <c r="D18" s="286"/>
      <c r="E18" s="286"/>
      <c r="F18" s="286"/>
      <c r="G18" s="286"/>
      <c r="H18" s="286"/>
      <c r="I18" s="287"/>
      <c r="J18" s="138"/>
      <c r="K18" s="190" t="s">
        <v>547</v>
      </c>
      <c r="L18" s="286"/>
      <c r="M18" s="286"/>
      <c r="N18" s="286"/>
      <c r="O18" s="286"/>
      <c r="P18" s="286"/>
      <c r="Q18" s="287"/>
      <c r="R18" s="138"/>
      <c r="S18" s="190" t="s">
        <v>546</v>
      </c>
      <c r="T18" s="286"/>
      <c r="U18" s="286"/>
      <c r="V18" s="286"/>
      <c r="W18" s="286"/>
      <c r="X18" s="286"/>
      <c r="Y18" s="287"/>
      <c r="Z18" s="138"/>
      <c r="AA18" s="138"/>
      <c r="AB18" s="190" t="s">
        <v>550</v>
      </c>
      <c r="AC18" s="286"/>
      <c r="AD18" s="286"/>
      <c r="AE18" s="286"/>
      <c r="AF18" s="286"/>
      <c r="AG18" s="286"/>
      <c r="AH18" s="287"/>
      <c r="AI18" s="138"/>
      <c r="AJ18" s="190" t="s">
        <v>554</v>
      </c>
      <c r="AK18" s="286"/>
      <c r="AL18" s="286"/>
      <c r="AM18" s="286"/>
      <c r="AN18" s="286"/>
      <c r="AO18" s="286"/>
      <c r="AP18" s="287"/>
      <c r="AQ18" s="138"/>
      <c r="AR18" s="190" t="s">
        <v>553</v>
      </c>
      <c r="AS18" s="286"/>
      <c r="AT18" s="286"/>
      <c r="AU18" s="286"/>
      <c r="AV18" s="286"/>
      <c r="AW18" s="286"/>
      <c r="AX18" s="287"/>
      <c r="AY18" s="143"/>
      <c r="AZ18" s="138"/>
      <c r="BA18" s="139"/>
      <c r="BB18" s="162" t="s">
        <v>125</v>
      </c>
      <c r="BC18" s="138"/>
      <c r="BD18" s="5" t="s">
        <v>126</v>
      </c>
      <c r="BE18" s="138"/>
      <c r="BF18" s="5" t="s">
        <v>127</v>
      </c>
      <c r="BG18" s="138"/>
      <c r="BH18" s="5" t="s">
        <v>128</v>
      </c>
      <c r="BI18" s="138"/>
      <c r="BJ18" s="5" t="s">
        <v>129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185" t="s">
        <v>42</v>
      </c>
      <c r="L20" s="186"/>
      <c r="M20" s="186"/>
      <c r="N20" s="186"/>
      <c r="O20" s="186"/>
      <c r="P20" s="186"/>
      <c r="Q20" s="187"/>
      <c r="R20" s="138"/>
      <c r="S20" s="185" t="s">
        <v>153</v>
      </c>
      <c r="T20" s="186"/>
      <c r="U20" s="186"/>
      <c r="V20" s="186"/>
      <c r="W20" s="186"/>
      <c r="X20" s="186"/>
      <c r="Y20" s="187"/>
      <c r="Z20" s="138"/>
      <c r="AA20" s="138"/>
      <c r="AB20" s="185" t="s">
        <v>169</v>
      </c>
      <c r="AC20" s="186"/>
      <c r="AD20" s="186"/>
      <c r="AE20" s="186"/>
      <c r="AF20" s="186"/>
      <c r="AG20" s="186"/>
      <c r="AH20" s="187"/>
      <c r="AI20" s="138"/>
      <c r="AJ20" s="185" t="s">
        <v>32</v>
      </c>
      <c r="AK20" s="186"/>
      <c r="AL20" s="186"/>
      <c r="AM20" s="186"/>
      <c r="AN20" s="186"/>
      <c r="AO20" s="186"/>
      <c r="AP20" s="187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2" t="s">
        <v>65</v>
      </c>
      <c r="BC20" s="138"/>
      <c r="BD20" s="6" t="s">
        <v>157</v>
      </c>
      <c r="BE20" s="138"/>
      <c r="BF20" s="6" t="s">
        <v>158</v>
      </c>
      <c r="BG20" s="138"/>
      <c r="BH20" s="138"/>
      <c r="BI20" s="138"/>
      <c r="BJ20" s="162" t="s">
        <v>504</v>
      </c>
      <c r="BK20" s="138"/>
      <c r="BL20" s="6" t="s">
        <v>157</v>
      </c>
      <c r="BM20" s="138"/>
      <c r="BN20" s="6" t="s">
        <v>158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8" t="s">
        <v>40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89"/>
      <c r="AG24" s="189"/>
      <c r="AH24" s="189"/>
      <c r="AI24" s="189"/>
      <c r="AJ24" s="189"/>
      <c r="AK24" s="189"/>
      <c r="AL24" s="189"/>
      <c r="AM24" s="189"/>
      <c r="AN24" s="189"/>
      <c r="AO24" s="189"/>
      <c r="AP24" s="189"/>
      <c r="AQ24" s="189"/>
      <c r="AR24" s="189"/>
      <c r="AS24" s="189"/>
      <c r="AT24" s="189"/>
      <c r="AU24" s="189"/>
      <c r="AV24" s="189"/>
      <c r="AW24" s="189"/>
      <c r="AX24" s="189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200" t="s">
        <v>41</v>
      </c>
      <c r="D26" s="189"/>
      <c r="E26" s="189"/>
      <c r="F26" s="189"/>
      <c r="G26" s="189"/>
      <c r="H26" s="189"/>
      <c r="I26" s="189"/>
      <c r="J26" s="189"/>
      <c r="K26" s="189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223">
        <v>2.1433628472222223E-3</v>
      </c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7"/>
      <c r="Q28" s="138"/>
      <c r="R28" s="224" t="s">
        <v>12</v>
      </c>
      <c r="S28" s="225"/>
      <c r="T28" s="225"/>
      <c r="U28" s="225"/>
      <c r="V28" s="225"/>
      <c r="W28" s="225"/>
      <c r="X28" s="226"/>
      <c r="Y28" s="138"/>
      <c r="Z28" s="224" t="s">
        <v>11</v>
      </c>
      <c r="AA28" s="225"/>
      <c r="AB28" s="225"/>
      <c r="AC28" s="225"/>
      <c r="AD28" s="225"/>
      <c r="AE28" s="225"/>
      <c r="AF28" s="226"/>
      <c r="AG28" s="138"/>
      <c r="AH28" s="224" t="s">
        <v>118</v>
      </c>
      <c r="AI28" s="225"/>
      <c r="AJ28" s="225"/>
      <c r="AK28" s="225"/>
      <c r="AL28" s="225"/>
      <c r="AM28" s="225"/>
      <c r="AN28" s="226"/>
      <c r="AO28" s="138"/>
      <c r="AP28" s="180" t="s">
        <v>13</v>
      </c>
      <c r="AQ28" s="181"/>
      <c r="AR28" s="181"/>
      <c r="AS28" s="181"/>
      <c r="AT28" s="181"/>
      <c r="AU28" s="181"/>
      <c r="AV28" s="182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C26:K26"/>
    <mergeCell ref="C28:P28"/>
    <mergeCell ref="R28:X28"/>
    <mergeCell ref="Z28:AF28"/>
    <mergeCell ref="AH28:AN28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5"/>
      <c r="J2"/>
      <c r="K2"/>
      <c r="L2" s="16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C2" xr:uid="{A63EEF22-56A5-7141-B67B-AFA6C1C6A663}">
      <formula1>LISTE_JOUEURS_JOURNAL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9"/>
    </row>
    <row r="4" spans="2:37" s="3" customFormat="1" ht="20" customHeight="1">
      <c r="B4" s="230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2"/>
    </row>
    <row r="5" spans="2:37" s="3" customFormat="1"/>
    <row r="6" spans="2:37" ht="14" customHeight="1">
      <c r="B6" s="237" t="s">
        <v>14</v>
      </c>
      <c r="C6" s="239" t="str">
        <f>ACT_PL_NORMAL</f>
        <v>Plaquage normal</v>
      </c>
      <c r="D6" s="234"/>
      <c r="E6" s="239" t="str">
        <f>ACT_PL_OFF</f>
        <v>Plaquage offensif</v>
      </c>
      <c r="F6" s="234"/>
      <c r="G6" s="239" t="str">
        <f>ACT_PL_RATE</f>
        <v>Plaquage raté</v>
      </c>
      <c r="H6" s="234"/>
      <c r="I6" s="239" t="str">
        <f>ACT_PL_A2</f>
        <v>Plaquage à 2</v>
      </c>
      <c r="J6" s="233"/>
      <c r="K6" s="233" t="str">
        <f>ACT_PL_HAUT</f>
        <v>Plaquage haut</v>
      </c>
      <c r="L6" s="234"/>
      <c r="M6" s="233" t="s">
        <v>10</v>
      </c>
      <c r="N6" s="234"/>
      <c r="O6" s="233" t="str">
        <f>ACT_FRANCHISSEMENT</f>
        <v>Franchissement</v>
      </c>
      <c r="P6" s="234"/>
      <c r="Q6" s="233" t="str">
        <f>ACT_AVANCEE</f>
        <v>Avancée au contact</v>
      </c>
      <c r="R6" s="234"/>
      <c r="S6" s="233" t="str">
        <f>ACT_ATT_NULLE</f>
        <v>Recul ou sans progression</v>
      </c>
      <c r="T6" s="234"/>
      <c r="U6" s="266" t="s">
        <v>231</v>
      </c>
      <c r="V6" s="267"/>
      <c r="W6" s="267"/>
      <c r="X6" s="267"/>
      <c r="Y6" s="267"/>
      <c r="Z6" s="268"/>
      <c r="AF6"/>
      <c r="AG6"/>
    </row>
    <row r="7" spans="2:37" ht="13" customHeight="1">
      <c r="B7" s="238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9">
        <f t="shared" si="0"/>
        <v>0</v>
      </c>
      <c r="V32" s="269">
        <f t="shared" si="0"/>
        <v>0</v>
      </c>
      <c r="W32" s="269">
        <f t="shared" si="0"/>
        <v>0</v>
      </c>
      <c r="X32" s="269">
        <f t="shared" si="0"/>
        <v>0</v>
      </c>
      <c r="Y32" s="269">
        <f t="shared" si="0"/>
        <v>0</v>
      </c>
      <c r="Z32" s="269">
        <f t="shared" si="0"/>
        <v>0</v>
      </c>
    </row>
    <row r="33" spans="2:33" s="41" customFormat="1" ht="25" customHeight="1">
      <c r="B33" s="55" t="s">
        <v>175</v>
      </c>
      <c r="C33" s="244">
        <f>C32+D32</f>
        <v>0</v>
      </c>
      <c r="D33" s="236"/>
      <c r="E33" s="235">
        <f t="shared" ref="E33" si="3">E32+F32</f>
        <v>0</v>
      </c>
      <c r="F33" s="235"/>
      <c r="G33" s="244">
        <f t="shared" ref="G33" si="4">G32+H32</f>
        <v>0</v>
      </c>
      <c r="H33" s="236"/>
      <c r="I33" s="244">
        <f>I32+J32</f>
        <v>0</v>
      </c>
      <c r="J33" s="236"/>
      <c r="K33" s="244">
        <f t="shared" ref="K33" si="5">K32+L32</f>
        <v>0</v>
      </c>
      <c r="L33" s="236"/>
      <c r="M33" s="235">
        <f t="shared" ref="M33" si="6">M32+N32</f>
        <v>0</v>
      </c>
      <c r="N33" s="236"/>
      <c r="O33" s="235">
        <f t="shared" ref="O33" si="7">O32+P32</f>
        <v>0</v>
      </c>
      <c r="P33" s="236"/>
      <c r="Q33" s="235">
        <f t="shared" ref="Q33" si="8">Q32+R32</f>
        <v>0</v>
      </c>
      <c r="R33" s="236"/>
      <c r="S33" s="235">
        <f t="shared" ref="S33" si="9">S32+T32</f>
        <v>0</v>
      </c>
      <c r="T33" s="236"/>
      <c r="U33" s="270"/>
      <c r="V33" s="270"/>
      <c r="W33" s="270"/>
      <c r="X33" s="270"/>
      <c r="Y33" s="270"/>
      <c r="Z33" s="270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643</v>
      </c>
      <c r="H36" s="150" t="s">
        <v>46</v>
      </c>
      <c r="I36" s="48" t="s">
        <v>44</v>
      </c>
      <c r="J36" s="3"/>
      <c r="K36" s="3"/>
      <c r="L36" s="239" t="s">
        <v>28</v>
      </c>
      <c r="M36" s="239" t="s">
        <v>147</v>
      </c>
      <c r="N36" s="233"/>
      <c r="O36" s="234"/>
      <c r="P36" s="234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8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9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64"/>
      <c r="M37" s="70" t="s">
        <v>153</v>
      </c>
      <c r="N37" s="66" t="s">
        <v>170</v>
      </c>
      <c r="O37" s="71" t="s">
        <v>32</v>
      </c>
      <c r="P37" s="265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39" t="s">
        <v>149</v>
      </c>
      <c r="H40" s="234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51" t="s">
        <v>1</v>
      </c>
      <c r="M42" s="252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9" t="s">
        <v>2</v>
      </c>
      <c r="M43" s="250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591</v>
      </c>
      <c r="H44" s="154" t="s">
        <v>47</v>
      </c>
      <c r="I44" s="149" t="s">
        <v>592</v>
      </c>
      <c r="J44" s="156" t="s">
        <v>236</v>
      </c>
      <c r="K44" s="3"/>
      <c r="L44" s="251" t="s">
        <v>3</v>
      </c>
      <c r="M44" s="252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9" t="s">
        <v>4</v>
      </c>
      <c r="M45" s="250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2.7671493055555531E-5</v>
      </c>
      <c r="K46" s="3"/>
      <c r="L46" s="251" t="s">
        <v>5</v>
      </c>
      <c r="M46" s="252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2.7671493055555531E-5</v>
      </c>
      <c r="K47" s="3"/>
      <c r="L47" s="249" t="s">
        <v>167</v>
      </c>
      <c r="M47" s="250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7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28"/>
      <c r="D56" s="228"/>
      <c r="E56" s="228"/>
      <c r="F56" s="228"/>
      <c r="G56" s="228"/>
      <c r="H56" s="228"/>
      <c r="I56" s="228"/>
      <c r="J56" s="228"/>
      <c r="K56" s="229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30"/>
      <c r="C57" s="231"/>
      <c r="D57" s="231"/>
      <c r="E57" s="231"/>
      <c r="F57" s="231"/>
      <c r="G57" s="231"/>
      <c r="H57" s="231"/>
      <c r="I57" s="231"/>
      <c r="J57" s="231"/>
      <c r="K57" s="232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53" t="s">
        <v>234</v>
      </c>
      <c r="C59" s="254"/>
      <c r="D59" s="254"/>
      <c r="E59" s="254"/>
      <c r="F59" s="254"/>
      <c r="G59" s="254"/>
      <c r="H59" s="254"/>
      <c r="I59" s="254"/>
      <c r="J59" s="254"/>
      <c r="K59" s="255"/>
    </row>
    <row r="60" spans="2:20" s="3" customFormat="1">
      <c r="B60" s="256"/>
      <c r="C60" s="257"/>
      <c r="D60" s="257"/>
      <c r="E60" s="257"/>
      <c r="F60" s="257"/>
      <c r="G60" s="257"/>
      <c r="H60" s="257"/>
      <c r="I60" s="257"/>
      <c r="J60" s="257"/>
      <c r="K60" s="258"/>
    </row>
    <row r="61" spans="2:20" s="3" customFormat="1" ht="14" thickBot="1">
      <c r="B61" s="259"/>
      <c r="C61" s="260"/>
      <c r="D61" s="260"/>
      <c r="E61" s="260"/>
      <c r="F61" s="260"/>
      <c r="G61" s="260"/>
      <c r="H61" s="260"/>
      <c r="I61" s="260"/>
      <c r="J61" s="260"/>
      <c r="K61" s="261"/>
    </row>
    <row r="62" spans="2:20" s="3" customFormat="1"/>
    <row r="63" spans="2:20" s="3" customFormat="1" ht="14">
      <c r="B63" s="237" t="s">
        <v>14</v>
      </c>
      <c r="C63" s="239" t="str">
        <f>ACT_TO_NS_G</f>
        <v>Touche à nous conservée</v>
      </c>
      <c r="D63" s="234"/>
      <c r="E63" s="239" t="str">
        <f>ACT_TO_ADV_VOLEE</f>
        <v>Touche à eux volée</v>
      </c>
      <c r="F63" s="234"/>
      <c r="H63" s="262" t="str">
        <f>ACT_TO_NS_P</f>
        <v>Touche à nous perdue</v>
      </c>
      <c r="I63" s="263"/>
      <c r="J63" s="262" t="str">
        <f>ACT_TO_NS_PAS_DROIT</f>
        <v>Touche à nous pas droite</v>
      </c>
      <c r="K63" s="263"/>
    </row>
    <row r="64" spans="2:20" s="3" customFormat="1" ht="14">
      <c r="B64" s="238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44">
        <f>C89+D89</f>
        <v>0</v>
      </c>
      <c r="D90" s="236"/>
      <c r="E90" s="244">
        <f>E89+F89</f>
        <v>0</v>
      </c>
      <c r="F90" s="236"/>
      <c r="H90" s="245">
        <f>H89+I89</f>
        <v>0</v>
      </c>
      <c r="I90" s="246"/>
      <c r="J90" s="245">
        <f>J89+K89</f>
        <v>0</v>
      </c>
      <c r="K90" s="24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47" t="s">
        <v>390</v>
      </c>
      <c r="G94" s="248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42" t="s">
        <v>237</v>
      </c>
      <c r="G95" s="243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42" t="s">
        <v>238</v>
      </c>
      <c r="G96" s="243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42" t="s">
        <v>239</v>
      </c>
      <c r="G97" s="243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42" t="s">
        <v>240</v>
      </c>
      <c r="G98" s="243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42" t="s">
        <v>391</v>
      </c>
      <c r="G99" s="243"/>
      <c r="H99" s="81">
        <v>0</v>
      </c>
      <c r="I99" s="81">
        <v>0</v>
      </c>
      <c r="J99" s="135">
        <v>0</v>
      </c>
    </row>
    <row r="100" spans="2:10" s="3" customFormat="1" ht="16">
      <c r="F100" s="242" t="s">
        <v>392</v>
      </c>
      <c r="G100" s="243"/>
      <c r="H100" s="81">
        <v>0</v>
      </c>
      <c r="I100" s="81">
        <v>0</v>
      </c>
      <c r="J100" s="135">
        <v>0</v>
      </c>
    </row>
    <row r="101" spans="2:10" s="3" customFormat="1" ht="16">
      <c r="F101" s="242" t="s">
        <v>393</v>
      </c>
      <c r="G101" s="243"/>
      <c r="H101" s="81">
        <v>0</v>
      </c>
      <c r="I101" s="81">
        <v>0</v>
      </c>
      <c r="J101" s="135">
        <v>0</v>
      </c>
    </row>
    <row r="102" spans="2:10" s="3" customFormat="1" ht="17" thickBot="1">
      <c r="F102" s="240" t="s">
        <v>394</v>
      </c>
      <c r="G102" s="241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/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/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110" t="s">
        <v>221</v>
      </c>
      <c r="B5" s="111" t="s">
        <v>210</v>
      </c>
      <c r="C5" s="111" t="s">
        <v>144</v>
      </c>
      <c r="D5" s="111" t="s">
        <v>473</v>
      </c>
      <c r="Z5" t="s">
        <v>424</v>
      </c>
      <c r="AB5" t="s">
        <v>433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425</v>
      </c>
      <c r="AB6" t="s">
        <v>434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435</v>
      </c>
      <c r="AC7" t="s">
        <v>439</v>
      </c>
    </row>
    <row r="8" spans="1:32">
      <c r="AB8" t="s">
        <v>436</v>
      </c>
    </row>
    <row r="9" spans="1:32">
      <c r="AB9" t="s">
        <v>437</v>
      </c>
    </row>
    <row r="17" spans="1:10" ht="18">
      <c r="A17" s="98" t="s">
        <v>454</v>
      </c>
    </row>
    <row r="18" spans="1:10">
      <c r="A18" t="s">
        <v>445</v>
      </c>
      <c r="B18" t="s">
        <v>7</v>
      </c>
      <c r="C18" t="s">
        <v>472</v>
      </c>
      <c r="D18" t="s">
        <v>447</v>
      </c>
      <c r="E18" t="s">
        <v>455</v>
      </c>
      <c r="F18" t="s">
        <v>456</v>
      </c>
      <c r="G18" t="s">
        <v>457</v>
      </c>
      <c r="H18" t="s">
        <v>458</v>
      </c>
      <c r="I18" t="s">
        <v>459</v>
      </c>
      <c r="J18" t="s">
        <v>453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474</v>
      </c>
      <c r="B21" s="115" t="s">
        <v>210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1" t="s">
        <v>517</v>
      </c>
      <c r="B25" s="271"/>
    </row>
    <row r="26" spans="1:10">
      <c r="A26" s="271"/>
      <c r="B26" s="271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6" t="s">
        <v>500</v>
      </c>
      <c r="R55" s="166" t="s">
        <v>502</v>
      </c>
    </row>
    <row r="56" spans="17:18" ht="30" customHeight="1">
      <c r="Q56" s="167" t="s">
        <v>501</v>
      </c>
      <c r="R56" s="167" t="s">
        <v>503</v>
      </c>
    </row>
    <row r="57" spans="17:18" ht="30" customHeight="1">
      <c r="Q57" s="21" t="s">
        <v>555</v>
      </c>
      <c r="R57" s="21" t="s">
        <v>556</v>
      </c>
    </row>
    <row r="58" spans="17:18" ht="30" customHeight="1">
      <c r="Q58" s="21" t="s">
        <v>557</v>
      </c>
      <c r="R58" s="21" t="s">
        <v>558</v>
      </c>
    </row>
    <row r="59" spans="17:18" ht="30" customHeight="1">
      <c r="Q59" s="21" t="s">
        <v>559</v>
      </c>
      <c r="R59" s="21" t="s">
        <v>560</v>
      </c>
    </row>
    <row r="60" spans="17:18" ht="30" customHeight="1">
      <c r="Q60" s="21" t="s">
        <v>561</v>
      </c>
      <c r="R60" s="21" t="s">
        <v>562</v>
      </c>
    </row>
    <row r="61" spans="17:18" ht="30" customHeight="1">
      <c r="Q61" s="21" t="s">
        <v>563</v>
      </c>
      <c r="R61" s="21" t="s">
        <v>564</v>
      </c>
    </row>
    <row r="62" spans="17:18" ht="30" customHeight="1">
      <c r="Q62" s="21" t="s">
        <v>565</v>
      </c>
      <c r="R62" s="21" t="s">
        <v>566</v>
      </c>
    </row>
    <row r="63" spans="17:18" ht="30" customHeight="1">
      <c r="Q63" s="21" t="s">
        <v>567</v>
      </c>
      <c r="R63" s="21" t="s">
        <v>568</v>
      </c>
    </row>
    <row r="64" spans="17:18" ht="30" customHeight="1">
      <c r="Q64" s="25" t="s">
        <v>569</v>
      </c>
      <c r="R64" s="25" t="s">
        <v>570</v>
      </c>
    </row>
    <row r="65" spans="17:18" ht="30" customHeight="1">
      <c r="Q65" s="25" t="s">
        <v>631</v>
      </c>
      <c r="R65" s="25" t="s">
        <v>632</v>
      </c>
    </row>
    <row r="66" spans="17:18" ht="30" customHeight="1">
      <c r="Q66" s="25" t="s">
        <v>633</v>
      </c>
      <c r="R66" s="25" t="s">
        <v>634</v>
      </c>
    </row>
    <row r="67" spans="17:18" ht="30" customHeight="1">
      <c r="Q67" s="25" t="s">
        <v>635</v>
      </c>
      <c r="R67" s="25" t="s">
        <v>636</v>
      </c>
    </row>
    <row r="68" spans="17:18" ht="30" customHeight="1">
      <c r="Q68" s="25" t="s">
        <v>637</v>
      </c>
      <c r="R68" s="25" t="s">
        <v>638</v>
      </c>
    </row>
    <row r="69" spans="17:18" ht="30" customHeight="1">
      <c r="Q69" s="25" t="s">
        <v>639</v>
      </c>
      <c r="R69" s="25" t="s">
        <v>640</v>
      </c>
    </row>
    <row r="70" spans="17:18" ht="30" customHeight="1">
      <c r="Q70" s="25" t="s">
        <v>641</v>
      </c>
      <c r="R70" s="25" t="s">
        <v>642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2" t="s">
        <v>76</v>
      </c>
      <c r="D5" s="272"/>
      <c r="E5" s="272"/>
      <c r="F5" s="272"/>
      <c r="G5" s="27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4"/>
      <c r="D4" s="274"/>
      <c r="E4" s="275" t="s">
        <v>11</v>
      </c>
      <c r="F4" s="275"/>
      <c r="G4" s="275"/>
    </row>
    <row r="5" spans="2:14" ht="20" customHeight="1">
      <c r="B5" s="102" t="s">
        <v>7</v>
      </c>
      <c r="C5" s="274"/>
      <c r="D5" s="274"/>
    </row>
    <row r="6" spans="2:14" ht="20" customHeight="1">
      <c r="B6" s="102" t="s">
        <v>446</v>
      </c>
      <c r="C6" s="274"/>
      <c r="D6" s="274"/>
    </row>
    <row r="7" spans="2:14" ht="20" customHeight="1">
      <c r="B7" s="102" t="s">
        <v>447</v>
      </c>
      <c r="C7" s="274"/>
      <c r="D7" s="274"/>
    </row>
    <row r="8" spans="2:14" ht="8" customHeight="1"/>
    <row r="9" spans="2:14" ht="20" customHeight="1">
      <c r="B9" s="157" t="s">
        <v>448</v>
      </c>
      <c r="C9" s="278"/>
      <c r="D9" s="278"/>
      <c r="E9" s="278"/>
      <c r="F9" s="278"/>
    </row>
    <row r="10" spans="2:14" ht="8" customHeight="1"/>
    <row r="11" spans="2:14" ht="20" customHeight="1">
      <c r="B11" s="157" t="s">
        <v>452</v>
      </c>
      <c r="C11" s="273">
        <v>2</v>
      </c>
      <c r="D11" s="273"/>
      <c r="E11" s="273">
        <v>3</v>
      </c>
      <c r="F11" s="273"/>
      <c r="G11" s="273">
        <v>4</v>
      </c>
      <c r="H11" s="273"/>
      <c r="I11" s="273">
        <v>5</v>
      </c>
      <c r="J11" s="273"/>
      <c r="K11" s="273">
        <v>6</v>
      </c>
      <c r="L11" s="273"/>
      <c r="M11" s="273" t="s">
        <v>439</v>
      </c>
      <c r="N11" s="273"/>
    </row>
    <row r="12" spans="2:14" ht="8" customHeight="1"/>
    <row r="13" spans="2:14" ht="20" customHeight="1">
      <c r="B13" s="157" t="s">
        <v>464</v>
      </c>
      <c r="C13" s="273" t="s">
        <v>421</v>
      </c>
      <c r="D13" s="273"/>
      <c r="E13" s="273" t="s">
        <v>422</v>
      </c>
      <c r="F13" s="273"/>
      <c r="G13" s="273" t="s">
        <v>423</v>
      </c>
      <c r="H13" s="273"/>
      <c r="I13" s="273" t="s">
        <v>424</v>
      </c>
      <c r="J13" s="273"/>
      <c r="K13" s="273" t="s">
        <v>425</v>
      </c>
      <c r="L13" s="273"/>
    </row>
    <row r="14" spans="2:14" ht="8" customHeight="1"/>
    <row r="15" spans="2:14" ht="20" customHeight="1">
      <c r="B15" s="157" t="s">
        <v>450</v>
      </c>
      <c r="C15" s="273" t="s">
        <v>470</v>
      </c>
      <c r="D15" s="273"/>
      <c r="E15" s="273" t="s">
        <v>471</v>
      </c>
      <c r="F15" s="273"/>
    </row>
    <row r="16" spans="2:14" ht="8" customHeight="1"/>
    <row r="17" spans="2:14" ht="20" customHeight="1">
      <c r="B17" s="161" t="s">
        <v>615</v>
      </c>
      <c r="C17" s="279" t="s">
        <v>621</v>
      </c>
      <c r="D17" s="279"/>
      <c r="E17" s="279"/>
      <c r="F17" s="279"/>
      <c r="G17" s="279"/>
      <c r="I17" s="279" t="s">
        <v>622</v>
      </c>
      <c r="J17" s="279"/>
      <c r="K17" s="279"/>
      <c r="L17" s="279"/>
      <c r="M17" s="279"/>
    </row>
    <row r="18" spans="2:14" ht="20" customHeight="1">
      <c r="C18" s="158" t="s">
        <v>616</v>
      </c>
      <c r="D18" s="158" t="s">
        <v>617</v>
      </c>
      <c r="E18" s="158" t="s">
        <v>618</v>
      </c>
      <c r="F18" s="158" t="s">
        <v>619</v>
      </c>
      <c r="G18" s="158" t="s">
        <v>620</v>
      </c>
      <c r="H18" s="158" t="s">
        <v>435</v>
      </c>
      <c r="I18" s="158" t="s">
        <v>620</v>
      </c>
      <c r="J18" s="158" t="s">
        <v>619</v>
      </c>
      <c r="K18" s="158" t="s">
        <v>618</v>
      </c>
      <c r="L18" s="158" t="s">
        <v>617</v>
      </c>
      <c r="M18" s="158" t="s">
        <v>616</v>
      </c>
    </row>
    <row r="19" spans="2:14" ht="20" customHeight="1">
      <c r="B19" s="157" t="s">
        <v>624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</row>
    <row r="22" spans="2:14" ht="8" customHeight="1"/>
    <row r="23" spans="2:14" ht="26" customHeight="1">
      <c r="C23" s="277" t="s">
        <v>466</v>
      </c>
      <c r="D23" s="277"/>
      <c r="F23" s="275" t="s">
        <v>476</v>
      </c>
      <c r="G23" s="275"/>
      <c r="H23" s="275"/>
      <c r="I23" s="275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467</v>
      </c>
    </row>
    <row r="4" spans="2:13" ht="20" customHeight="1">
      <c r="B4" s="102" t="s">
        <v>445</v>
      </c>
      <c r="C4" s="280" t="s">
        <v>629</v>
      </c>
      <c r="D4" s="274"/>
      <c r="E4" s="275" t="s">
        <v>11</v>
      </c>
      <c r="F4" s="275"/>
      <c r="G4" s="275"/>
    </row>
    <row r="5" spans="2:13" ht="20" customHeight="1">
      <c r="B5" s="102" t="s">
        <v>7</v>
      </c>
      <c r="C5" s="274" t="s">
        <v>46</v>
      </c>
      <c r="D5" s="274"/>
    </row>
    <row r="6" spans="2:13" ht="20" customHeight="1">
      <c r="B6" s="102" t="s">
        <v>472</v>
      </c>
      <c r="C6" s="274" t="s">
        <v>47</v>
      </c>
      <c r="D6" s="274"/>
    </row>
    <row r="7" spans="2:13" ht="20" customHeight="1">
      <c r="B7" s="102" t="s">
        <v>447</v>
      </c>
      <c r="C7" s="274" t="s">
        <v>625</v>
      </c>
      <c r="D7" s="274"/>
    </row>
    <row r="8" spans="2:13" ht="8" customHeight="1"/>
    <row r="9" spans="2:13" ht="20" customHeight="1">
      <c r="B9" s="161" t="s">
        <v>623</v>
      </c>
      <c r="C9" s="279" t="s">
        <v>621</v>
      </c>
      <c r="D9" s="279"/>
      <c r="E9" s="279"/>
      <c r="F9" s="279"/>
      <c r="G9" s="279"/>
      <c r="I9" s="279" t="s">
        <v>622</v>
      </c>
      <c r="J9" s="279"/>
      <c r="K9" s="279"/>
      <c r="L9" s="279"/>
      <c r="M9" s="279"/>
    </row>
    <row r="10" spans="2:13" ht="20" customHeight="1">
      <c r="C10" s="158" t="s">
        <v>616</v>
      </c>
      <c r="D10" s="158" t="s">
        <v>617</v>
      </c>
      <c r="E10" s="158" t="s">
        <v>618</v>
      </c>
      <c r="F10" s="158" t="s">
        <v>619</v>
      </c>
      <c r="G10" s="158" t="s">
        <v>620</v>
      </c>
      <c r="H10" s="158" t="s">
        <v>435</v>
      </c>
      <c r="I10" s="158" t="s">
        <v>620</v>
      </c>
      <c r="J10" s="158" t="s">
        <v>619</v>
      </c>
      <c r="K10" s="158" t="s">
        <v>618</v>
      </c>
      <c r="L10" s="158" t="s">
        <v>617</v>
      </c>
      <c r="M10" s="158" t="s">
        <v>616</v>
      </c>
    </row>
    <row r="11" spans="2:13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13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13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13" ht="8" customHeight="1"/>
    <row r="15" spans="2:13" ht="20" customHeight="1">
      <c r="B15" s="157" t="s">
        <v>468</v>
      </c>
      <c r="C15" s="273" t="s">
        <v>461</v>
      </c>
      <c r="D15" s="273"/>
      <c r="E15" s="273" t="s">
        <v>170</v>
      </c>
      <c r="F15" s="273"/>
      <c r="G15" s="273" t="s">
        <v>462</v>
      </c>
      <c r="H15" s="273"/>
    </row>
    <row r="16" spans="2:13" ht="8" customHeight="1"/>
    <row r="17" spans="2:14" ht="20" customHeight="1">
      <c r="B17" s="157" t="s">
        <v>453</v>
      </c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</row>
    <row r="18" spans="2:14" ht="8" customHeight="1"/>
    <row r="19" spans="2:14" ht="26" customHeight="1">
      <c r="C19" s="277" t="s">
        <v>466</v>
      </c>
      <c r="D19" s="277"/>
      <c r="F19" s="275" t="s">
        <v>476</v>
      </c>
      <c r="G19" s="275"/>
      <c r="H19" s="275"/>
      <c r="I19" s="275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597</v>
      </c>
    </row>
    <row r="4" spans="2:21" ht="14" customHeight="1">
      <c r="B4" s="102" t="s">
        <v>445</v>
      </c>
      <c r="C4" s="280" t="s">
        <v>630</v>
      </c>
      <c r="D4" s="274"/>
      <c r="E4" s="275" t="s">
        <v>11</v>
      </c>
      <c r="F4" s="275"/>
      <c r="K4" s="282" t="s">
        <v>516</v>
      </c>
      <c r="L4" s="282"/>
      <c r="M4" s="282"/>
      <c r="N4" s="282"/>
      <c r="O4" s="282"/>
      <c r="P4" s="282"/>
      <c r="Q4" s="282"/>
      <c r="R4" s="282"/>
      <c r="S4" s="282"/>
      <c r="T4" s="282"/>
      <c r="U4" s="282"/>
    </row>
    <row r="5" spans="2:21" ht="15" customHeight="1">
      <c r="B5" s="102" t="s">
        <v>7</v>
      </c>
      <c r="C5" s="274" t="s">
        <v>46</v>
      </c>
      <c r="D5" s="274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</row>
    <row r="6" spans="2:21">
      <c r="B6" s="102" t="s">
        <v>475</v>
      </c>
      <c r="C6" s="274" t="s">
        <v>47</v>
      </c>
      <c r="D6" s="274"/>
    </row>
    <row r="7" spans="2:21" ht="32" customHeight="1">
      <c r="K7" s="281" t="s">
        <v>577</v>
      </c>
      <c r="L7" s="283"/>
      <c r="M7" s="283"/>
      <c r="O7" s="281" t="s">
        <v>578</v>
      </c>
      <c r="P7" s="283"/>
      <c r="Q7" s="283"/>
      <c r="S7" s="281" t="s">
        <v>579</v>
      </c>
      <c r="T7" s="283"/>
      <c r="U7" s="283"/>
    </row>
    <row r="8" spans="2:21" ht="10" customHeight="1"/>
    <row r="9" spans="2:21" ht="32" customHeight="1">
      <c r="B9" s="273" t="s">
        <v>598</v>
      </c>
      <c r="C9" s="273"/>
      <c r="E9" s="273" t="s">
        <v>603</v>
      </c>
      <c r="F9" s="273"/>
      <c r="H9" s="273" t="s">
        <v>610</v>
      </c>
      <c r="I9" s="273"/>
      <c r="M9" s="281" t="s">
        <v>595</v>
      </c>
      <c r="N9" s="283"/>
      <c r="O9" s="283"/>
      <c r="Q9" s="281" t="s">
        <v>580</v>
      </c>
      <c r="R9" s="283"/>
      <c r="S9" s="283"/>
    </row>
    <row r="10" spans="2:21" ht="10" customHeight="1"/>
    <row r="11" spans="2:21" ht="32" customHeight="1">
      <c r="B11" s="273" t="s">
        <v>599</v>
      </c>
      <c r="C11" s="273"/>
      <c r="E11" s="273" t="s">
        <v>604</v>
      </c>
      <c r="F11" s="273"/>
      <c r="H11" s="273" t="s">
        <v>611</v>
      </c>
      <c r="I11" s="273"/>
      <c r="K11" s="281" t="s">
        <v>596</v>
      </c>
      <c r="L11" s="283"/>
      <c r="M11" s="283"/>
      <c r="O11" s="281" t="s">
        <v>581</v>
      </c>
      <c r="P11" s="283"/>
      <c r="Q11" s="283"/>
      <c r="S11" s="281" t="s">
        <v>582</v>
      </c>
      <c r="T11" s="283"/>
      <c r="U11" s="283"/>
    </row>
    <row r="12" spans="2:21" ht="10" customHeight="1"/>
    <row r="13" spans="2:21" ht="32" customHeight="1">
      <c r="B13" s="273" t="s">
        <v>600</v>
      </c>
      <c r="C13" s="273"/>
      <c r="E13" s="273" t="s">
        <v>605</v>
      </c>
      <c r="F13" s="273"/>
      <c r="H13" s="273" t="s">
        <v>612</v>
      </c>
      <c r="I13" s="273"/>
      <c r="M13" s="281" t="s">
        <v>583</v>
      </c>
      <c r="N13" s="283"/>
      <c r="O13" s="283"/>
    </row>
    <row r="14" spans="2:21" ht="10" customHeight="1"/>
    <row r="15" spans="2:21" ht="32" customHeight="1">
      <c r="B15" s="273" t="s">
        <v>601</v>
      </c>
      <c r="C15" s="273"/>
      <c r="E15" s="273" t="s">
        <v>606</v>
      </c>
      <c r="F15" s="273"/>
      <c r="H15" s="273" t="s">
        <v>515</v>
      </c>
      <c r="I15" s="273"/>
      <c r="P15" s="281" t="s">
        <v>584</v>
      </c>
      <c r="Q15" s="283"/>
      <c r="R15" s="283"/>
    </row>
    <row r="16" spans="2:21" ht="10" customHeight="1"/>
    <row r="17" spans="2:21" ht="32" customHeight="1">
      <c r="B17" s="273" t="s">
        <v>602</v>
      </c>
      <c r="C17" s="273"/>
      <c r="E17" s="273" t="s">
        <v>607</v>
      </c>
      <c r="F17" s="273"/>
      <c r="H17" s="273" t="s">
        <v>613</v>
      </c>
      <c r="I17" s="273"/>
      <c r="M17" s="281" t="s">
        <v>585</v>
      </c>
      <c r="N17" s="283"/>
      <c r="O17" s="283"/>
      <c r="Q17" s="281" t="s">
        <v>586</v>
      </c>
      <c r="R17" s="283"/>
      <c r="S17" s="283"/>
    </row>
    <row r="18" spans="2:21" ht="10" customHeight="1"/>
    <row r="19" spans="2:21" ht="32" customHeight="1">
      <c r="E19" s="273" t="s">
        <v>608</v>
      </c>
      <c r="F19" s="273"/>
      <c r="H19" s="163"/>
      <c r="I19" s="163"/>
      <c r="K19" s="281" t="s">
        <v>587</v>
      </c>
      <c r="L19" s="283"/>
      <c r="M19" s="283"/>
      <c r="O19" s="281" t="s">
        <v>588</v>
      </c>
      <c r="P19" s="283"/>
      <c r="Q19" s="283"/>
      <c r="S19" s="281" t="s">
        <v>589</v>
      </c>
      <c r="T19" s="283"/>
      <c r="U19" s="283"/>
    </row>
    <row r="20" spans="2:21" ht="10" customHeight="1"/>
    <row r="21" spans="2:21" ht="25" customHeight="1">
      <c r="B21" s="163"/>
      <c r="C21" s="163"/>
      <c r="E21" s="273" t="s">
        <v>609</v>
      </c>
      <c r="F21" s="273"/>
      <c r="H21" s="163"/>
      <c r="I21" s="163"/>
      <c r="K21" s="281" t="s">
        <v>42</v>
      </c>
      <c r="L21" s="283"/>
      <c r="M21" s="283"/>
      <c r="S21" s="281" t="s">
        <v>32</v>
      </c>
      <c r="T21" s="283"/>
      <c r="U21" s="283"/>
    </row>
    <row r="22" spans="2:21" ht="10" customHeight="1"/>
    <row r="23" spans="2:21" ht="25" customHeight="1">
      <c r="B23" s="163"/>
      <c r="C23" s="163"/>
      <c r="E23" s="163"/>
      <c r="F23" s="163"/>
      <c r="H23" s="163"/>
      <c r="I23" s="163"/>
      <c r="K23" s="281" t="s">
        <v>153</v>
      </c>
      <c r="L23" s="281"/>
      <c r="M23" s="281"/>
      <c r="S23" s="281" t="s">
        <v>169</v>
      </c>
      <c r="T23" s="281"/>
      <c r="U23" s="281"/>
    </row>
    <row r="24" spans="2:21" ht="10" customHeight="1"/>
    <row r="25" spans="2:21" ht="10" customHeight="1">
      <c r="B25" s="163"/>
      <c r="C25" s="163"/>
      <c r="E25" s="163"/>
      <c r="F25" s="163"/>
      <c r="H25" s="163"/>
      <c r="I25" s="163"/>
    </row>
    <row r="26" spans="2:21" ht="10" customHeight="1"/>
    <row r="27" spans="2:21" ht="25" customHeight="1">
      <c r="B27" s="273" t="s">
        <v>167</v>
      </c>
      <c r="C27" s="273"/>
      <c r="E27" s="163"/>
      <c r="F27" s="163"/>
      <c r="H27" s="273" t="s">
        <v>614</v>
      </c>
      <c r="I27" s="273"/>
    </row>
    <row r="28" spans="2:21" ht="10" customHeight="1"/>
    <row r="29" spans="2:21" ht="25" customHeight="1">
      <c r="B29" s="273" t="s">
        <v>32</v>
      </c>
      <c r="C29" s="273"/>
      <c r="E29" s="163"/>
      <c r="F29" s="163"/>
      <c r="H29" s="273" t="s">
        <v>594</v>
      </c>
      <c r="I29" s="273"/>
    </row>
    <row r="30" spans="2:21" ht="10" customHeight="1"/>
    <row r="31" spans="2:21" ht="9" customHeight="1"/>
    <row r="32" spans="2:21" ht="26" customHeight="1">
      <c r="B32" s="277" t="s">
        <v>466</v>
      </c>
      <c r="C32" s="277"/>
      <c r="D32" s="121"/>
      <c r="E32" s="275" t="s">
        <v>476</v>
      </c>
      <c r="F32" s="275"/>
      <c r="G32" s="275"/>
      <c r="H32" s="275"/>
      <c r="I32" s="121"/>
    </row>
  </sheetData>
  <mergeCells count="47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519</v>
      </c>
      <c r="L1" s="101" t="s">
        <v>534</v>
      </c>
    </row>
    <row r="2" spans="2:12" ht="21">
      <c r="B2" s="100" t="s">
        <v>496</v>
      </c>
      <c r="J2" s="101" t="s">
        <v>520</v>
      </c>
      <c r="L2" s="101" t="s">
        <v>535</v>
      </c>
    </row>
    <row r="3" spans="2:12">
      <c r="J3" s="101" t="s">
        <v>521</v>
      </c>
      <c r="L3" s="101" t="s">
        <v>536</v>
      </c>
    </row>
    <row r="4" spans="2:12">
      <c r="B4" s="102" t="s">
        <v>445</v>
      </c>
      <c r="D4" s="137" t="s">
        <v>518</v>
      </c>
      <c r="E4" s="104" t="s">
        <v>11</v>
      </c>
      <c r="J4" s="101" t="s">
        <v>522</v>
      </c>
      <c r="L4" s="101" t="s">
        <v>537</v>
      </c>
    </row>
    <row r="5" spans="2:12">
      <c r="B5" s="118" t="s">
        <v>499</v>
      </c>
      <c r="D5" s="122">
        <v>22</v>
      </c>
      <c r="J5" s="101" t="s">
        <v>523</v>
      </c>
      <c r="L5" s="101" t="s">
        <v>538</v>
      </c>
    </row>
    <row r="6" spans="2:12">
      <c r="J6" s="101" t="s">
        <v>524</v>
      </c>
      <c r="L6" s="101" t="s">
        <v>539</v>
      </c>
    </row>
    <row r="7" spans="2:12">
      <c r="B7" s="118" t="s">
        <v>497</v>
      </c>
      <c r="D7" s="118" t="s">
        <v>498</v>
      </c>
      <c r="J7" s="101" t="s">
        <v>525</v>
      </c>
      <c r="L7" s="101" t="s">
        <v>540</v>
      </c>
    </row>
    <row r="8" spans="2:12">
      <c r="B8" s="123" t="s">
        <v>519</v>
      </c>
      <c r="D8" s="123" t="s">
        <v>534</v>
      </c>
      <c r="J8" s="101" t="s">
        <v>526</v>
      </c>
    </row>
    <row r="9" spans="2:12">
      <c r="B9" s="123"/>
      <c r="D9" s="123"/>
      <c r="J9" s="101" t="s">
        <v>527</v>
      </c>
    </row>
    <row r="10" spans="2:12">
      <c r="B10" s="123"/>
      <c r="D10" s="123"/>
      <c r="J10" s="101" t="s">
        <v>528</v>
      </c>
    </row>
    <row r="11" spans="2:12">
      <c r="B11" s="123"/>
      <c r="D11" s="123"/>
      <c r="J11" s="101" t="s">
        <v>529</v>
      </c>
    </row>
    <row r="12" spans="2:12">
      <c r="B12" s="123"/>
      <c r="D12" s="123"/>
      <c r="J12" s="101" t="s">
        <v>530</v>
      </c>
    </row>
    <row r="13" spans="2:12">
      <c r="J13" s="101" t="s">
        <v>531</v>
      </c>
    </row>
    <row r="14" spans="2:12" ht="26" customHeight="1">
      <c r="B14" s="103" t="s">
        <v>466</v>
      </c>
      <c r="C14" s="121"/>
      <c r="D14" s="104" t="s">
        <v>465</v>
      </c>
      <c r="J14" s="101" t="s">
        <v>532</v>
      </c>
    </row>
    <row r="15" spans="2:12">
      <c r="J15" s="101" t="s">
        <v>533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571</v>
      </c>
    </row>
    <row r="4" spans="2:8">
      <c r="B4" s="102" t="s">
        <v>572</v>
      </c>
      <c r="C4" s="280" t="s">
        <v>576</v>
      </c>
      <c r="D4" s="274"/>
      <c r="G4" s="275" t="s">
        <v>11</v>
      </c>
      <c r="H4" s="275"/>
    </row>
    <row r="5" spans="2:8">
      <c r="B5" s="102" t="s">
        <v>7</v>
      </c>
      <c r="C5" s="274" t="s">
        <v>46</v>
      </c>
      <c r="D5" s="274"/>
    </row>
    <row r="7" spans="2:8" ht="22" customHeight="1">
      <c r="B7" s="282" t="s">
        <v>573</v>
      </c>
      <c r="C7" s="282"/>
      <c r="D7" s="282"/>
      <c r="E7" s="282"/>
      <c r="F7" s="282"/>
      <c r="G7" s="282"/>
      <c r="H7" s="282"/>
    </row>
    <row r="9" spans="2:8" ht="22" customHeight="1">
      <c r="B9" s="284" t="s">
        <v>574</v>
      </c>
      <c r="C9" s="284"/>
      <c r="D9" s="284"/>
      <c r="E9" s="284"/>
      <c r="F9" s="284"/>
      <c r="G9" s="284"/>
      <c r="H9" s="284"/>
    </row>
    <row r="10" spans="2:8" ht="8" customHeight="1"/>
    <row r="11" spans="2:8" ht="22" customHeight="1">
      <c r="B11" s="284" t="s">
        <v>575</v>
      </c>
      <c r="C11" s="284"/>
      <c r="D11" s="284"/>
      <c r="E11" s="284"/>
      <c r="F11" s="284"/>
      <c r="G11" s="284"/>
      <c r="H11" s="284"/>
    </row>
    <row r="12" spans="2:8" ht="8" customHeight="1"/>
    <row r="13" spans="2:8" ht="22" customHeight="1">
      <c r="B13" s="285"/>
      <c r="C13" s="285"/>
      <c r="D13" s="285"/>
      <c r="E13" s="285"/>
      <c r="F13" s="285"/>
      <c r="G13" s="285"/>
      <c r="H13" s="285"/>
    </row>
    <row r="14" spans="2:8" ht="8" customHeight="1"/>
    <row r="15" spans="2:8" ht="22" customHeight="1">
      <c r="B15" s="285"/>
      <c r="C15" s="285"/>
      <c r="D15" s="285"/>
      <c r="E15" s="285"/>
      <c r="F15" s="285"/>
      <c r="G15" s="285"/>
      <c r="H15" s="285"/>
    </row>
    <row r="16" spans="2:8" ht="8" customHeight="1"/>
    <row r="17" spans="2:8" ht="22" customHeight="1">
      <c r="B17" s="285"/>
      <c r="C17" s="285"/>
      <c r="D17" s="285"/>
      <c r="E17" s="285"/>
      <c r="F17" s="285"/>
      <c r="G17" s="285"/>
      <c r="H17" s="285"/>
    </row>
    <row r="18" spans="2:8" ht="8" customHeight="1"/>
    <row r="19" spans="2:8" ht="22" customHeight="1">
      <c r="B19" s="285"/>
      <c r="C19" s="285"/>
      <c r="D19" s="285"/>
      <c r="E19" s="285"/>
      <c r="F19" s="285"/>
      <c r="G19" s="285"/>
      <c r="H19" s="285"/>
    </row>
    <row r="20" spans="2:8" ht="8" customHeight="1"/>
    <row r="21" spans="2:8" ht="22" customHeight="1">
      <c r="B21" s="285"/>
      <c r="C21" s="285"/>
      <c r="D21" s="285"/>
      <c r="E21" s="285"/>
      <c r="F21" s="285"/>
      <c r="G21" s="285"/>
      <c r="H21" s="285"/>
    </row>
    <row r="22" spans="2:8" ht="8" customHeight="1"/>
    <row r="23" spans="2:8" ht="22" customHeight="1">
      <c r="B23" s="285"/>
      <c r="C23" s="285"/>
      <c r="D23" s="285"/>
      <c r="E23" s="285"/>
      <c r="F23" s="285"/>
      <c r="G23" s="285"/>
      <c r="H23" s="285"/>
    </row>
    <row r="24" spans="2:8" ht="8" customHeight="1"/>
    <row r="25" spans="2:8" ht="22" customHeight="1">
      <c r="B25" s="285"/>
      <c r="C25" s="285"/>
      <c r="D25" s="285"/>
      <c r="E25" s="285"/>
      <c r="F25" s="285"/>
      <c r="G25" s="285"/>
      <c r="H25" s="285"/>
    </row>
    <row r="26" spans="2:8" ht="8" customHeight="1"/>
    <row r="27" spans="2:8" ht="22" customHeight="1">
      <c r="B27" s="285"/>
      <c r="C27" s="285"/>
      <c r="D27" s="285"/>
      <c r="E27" s="285"/>
      <c r="F27" s="285"/>
      <c r="G27" s="285"/>
      <c r="H27" s="285"/>
    </row>
    <row r="28" spans="2:8" ht="8" customHeight="1"/>
    <row r="29" spans="2:8" ht="26" customHeight="1">
      <c r="B29" s="277" t="s">
        <v>466</v>
      </c>
      <c r="C29" s="277"/>
      <c r="D29" s="121"/>
      <c r="E29" s="275" t="s">
        <v>476</v>
      </c>
      <c r="F29" s="275"/>
      <c r="G29" s="275"/>
      <c r="H29" s="275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2026-10-18T09:00:32Z</dcterms:modified>
</cp:coreProperties>
</file>