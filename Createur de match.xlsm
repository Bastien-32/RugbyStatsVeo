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7FF15B6F-2BEB-F44B-947B-177D13B2699F}" xr6:coauthVersionLast="47" xr6:coauthVersionMax="47" xr10:uidLastSave="{00000000-0000-0000-0000-000000000000}"/>
  <bookViews>
    <workbookView xWindow="0" yWindow="980" windowWidth="25820" windowHeight="15760" activeTab="1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0" i="3" l="1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<sst xmlns="http://schemas.openxmlformats.org/spreadsheetml/2006/main" count="634" uniqueCount="470">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</sst>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25" fillId="0" borderId="0" xfId="0" applyFont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56" dataDxfId="55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54"/>
    <tableColumn id="2" xr3:uid="{0C1B8A30-A3B8-DA4D-B893-C4C99FF33E90}" name="nom" dataDxfId="53"/>
    <tableColumn id="3" xr3:uid="{8AE5AF32-0026-9B41-8B0B-16B9ED0F3727}" name="prenom" dataDxfId="52"/>
    <tableColumn id="6" xr3:uid="{D5D3A7D0-7C7D-684B-8AA7-DABBCC7051CF}" name="1ère ligne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8" dataDxfId="47">
  <autoFilter ref="J1:J11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6" dataDxfId="4" headerRowBorderDxfId="5" tableBorderDxfId="3" totalsRowBorderDxfId="2">
  <autoFilter ref="K1:K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0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9" sqref="I19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203" t="s">
        <v>121</v>
      </c>
      <c r="C1" s="203" t="s">
        <v>122</v>
      </c>
      <c r="D1" s="203" t="s">
        <v>464</v>
      </c>
      <c r="E1" s="203" t="s">
        <v>123</v>
      </c>
      <c r="F1" s="203" t="s">
        <v>163</v>
      </c>
      <c r="J1" t="s">
        <v>442</v>
      </c>
    </row>
    <row r="2" spans="1:10" ht="14">
      <c r="A2">
        <v>1</v>
      </c>
      <c r="B2" s="151" t="s">
        <v>324</v>
      </c>
      <c r="C2" s="151" t="s">
        <v>325</v>
      </c>
      <c r="D2" s="151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51" t="s">
        <v>324</v>
      </c>
      <c r="C3" s="151" t="s">
        <v>326</v>
      </c>
      <c r="D3" s="151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51" t="s">
        <v>324</v>
      </c>
      <c r="C4" s="151" t="s">
        <v>124</v>
      </c>
      <c r="D4" s="151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51" t="s">
        <v>327</v>
      </c>
      <c r="C5" s="151" t="s">
        <v>328</v>
      </c>
      <c r="D5" s="151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51" t="s">
        <v>329</v>
      </c>
      <c r="C6" s="151" t="s">
        <v>330</v>
      </c>
      <c r="D6" s="151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51" t="s">
        <v>329</v>
      </c>
      <c r="C7" s="151" t="s">
        <v>469</v>
      </c>
      <c r="D7" s="151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51" t="s">
        <v>331</v>
      </c>
      <c r="C8" s="151" t="s">
        <v>332</v>
      </c>
      <c r="D8" s="151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40" t="s">
        <v>439</v>
      </c>
    </row>
    <row r="9" spans="1:10" ht="14">
      <c r="A9">
        <v>7</v>
      </c>
      <c r="B9" s="151" t="s">
        <v>333</v>
      </c>
      <c r="C9" s="151" t="s">
        <v>334</v>
      </c>
      <c r="D9" s="151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51" t="s">
        <v>335</v>
      </c>
      <c r="C10" s="151" t="s">
        <v>336</v>
      </c>
      <c r="D10" s="151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51" t="s">
        <v>337</v>
      </c>
      <c r="C11" s="151" t="s">
        <v>338</v>
      </c>
      <c r="D11" s="151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51" t="s">
        <v>339</v>
      </c>
      <c r="C12" s="151" t="s">
        <v>340</v>
      </c>
      <c r="D12" s="151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51" t="s">
        <v>341</v>
      </c>
      <c r="C13" s="151" t="s">
        <v>342</v>
      </c>
      <c r="D13" s="151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51" t="s">
        <v>343</v>
      </c>
      <c r="C14" s="151" t="s">
        <v>344</v>
      </c>
      <c r="D14" s="151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51" t="s">
        <v>345</v>
      </c>
      <c r="C15" s="151" t="s">
        <v>346</v>
      </c>
      <c r="D15" s="151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51" t="s">
        <v>347</v>
      </c>
      <c r="C16" s="151" t="s">
        <v>348</v>
      </c>
      <c r="D16" s="151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51" t="s">
        <v>349</v>
      </c>
      <c r="C17" s="151" t="s">
        <v>350</v>
      </c>
      <c r="D17" s="151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51" t="s">
        <v>349</v>
      </c>
      <c r="C18" s="151" t="s">
        <v>351</v>
      </c>
      <c r="D18" s="151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51" t="s">
        <v>352</v>
      </c>
      <c r="C19" s="151" t="s">
        <v>353</v>
      </c>
      <c r="D19" s="151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51" t="s">
        <v>354</v>
      </c>
      <c r="C20" s="151" t="s">
        <v>355</v>
      </c>
      <c r="D20" s="151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51" t="s">
        <v>356</v>
      </c>
      <c r="C21" s="151" t="s">
        <v>355</v>
      </c>
      <c r="D21" s="151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51" t="s">
        <v>357</v>
      </c>
      <c r="C22" s="151" t="s">
        <v>358</v>
      </c>
      <c r="D22" s="151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51" t="s">
        <v>359</v>
      </c>
      <c r="C23" s="151" t="s">
        <v>360</v>
      </c>
      <c r="D23" s="151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51" t="s">
        <v>361</v>
      </c>
      <c r="C24" s="151" t="s">
        <v>362</v>
      </c>
      <c r="D24" s="151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51" t="s">
        <v>361</v>
      </c>
      <c r="C25" s="151" t="s">
        <v>363</v>
      </c>
      <c r="D25" s="151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51" t="s">
        <v>364</v>
      </c>
      <c r="C26" s="151" t="s">
        <v>365</v>
      </c>
      <c r="D26" s="151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51" t="s">
        <v>366</v>
      </c>
      <c r="C27" s="151" t="s">
        <v>355</v>
      </c>
      <c r="D27" s="151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51" t="s">
        <v>367</v>
      </c>
      <c r="C28" s="151" t="s">
        <v>368</v>
      </c>
      <c r="D28" s="151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51" t="s">
        <v>369</v>
      </c>
      <c r="C29" s="151" t="s">
        <v>124</v>
      </c>
      <c r="D29" s="151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51" t="s">
        <v>370</v>
      </c>
      <c r="C30" s="151" t="s">
        <v>371</v>
      </c>
      <c r="D30" s="151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51" t="s">
        <v>372</v>
      </c>
      <c r="C31" s="151" t="s">
        <v>373</v>
      </c>
      <c r="D31" s="151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51" t="s">
        <v>374</v>
      </c>
      <c r="C32" s="151" t="s">
        <v>375</v>
      </c>
      <c r="D32" s="151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51" t="s">
        <v>376</v>
      </c>
      <c r="C33" s="151" t="s">
        <v>338</v>
      </c>
      <c r="D33" s="151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51" t="s">
        <v>377</v>
      </c>
      <c r="C34" s="151" t="s">
        <v>322</v>
      </c>
      <c r="D34" s="151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51" t="s">
        <v>378</v>
      </c>
      <c r="C35" s="151" t="s">
        <v>379</v>
      </c>
      <c r="D35" s="151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51" t="s">
        <v>380</v>
      </c>
      <c r="C36" s="151" t="s">
        <v>381</v>
      </c>
      <c r="D36" s="151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51" t="s">
        <v>380</v>
      </c>
      <c r="C37" s="151" t="s">
        <v>382</v>
      </c>
      <c r="D37" s="151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51" t="s">
        <v>383</v>
      </c>
      <c r="C38" s="151" t="s">
        <v>340</v>
      </c>
      <c r="D38" s="151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51" t="s">
        <v>384</v>
      </c>
      <c r="C39" s="151" t="s">
        <v>353</v>
      </c>
      <c r="D39" s="151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51" t="s">
        <v>385</v>
      </c>
      <c r="C40" s="151" t="s">
        <v>386</v>
      </c>
      <c r="D40" s="151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51" t="s">
        <v>387</v>
      </c>
      <c r="C41" s="151" t="s">
        <v>330</v>
      </c>
      <c r="D41" s="151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51" t="s">
        <v>388</v>
      </c>
      <c r="C42" s="151" t="s">
        <v>389</v>
      </c>
      <c r="D42" s="151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51" t="s">
        <v>390</v>
      </c>
      <c r="C43" s="151" t="s">
        <v>348</v>
      </c>
      <c r="D43" s="151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51" t="s">
        <v>391</v>
      </c>
      <c r="C44" s="151" t="s">
        <v>392</v>
      </c>
      <c r="D44" s="151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51" t="s">
        <v>393</v>
      </c>
      <c r="C45" s="151" t="s">
        <v>394</v>
      </c>
      <c r="D45" s="151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51" t="s">
        <v>395</v>
      </c>
      <c r="C46" s="151" t="s">
        <v>396</v>
      </c>
      <c r="D46" s="151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51" t="s">
        <v>397</v>
      </c>
      <c r="C47" s="151" t="s">
        <v>398</v>
      </c>
      <c r="D47" s="151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51" t="s">
        <v>399</v>
      </c>
      <c r="C48" s="151" t="s">
        <v>400</v>
      </c>
      <c r="D48" s="151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51" t="s">
        <v>399</v>
      </c>
      <c r="C49" s="151" t="s">
        <v>401</v>
      </c>
      <c r="D49" s="151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51" t="s">
        <v>402</v>
      </c>
      <c r="C50" s="151" t="s">
        <v>403</v>
      </c>
      <c r="D50" s="151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51" t="s">
        <v>404</v>
      </c>
      <c r="C51" s="151" t="s">
        <v>405</v>
      </c>
      <c r="D51" s="151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51" t="s">
        <v>406</v>
      </c>
      <c r="C52" s="151" t="s">
        <v>379</v>
      </c>
      <c r="D52" s="151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51" t="s">
        <v>407</v>
      </c>
      <c r="C53" s="151" t="s">
        <v>408</v>
      </c>
      <c r="D53" s="151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51" t="s">
        <v>409</v>
      </c>
      <c r="C54" s="151" t="s">
        <v>353</v>
      </c>
      <c r="D54" s="151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51" t="s">
        <v>410</v>
      </c>
      <c r="C55" s="151" t="s">
        <v>323</v>
      </c>
      <c r="D55" s="151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51" t="s">
        <v>411</v>
      </c>
      <c r="C56" s="151" t="s">
        <v>412</v>
      </c>
      <c r="D56" s="151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51" t="s">
        <v>413</v>
      </c>
      <c r="C57" s="151" t="s">
        <v>290</v>
      </c>
      <c r="D57" s="151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51" t="s">
        <v>414</v>
      </c>
      <c r="C58" s="151" t="s">
        <v>415</v>
      </c>
      <c r="D58" s="151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51" t="s">
        <v>416</v>
      </c>
      <c r="C59" s="151" t="s">
        <v>417</v>
      </c>
      <c r="D59" s="151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51" t="s">
        <v>418</v>
      </c>
      <c r="C60" s="151" t="s">
        <v>419</v>
      </c>
      <c r="D60" s="151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51" t="s">
        <v>418</v>
      </c>
      <c r="C61" s="151" t="s">
        <v>351</v>
      </c>
      <c r="D61" s="151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51" t="s">
        <v>420</v>
      </c>
      <c r="C62" s="151" t="s">
        <v>421</v>
      </c>
      <c r="D62" s="151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51" t="s">
        <v>422</v>
      </c>
      <c r="C63" s="151" t="s">
        <v>326</v>
      </c>
      <c r="D63" s="151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51" t="s">
        <v>423</v>
      </c>
      <c r="C64" s="151" t="s">
        <v>424</v>
      </c>
      <c r="D64" s="151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51" t="s">
        <v>425</v>
      </c>
      <c r="C65" s="151" t="s">
        <v>426</v>
      </c>
      <c r="D65" s="151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51" t="s">
        <v>427</v>
      </c>
      <c r="C66" s="151" t="s">
        <v>351</v>
      </c>
      <c r="D66" s="151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51" t="s">
        <v>428</v>
      </c>
      <c r="C67" s="151" t="s">
        <v>429</v>
      </c>
      <c r="D67" s="151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51" t="s">
        <v>430</v>
      </c>
      <c r="C68" s="151" t="s">
        <v>338</v>
      </c>
      <c r="D68" s="151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51" t="s">
        <v>431</v>
      </c>
      <c r="C69" s="151" t="s">
        <v>432</v>
      </c>
      <c r="D69" s="151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51" t="s">
        <v>383</v>
      </c>
      <c r="C70" s="151" t="s">
        <v>358</v>
      </c>
      <c r="D70" s="151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G34" sqref="G34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206" t="s">
        <v>254</v>
      </c>
      <c r="C2" s="206"/>
      <c r="E2" s="207" t="s">
        <v>255</v>
      </c>
      <c r="F2" s="208"/>
      <c r="G2" s="208"/>
      <c r="H2" s="209"/>
    </row>
    <row r="3" spans="1:8" ht="19" customHeight="1">
      <c r="B3" s="206"/>
      <c r="C3" s="206"/>
      <c r="E3" s="210"/>
      <c r="F3" s="211"/>
      <c r="G3" s="211"/>
      <c r="H3" s="212"/>
    </row>
    <row r="4" spans="1:8" ht="19" customHeight="1" thickBot="1">
      <c r="B4" s="206"/>
      <c r="C4" s="206"/>
      <c r="E4" s="213"/>
      <c r="F4" s="214"/>
      <c r="G4" s="214"/>
      <c r="H4" s="215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46285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439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232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>
        <v>1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258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6" s="25" customFormat="1">
      <c r="A33" s="91"/>
      <c r="D33" s="91"/>
    </row>
    <row r="34" spans="1:6" s="25" customFormat="1">
      <c r="A34" s="91"/>
      <c r="D34" s="91"/>
      <c r="F34" s="204"/>
    </row>
    <row r="35" spans="1:6" s="25" customFormat="1">
      <c r="A35" s="91"/>
      <c r="D35" s="91"/>
    </row>
    <row r="36" spans="1:6" s="25" customFormat="1">
      <c r="A36" s="91"/>
      <c r="D36" s="91"/>
      <c r="F36" s="25" t="s">
        <v>117</v>
      </c>
    </row>
    <row r="37" spans="1:6" s="25" customFormat="1">
      <c r="A37" s="91"/>
      <c r="D37" s="91"/>
    </row>
    <row r="38" spans="1:6" s="25" customFormat="1">
      <c r="A38" s="91"/>
      <c r="D38" s="91"/>
    </row>
    <row r="39" spans="1:6" s="25" customFormat="1">
      <c r="A39" s="91"/>
      <c r="D39" s="91"/>
    </row>
    <row r="40" spans="1:6" s="25" customFormat="1">
      <c r="A40" s="91"/>
      <c r="D40" s="91"/>
    </row>
    <row r="41" spans="1:6" s="25" customFormat="1">
      <c r="A41" s="91"/>
      <c r="D41" s="91"/>
    </row>
    <row r="42" spans="1:6" s="25" customFormat="1">
      <c r="A42" s="91"/>
      <c r="D42" s="91"/>
    </row>
    <row r="43" spans="1:6" s="25" customFormat="1">
      <c r="A43" s="91"/>
      <c r="D43" s="91"/>
    </row>
    <row r="44" spans="1:6" s="25" customFormat="1">
      <c r="A44" s="91"/>
      <c r="D44" s="91"/>
    </row>
    <row r="45" spans="1:6" s="25" customFormat="1">
      <c r="A45" s="91"/>
      <c r="D45" s="91"/>
    </row>
    <row r="46" spans="1:6" s="25" customFormat="1">
      <c r="A46" s="91"/>
      <c r="D46" s="91"/>
    </row>
    <row r="47" spans="1:6" s="25" customFormat="1">
      <c r="A47" s="91"/>
      <c r="D47" s="91"/>
    </row>
    <row r="48" spans="1:6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468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5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5"/>
      <c r="AZ1" s="17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64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6"/>
      <c r="AD3" s="173"/>
      <c r="AE3" s="169"/>
      <c r="AF3" s="169"/>
      <c r="AG3" s="169"/>
      <c r="AH3" s="169"/>
      <c r="AI3" s="172"/>
    </row>
    <row r="4" spans="1:52" ht="42" customHeight="1">
      <c r="A4" s="25"/>
      <c r="B4" s="25"/>
      <c r="C4" s="126"/>
      <c r="D4" s="226" t="s">
        <v>175</v>
      </c>
      <c r="E4" s="227"/>
      <c r="F4" s="35" t="s">
        <v>89</v>
      </c>
      <c r="G4" s="127"/>
      <c r="H4" s="35" t="s">
        <v>106</v>
      </c>
      <c r="I4" s="128"/>
      <c r="J4" s="129"/>
      <c r="K4" s="130"/>
      <c r="L4" s="28" t="s">
        <v>93</v>
      </c>
      <c r="M4" s="131"/>
      <c r="N4" s="28" t="s">
        <v>94</v>
      </c>
      <c r="O4" s="149"/>
      <c r="P4" s="148"/>
      <c r="Q4" s="167"/>
      <c r="R4" s="178" t="s">
        <v>88</v>
      </c>
      <c r="S4" s="173"/>
      <c r="T4" s="39" t="s">
        <v>79</v>
      </c>
      <c r="U4" s="173"/>
      <c r="V4" s="39" t="s">
        <v>102</v>
      </c>
      <c r="W4" s="173"/>
      <c r="X4" s="39" t="s">
        <v>192</v>
      </c>
      <c r="Y4" s="173"/>
      <c r="Z4" s="39" t="s">
        <v>80</v>
      </c>
      <c r="AA4" s="173"/>
      <c r="AB4" s="39" t="s">
        <v>81</v>
      </c>
      <c r="AC4" s="176"/>
      <c r="AD4" s="173"/>
      <c r="AE4" s="169"/>
      <c r="AF4" s="169"/>
      <c r="AG4" s="169"/>
      <c r="AH4" s="169"/>
      <c r="AI4" s="172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70"/>
      <c r="R5" s="175"/>
      <c r="S5" s="171"/>
      <c r="T5" s="175"/>
      <c r="U5" s="171"/>
      <c r="V5" s="175"/>
      <c r="W5" s="171"/>
      <c r="X5" s="175"/>
      <c r="Y5" s="171"/>
      <c r="Z5" s="175"/>
      <c r="AA5" s="171"/>
      <c r="AB5" s="175"/>
      <c r="AC5" s="177"/>
      <c r="AD5" s="173"/>
      <c r="AE5" s="169"/>
      <c r="AF5" s="169"/>
      <c r="AG5" s="169"/>
      <c r="AH5" s="169"/>
      <c r="AI5" s="172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69"/>
      <c r="AE6" s="169"/>
      <c r="AF6" s="169"/>
      <c r="AG6" s="169"/>
      <c r="AH6" s="169"/>
      <c r="AI6" s="172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64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6"/>
      <c r="AD7" s="173"/>
      <c r="AE7" s="169"/>
      <c r="AF7" s="169"/>
      <c r="AG7" s="169"/>
      <c r="AH7" s="169"/>
      <c r="AI7" s="172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67"/>
      <c r="R8" s="178" t="s">
        <v>99</v>
      </c>
      <c r="S8" s="173"/>
      <c r="T8" s="31" t="s">
        <v>83</v>
      </c>
      <c r="U8" s="173"/>
      <c r="V8" s="31" t="s">
        <v>84</v>
      </c>
      <c r="W8" s="173"/>
      <c r="X8" s="31" t="s">
        <v>85</v>
      </c>
      <c r="Y8" s="173"/>
      <c r="Z8" s="31" t="s">
        <v>86</v>
      </c>
      <c r="AA8" s="173"/>
      <c r="AB8" s="24" t="s">
        <v>87</v>
      </c>
      <c r="AC8" s="176"/>
      <c r="AD8" s="173"/>
      <c r="AE8" s="169"/>
      <c r="AF8" s="169"/>
      <c r="AG8" s="169"/>
      <c r="AH8" s="169"/>
      <c r="AI8" s="172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70"/>
      <c r="R9" s="175"/>
      <c r="S9" s="171"/>
      <c r="T9" s="175"/>
      <c r="U9" s="171"/>
      <c r="V9" s="175"/>
      <c r="W9" s="171"/>
      <c r="X9" s="175"/>
      <c r="Y9" s="171"/>
      <c r="Z9" s="175"/>
      <c r="AA9" s="171"/>
      <c r="AB9" s="175"/>
      <c r="AC9" s="177"/>
      <c r="AD9" s="173"/>
      <c r="AE9" s="169"/>
      <c r="AF9" s="169"/>
      <c r="AG9" s="169"/>
      <c r="AH9" s="169"/>
      <c r="AI9" s="172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69"/>
      <c r="AE10" s="169"/>
      <c r="AF10" s="169"/>
      <c r="AG10" s="169"/>
      <c r="AH10" s="169"/>
      <c r="AI10" s="172"/>
    </row>
    <row r="11" spans="1:52" ht="10" customHeight="1" thickTop="1">
      <c r="A11" s="25"/>
      <c r="B11" s="25" t="s">
        <v>95</v>
      </c>
      <c r="C11" s="164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83"/>
      <c r="O11" s="166"/>
      <c r="P11" s="181"/>
      <c r="Q11" s="164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6"/>
    </row>
    <row r="12" spans="1:52" ht="15" customHeight="1">
      <c r="A12" s="25"/>
      <c r="B12" s="25"/>
      <c r="C12" s="167"/>
      <c r="D12" s="228" t="s">
        <v>68</v>
      </c>
      <c r="E12" s="228"/>
      <c r="F12" s="228"/>
      <c r="G12" s="228"/>
      <c r="H12" s="228"/>
      <c r="I12" s="228"/>
      <c r="J12" s="228"/>
      <c r="K12" s="228"/>
      <c r="L12" s="228"/>
      <c r="M12" s="229"/>
      <c r="N12" s="230"/>
      <c r="O12" s="168"/>
      <c r="P12" s="181"/>
      <c r="Q12" s="167"/>
      <c r="R12" s="216" t="s">
        <v>69</v>
      </c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7"/>
      <c r="AH12" s="218"/>
      <c r="AI12" s="176"/>
    </row>
    <row r="13" spans="1:52">
      <c r="A13" s="25"/>
      <c r="B13" s="25"/>
      <c r="C13" s="167"/>
      <c r="D13" s="184"/>
      <c r="E13" s="169"/>
      <c r="F13" s="184"/>
      <c r="G13" s="169"/>
      <c r="H13" s="184"/>
      <c r="I13" s="169"/>
      <c r="J13" s="184"/>
      <c r="K13" s="169"/>
      <c r="L13" s="184"/>
      <c r="M13" s="169"/>
      <c r="N13" s="184"/>
      <c r="O13" s="168"/>
      <c r="P13" s="181"/>
      <c r="Q13" s="167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68"/>
    </row>
    <row r="14" spans="1:52" ht="42" customHeight="1">
      <c r="A14" s="25"/>
      <c r="B14" s="25"/>
      <c r="C14" s="188"/>
      <c r="D14" s="189">
        <v>1</v>
      </c>
      <c r="E14" s="191"/>
      <c r="F14" s="189">
        <v>2</v>
      </c>
      <c r="G14" s="191"/>
      <c r="H14" s="189">
        <v>3</v>
      </c>
      <c r="I14" s="191"/>
      <c r="J14" s="189">
        <v>4</v>
      </c>
      <c r="K14" s="191"/>
      <c r="L14" s="189">
        <v>5</v>
      </c>
      <c r="M14" s="191"/>
      <c r="N14" s="189">
        <v>6</v>
      </c>
      <c r="O14" s="192"/>
      <c r="P14" s="181"/>
      <c r="Q14" s="167"/>
      <c r="R14" s="178" t="s">
        <v>321</v>
      </c>
      <c r="S14" s="173"/>
      <c r="T14" s="29" t="s">
        <v>72</v>
      </c>
      <c r="U14" s="173"/>
      <c r="V14" s="29" t="s">
        <v>70</v>
      </c>
      <c r="W14" s="173"/>
      <c r="X14" s="29" t="s">
        <v>73</v>
      </c>
      <c r="Y14" s="173"/>
      <c r="Z14" s="29" t="s">
        <v>74</v>
      </c>
      <c r="AA14" s="173"/>
      <c r="AB14" s="29" t="s">
        <v>71</v>
      </c>
      <c r="AC14" s="173"/>
      <c r="AD14" s="178" t="s">
        <v>277</v>
      </c>
      <c r="AE14" s="173"/>
      <c r="AF14" s="29" t="s">
        <v>75</v>
      </c>
      <c r="AG14" s="173"/>
      <c r="AH14" s="29" t="s">
        <v>76</v>
      </c>
      <c r="AI14" s="176"/>
    </row>
    <row r="15" spans="1:52" ht="10" customHeight="1">
      <c r="A15" s="25"/>
      <c r="B15" s="25"/>
      <c r="C15" s="167"/>
      <c r="D15" s="190"/>
      <c r="E15" s="169"/>
      <c r="F15" s="190"/>
      <c r="G15" s="169"/>
      <c r="H15" s="190"/>
      <c r="I15" s="169"/>
      <c r="J15" s="190"/>
      <c r="K15" s="169"/>
      <c r="L15" s="190"/>
      <c r="M15" s="169"/>
      <c r="N15" s="190"/>
      <c r="O15" s="168"/>
      <c r="P15" s="181"/>
      <c r="Q15" s="167"/>
      <c r="R15" s="174"/>
      <c r="S15" s="169"/>
      <c r="T15" s="174"/>
      <c r="U15" s="169"/>
      <c r="V15" s="174"/>
      <c r="W15" s="169"/>
      <c r="X15" s="174"/>
      <c r="Y15" s="169"/>
      <c r="Z15" s="174"/>
      <c r="AA15" s="169"/>
      <c r="AB15" s="174"/>
      <c r="AC15" s="169"/>
      <c r="AD15" s="174"/>
      <c r="AE15" s="169"/>
      <c r="AF15" s="174"/>
      <c r="AG15" s="169"/>
      <c r="AH15" s="174"/>
      <c r="AI15" s="168"/>
    </row>
    <row r="16" spans="1:52" ht="42" customHeight="1">
      <c r="A16" s="25"/>
      <c r="B16" s="25"/>
      <c r="C16" s="188"/>
      <c r="D16" s="189">
        <v>7</v>
      </c>
      <c r="E16" s="191"/>
      <c r="F16" s="189">
        <v>8</v>
      </c>
      <c r="G16" s="191"/>
      <c r="H16" s="189">
        <v>9</v>
      </c>
      <c r="I16" s="191"/>
      <c r="J16" s="189">
        <v>10</v>
      </c>
      <c r="K16" s="191"/>
      <c r="L16" s="189">
        <v>11</v>
      </c>
      <c r="M16" s="191"/>
      <c r="N16" s="189">
        <v>12</v>
      </c>
      <c r="O16" s="192"/>
      <c r="P16" s="181"/>
      <c r="Q16" s="167"/>
      <c r="R16" s="178" t="s">
        <v>276</v>
      </c>
      <c r="S16" s="173"/>
      <c r="T16" s="29" t="s">
        <v>75</v>
      </c>
      <c r="U16" s="173"/>
      <c r="V16" s="29" t="s">
        <v>76</v>
      </c>
      <c r="W16" s="173"/>
      <c r="X16" s="29" t="s">
        <v>96</v>
      </c>
      <c r="Y16" s="173"/>
      <c r="Z16" s="169"/>
      <c r="AA16" s="169"/>
      <c r="AB16" s="179" t="s">
        <v>459</v>
      </c>
      <c r="AC16" s="173"/>
      <c r="AD16" s="39" t="s">
        <v>299</v>
      </c>
      <c r="AE16" s="173"/>
      <c r="AF16" s="39" t="s">
        <v>457</v>
      </c>
      <c r="AG16" s="173"/>
      <c r="AH16" s="39" t="s">
        <v>458</v>
      </c>
      <c r="AI16" s="176"/>
    </row>
    <row r="17" spans="1:35" ht="10" customHeight="1">
      <c r="A17" s="25"/>
      <c r="B17" s="25"/>
      <c r="C17" s="167"/>
      <c r="D17" s="190"/>
      <c r="E17" s="169"/>
      <c r="F17" s="190"/>
      <c r="G17" s="169"/>
      <c r="H17" s="190"/>
      <c r="I17" s="169"/>
      <c r="J17" s="190"/>
      <c r="K17" s="169"/>
      <c r="L17" s="190"/>
      <c r="M17" s="169"/>
      <c r="N17" s="190"/>
      <c r="O17" s="168"/>
      <c r="P17" s="181"/>
      <c r="Q17" s="167"/>
      <c r="R17" s="174"/>
      <c r="S17" s="169"/>
      <c r="T17" s="174"/>
      <c r="U17" s="169"/>
      <c r="V17" s="174"/>
      <c r="W17" s="169"/>
      <c r="X17" s="174"/>
      <c r="Y17" s="169"/>
      <c r="Z17" s="169"/>
      <c r="AA17" s="169"/>
      <c r="AB17" s="174"/>
      <c r="AC17" s="169"/>
      <c r="AD17" s="174"/>
      <c r="AE17" s="169"/>
      <c r="AF17" s="174"/>
      <c r="AG17" s="169"/>
      <c r="AH17" s="174"/>
      <c r="AI17" s="168"/>
    </row>
    <row r="18" spans="1:35" ht="42" customHeight="1">
      <c r="A18" s="25"/>
      <c r="B18" s="25"/>
      <c r="C18" s="188"/>
      <c r="D18" s="189">
        <v>13</v>
      </c>
      <c r="E18" s="191"/>
      <c r="F18" s="189">
        <v>14</v>
      </c>
      <c r="G18" s="191"/>
      <c r="H18" s="189">
        <v>15</v>
      </c>
      <c r="I18" s="191"/>
      <c r="J18" s="189">
        <v>16</v>
      </c>
      <c r="K18" s="191"/>
      <c r="L18" s="189">
        <v>17</v>
      </c>
      <c r="M18" s="191"/>
      <c r="N18" s="189">
        <v>18</v>
      </c>
      <c r="O18" s="192"/>
      <c r="P18" s="181"/>
      <c r="Q18" s="167"/>
      <c r="R18" s="178" t="s">
        <v>176</v>
      </c>
      <c r="S18" s="173"/>
      <c r="T18" s="29" t="s">
        <v>177</v>
      </c>
      <c r="U18" s="173"/>
      <c r="V18" s="29" t="s">
        <v>178</v>
      </c>
      <c r="W18" s="173"/>
      <c r="X18" s="29" t="s">
        <v>179</v>
      </c>
      <c r="Y18" s="173"/>
      <c r="Z18" s="29" t="s">
        <v>180</v>
      </c>
      <c r="AA18" s="173"/>
      <c r="AB18" s="29" t="s">
        <v>60</v>
      </c>
      <c r="AC18" s="173"/>
      <c r="AD18" s="29" t="s">
        <v>77</v>
      </c>
      <c r="AE18" s="173"/>
      <c r="AF18" s="29" t="s">
        <v>273</v>
      </c>
      <c r="AG18" s="173"/>
      <c r="AH18" s="29" t="s">
        <v>452</v>
      </c>
      <c r="AI18" s="176"/>
    </row>
    <row r="19" spans="1:35" s="25" customFormat="1" ht="10" customHeight="1">
      <c r="C19" s="167"/>
      <c r="D19" s="190"/>
      <c r="E19" s="169"/>
      <c r="F19" s="190"/>
      <c r="G19" s="169"/>
      <c r="H19" s="190"/>
      <c r="I19" s="169"/>
      <c r="J19" s="190"/>
      <c r="K19" s="169"/>
      <c r="L19" s="190"/>
      <c r="M19" s="169"/>
      <c r="N19" s="190"/>
      <c r="O19" s="168"/>
      <c r="P19" s="181"/>
      <c r="Q19" s="167"/>
      <c r="R19" s="174"/>
      <c r="S19" s="169"/>
      <c r="T19" s="174"/>
      <c r="U19" s="169"/>
      <c r="V19" s="174"/>
      <c r="W19" s="169"/>
      <c r="X19" s="174"/>
      <c r="Y19" s="169"/>
      <c r="Z19" s="174"/>
      <c r="AA19" s="169"/>
      <c r="AB19" s="174"/>
      <c r="AC19" s="169"/>
      <c r="AD19" s="174"/>
      <c r="AE19" s="169"/>
      <c r="AF19" s="174"/>
      <c r="AG19" s="169"/>
      <c r="AH19" s="174"/>
      <c r="AI19" s="168"/>
    </row>
    <row r="20" spans="1:35" ht="42" customHeight="1">
      <c r="A20" s="25"/>
      <c r="B20" s="25"/>
      <c r="C20" s="188"/>
      <c r="D20" s="189">
        <v>19</v>
      </c>
      <c r="E20" s="191"/>
      <c r="F20" s="189">
        <v>20</v>
      </c>
      <c r="G20" s="191"/>
      <c r="H20" s="189">
        <v>21</v>
      </c>
      <c r="I20" s="191"/>
      <c r="J20" s="189">
        <v>22</v>
      </c>
      <c r="K20" s="191"/>
      <c r="L20" s="193" t="s">
        <v>92</v>
      </c>
      <c r="M20" s="191"/>
      <c r="N20" s="193" t="s">
        <v>82</v>
      </c>
      <c r="O20" s="187"/>
      <c r="P20" s="181"/>
      <c r="Q20" s="167"/>
      <c r="R20" s="178" t="s">
        <v>116</v>
      </c>
      <c r="S20" s="173"/>
      <c r="T20" s="30" t="s">
        <v>210</v>
      </c>
      <c r="U20" s="173"/>
      <c r="V20" s="30" t="s">
        <v>211</v>
      </c>
      <c r="W20" s="173"/>
      <c r="X20" s="178" t="s">
        <v>205</v>
      </c>
      <c r="Y20" s="173"/>
      <c r="Z20" s="30" t="s">
        <v>206</v>
      </c>
      <c r="AA20" s="173"/>
      <c r="AB20" s="30" t="s">
        <v>207</v>
      </c>
      <c r="AC20" s="173"/>
      <c r="AD20" s="30" t="s">
        <v>208</v>
      </c>
      <c r="AE20" s="173"/>
      <c r="AF20" s="30" t="s">
        <v>209</v>
      </c>
      <c r="AG20" s="173"/>
      <c r="AH20" s="30" t="s">
        <v>135</v>
      </c>
      <c r="AI20" s="176"/>
    </row>
    <row r="21" spans="1:35" ht="10" customHeight="1" thickBot="1">
      <c r="A21" s="25"/>
      <c r="B21" s="25"/>
      <c r="C21" s="167"/>
      <c r="D21" s="194"/>
      <c r="E21" s="169"/>
      <c r="F21" s="194"/>
      <c r="G21" s="169"/>
      <c r="H21" s="194"/>
      <c r="I21" s="169"/>
      <c r="J21" s="194"/>
      <c r="K21" s="169"/>
      <c r="L21" s="194"/>
      <c r="M21" s="169"/>
      <c r="N21" s="195"/>
      <c r="O21" s="180"/>
      <c r="P21" s="182"/>
      <c r="Q21" s="170"/>
      <c r="R21" s="175"/>
      <c r="S21" s="171"/>
      <c r="T21" s="175"/>
      <c r="U21" s="171"/>
      <c r="V21" s="175"/>
      <c r="W21" s="171"/>
      <c r="X21" s="175"/>
      <c r="Y21" s="171"/>
      <c r="Z21" s="175"/>
      <c r="AA21" s="171"/>
      <c r="AB21" s="175"/>
      <c r="AC21" s="171"/>
      <c r="AD21" s="175"/>
      <c r="AE21" s="171"/>
      <c r="AF21" s="175"/>
      <c r="AG21" s="171"/>
      <c r="AH21" s="175"/>
      <c r="AI21" s="177"/>
    </row>
    <row r="22" spans="1:35" ht="10" customHeight="1" thickTop="1" thickBot="1">
      <c r="A22" s="25"/>
      <c r="B22" s="2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96"/>
      <c r="P22" s="25"/>
    </row>
    <row r="23" spans="1:35" ht="10" customHeight="1" thickTop="1">
      <c r="A23" s="25"/>
      <c r="B23" s="25"/>
      <c r="C23" s="164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83"/>
      <c r="O23" s="166"/>
      <c r="P23" s="25"/>
    </row>
    <row r="24" spans="1:35" ht="15" customHeight="1">
      <c r="A24" s="25"/>
      <c r="B24" s="25"/>
      <c r="C24" s="167"/>
      <c r="D24" s="219" t="s">
        <v>90</v>
      </c>
      <c r="E24" s="219"/>
      <c r="F24" s="219"/>
      <c r="G24" s="219"/>
      <c r="H24" s="219"/>
      <c r="I24" s="219"/>
      <c r="J24" s="219"/>
      <c r="K24" s="219"/>
      <c r="L24" s="219"/>
      <c r="M24" s="220"/>
      <c r="N24" s="221"/>
      <c r="O24" s="168"/>
      <c r="P24" s="25"/>
    </row>
    <row r="25" spans="1:35" s="25" customFormat="1" ht="10" customHeight="1">
      <c r="C25" s="167"/>
      <c r="D25" s="185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8"/>
    </row>
    <row r="26" spans="1:35" ht="15" customHeight="1">
      <c r="A26" s="25"/>
      <c r="B26" s="25"/>
      <c r="C26" s="197"/>
      <c r="D26" s="198" t="s">
        <v>91</v>
      </c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8"/>
      <c r="P26" s="25"/>
    </row>
    <row r="27" spans="1:35" ht="10" customHeight="1">
      <c r="A27" s="25"/>
      <c r="B27" s="25"/>
      <c r="C27" s="167"/>
      <c r="D27" s="169"/>
      <c r="E27" s="169"/>
      <c r="F27" s="185"/>
      <c r="G27" s="169"/>
      <c r="H27" s="184"/>
      <c r="I27" s="169"/>
      <c r="J27" s="184"/>
      <c r="K27" s="169"/>
      <c r="L27" s="184"/>
      <c r="M27" s="169"/>
      <c r="N27" s="184"/>
      <c r="O27" s="168"/>
      <c r="P27" s="25"/>
    </row>
    <row r="28" spans="1:35" ht="42" customHeight="1">
      <c r="A28" s="25"/>
      <c r="B28" s="25"/>
      <c r="C28" s="167"/>
      <c r="D28" s="222">
        <v>0</v>
      </c>
      <c r="E28" s="223"/>
      <c r="F28" s="224"/>
      <c r="G28" s="199"/>
      <c r="H28" s="200" t="s">
        <v>62</v>
      </c>
      <c r="I28" s="191"/>
      <c r="J28" s="201" t="s">
        <v>61</v>
      </c>
      <c r="K28" s="191"/>
      <c r="L28" s="200" t="s">
        <v>169</v>
      </c>
      <c r="M28" s="191"/>
      <c r="N28" s="202" t="s">
        <v>63</v>
      </c>
      <c r="O28" s="187"/>
      <c r="P28" s="25"/>
      <c r="R28" s="25" t="s">
        <v>117</v>
      </c>
    </row>
    <row r="29" spans="1:35" ht="90" customHeight="1" thickBot="1">
      <c r="A29" s="25"/>
      <c r="B29" s="25"/>
      <c r="C29" s="167"/>
      <c r="D29" s="169"/>
      <c r="E29" s="169"/>
      <c r="F29" s="169"/>
      <c r="G29" s="169"/>
      <c r="H29" s="194"/>
      <c r="I29" s="169"/>
      <c r="J29" s="194"/>
      <c r="K29" s="169"/>
      <c r="L29" s="194"/>
      <c r="M29" s="169"/>
      <c r="N29" s="195"/>
      <c r="O29" s="180"/>
      <c r="P29" s="25"/>
    </row>
    <row r="30" spans="1:35" ht="106" customHeight="1" thickTop="1">
      <c r="A30" s="25"/>
      <c r="B30" s="2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96"/>
      <c r="P30" s="25"/>
    </row>
    <row r="31" spans="1:35" ht="10" customHeight="1">
      <c r="A31" s="25"/>
      <c r="B31" s="25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72"/>
      <c r="P31" s="25"/>
    </row>
    <row r="32" spans="1:35" ht="42" customHeight="1">
      <c r="A32" s="25"/>
      <c r="B32" s="25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72"/>
      <c r="P32" s="25"/>
    </row>
    <row r="33" spans="1:21" ht="15" customHeight="1">
      <c r="A33" s="25"/>
      <c r="B33" s="25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72"/>
      <c r="P33" s="25"/>
    </row>
    <row r="34" spans="1:21" ht="15" customHeight="1">
      <c r="A34" s="25"/>
      <c r="B34" s="25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72"/>
      <c r="P34" s="25"/>
    </row>
    <row r="35" spans="1:21" ht="15" customHeight="1">
      <c r="A35" s="25"/>
      <c r="B35" s="25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72"/>
      <c r="P35" s="25"/>
    </row>
    <row r="36" spans="1:21" ht="15" customHeight="1">
      <c r="A36" s="25"/>
      <c r="B36" s="25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72"/>
      <c r="P36" s="25"/>
    </row>
    <row r="37" spans="1:21" ht="15" customHeight="1">
      <c r="A37" s="25"/>
      <c r="B37" s="25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72"/>
      <c r="P37" s="25"/>
    </row>
    <row r="38" spans="1:21" ht="15" customHeight="1">
      <c r="A38" s="25"/>
      <c r="B38" s="25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72"/>
      <c r="P38" s="25"/>
    </row>
    <row r="39" spans="1:21" ht="15" customHeight="1">
      <c r="A39" s="25"/>
      <c r="B39" s="25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72"/>
      <c r="P39" s="25"/>
    </row>
    <row r="40" spans="1:21" ht="15" customHeight="1">
      <c r="A40" s="25"/>
      <c r="B40" s="25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72"/>
      <c r="P40" s="25"/>
      <c r="R40" s="26"/>
      <c r="S40" s="26"/>
    </row>
    <row r="41" spans="1:21" ht="15" customHeight="1">
      <c r="A41" s="25"/>
      <c r="B41" s="25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72"/>
      <c r="P41" s="25"/>
      <c r="R41" s="26"/>
      <c r="S41" s="26"/>
    </row>
    <row r="42" spans="1:21" ht="15" customHeight="1">
      <c r="A42" s="25"/>
      <c r="B42" s="25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72"/>
      <c r="P42" s="25"/>
    </row>
    <row r="43" spans="1:21" s="25" customFormat="1" ht="15" customHeight="1"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72"/>
    </row>
    <row r="44" spans="1:21" ht="15" customHeight="1">
      <c r="A44" s="25"/>
      <c r="B44" s="25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72"/>
      <c r="P44" s="25"/>
    </row>
    <row r="45" spans="1:21" ht="15" customHeight="1">
      <c r="A45" s="25"/>
      <c r="B45" s="25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72"/>
      <c r="P45" s="25"/>
      <c r="Q45" s="27"/>
      <c r="T45" s="26"/>
      <c r="U45" s="26"/>
    </row>
    <row r="46" spans="1:21" ht="15" customHeight="1">
      <c r="A46" s="25"/>
      <c r="B46" s="25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72"/>
      <c r="P46" s="25"/>
      <c r="U46" s="26"/>
    </row>
    <row r="47" spans="1:21" ht="15" customHeight="1">
      <c r="A47" s="25"/>
      <c r="B47" s="25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72"/>
      <c r="P47" s="25"/>
      <c r="U47" s="26"/>
    </row>
    <row r="48" spans="1:21" ht="15" customHeight="1">
      <c r="A48" s="25"/>
      <c r="B48" s="25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72"/>
      <c r="P48" s="25"/>
      <c r="Q48" s="25" t="s">
        <v>117</v>
      </c>
      <c r="U48" s="26"/>
    </row>
    <row r="49" spans="1:18" ht="15" customHeight="1">
      <c r="A49" s="25"/>
      <c r="B49" s="25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72"/>
      <c r="P49" s="25"/>
    </row>
    <row r="50" spans="1:18" ht="15" customHeight="1">
      <c r="A50" s="25"/>
      <c r="B50" s="25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72"/>
      <c r="P50" s="25"/>
    </row>
    <row r="51" spans="1:18" ht="15" customHeight="1">
      <c r="A51" s="25"/>
      <c r="B51" s="25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72"/>
      <c r="P51" s="25"/>
      <c r="R51" s="25" t="s">
        <v>117</v>
      </c>
    </row>
    <row r="52" spans="1:18" ht="15" customHeight="1">
      <c r="A52" s="25"/>
      <c r="B52" s="25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72"/>
      <c r="P52" s="25"/>
    </row>
    <row r="53" spans="1:18" s="25" customFormat="1" ht="15" customHeight="1"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6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9"/>
      <c r="B2"/>
      <c r="C2"/>
      <c r="D2"/>
      <c r="E2"/>
      <c r="F2"/>
      <c r="G2"/>
      <c r="H2"/>
      <c r="I2" s="163"/>
      <c r="J2"/>
      <c r="K2"/>
      <c r="L2" s="16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B1" workbookViewId="0">
      <selection activeCell="B6" sqref="B6:B7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3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</row>
    <row r="4" spans="2:37" s="25" customFormat="1" ht="20" customHeight="1">
      <c r="B4" s="231"/>
      <c r="C4" s="232"/>
      <c r="D4" s="232"/>
      <c r="E4" s="232"/>
      <c r="F4" s="232"/>
      <c r="G4" s="232"/>
      <c r="H4" s="232"/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2"/>
      <c r="T4" s="232"/>
    </row>
    <row r="5" spans="2:37" s="25" customFormat="1"/>
    <row r="6" spans="2:37" ht="14" customHeight="1">
      <c r="B6" s="237" t="s">
        <v>64</v>
      </c>
      <c r="C6" s="239" t="str">
        <f>ACT_PL_NORMAL</f>
        <v>Plaquage normal</v>
      </c>
      <c r="D6" s="234"/>
      <c r="E6" s="239" t="str">
        <f>ACT_PL_OFF</f>
        <v>Plaquage offensif</v>
      </c>
      <c r="F6" s="234"/>
      <c r="G6" s="239" t="str">
        <f>ACT_PL_RATE</f>
        <v>Plaquage raté</v>
      </c>
      <c r="H6" s="234"/>
      <c r="I6" s="239" t="str">
        <f>ACT_PL_A2</f>
        <v>Plaquage à 2</v>
      </c>
      <c r="J6" s="233"/>
      <c r="K6" s="233" t="str">
        <f>ACT_PL_HAUT</f>
        <v>Plaquage haut</v>
      </c>
      <c r="L6" s="234"/>
      <c r="M6" s="233" t="str">
        <f>ACT_GRATTAGE</f>
        <v>Grattage</v>
      </c>
      <c r="N6" s="234"/>
      <c r="O6" s="233" t="str">
        <f>ACT_FRANCHISSEMENT</f>
        <v>Franchissement</v>
      </c>
      <c r="P6" s="234"/>
      <c r="Q6" s="233" t="str">
        <f>ACT_AVANCEE</f>
        <v>Avancée au contact</v>
      </c>
      <c r="R6" s="234"/>
      <c r="S6" s="233" t="str">
        <f>ACT_ATT_NULLE</f>
        <v>Recul ou sans progression</v>
      </c>
      <c r="T6" s="234"/>
      <c r="U6" s="264" t="s">
        <v>286</v>
      </c>
      <c r="V6" s="265"/>
      <c r="W6" s="265"/>
      <c r="X6" s="265"/>
      <c r="Y6" s="265"/>
      <c r="Z6" s="266"/>
      <c r="AF6"/>
      <c r="AG6"/>
    </row>
    <row r="7" spans="2:37" ht="13" customHeight="1">
      <c r="B7" s="238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67">
        <f t="shared" si="0"/>
        <v>0</v>
      </c>
      <c r="V32" s="267">
        <f t="shared" si="0"/>
        <v>0</v>
      </c>
      <c r="W32" s="267">
        <f t="shared" si="0"/>
        <v>0</v>
      </c>
      <c r="X32" s="267">
        <f t="shared" si="0"/>
        <v>0</v>
      </c>
      <c r="Y32" s="267">
        <f t="shared" si="0"/>
        <v>0</v>
      </c>
      <c r="Z32" s="267">
        <f t="shared" si="0"/>
        <v>0</v>
      </c>
    </row>
    <row r="33" spans="2:33" s="69" customFormat="1" ht="25" customHeight="1">
      <c r="B33" s="83" t="s">
        <v>229</v>
      </c>
      <c r="C33" s="244">
        <f>C32+D32</f>
        <v>0</v>
      </c>
      <c r="D33" s="236"/>
      <c r="E33" s="235">
        <f t="shared" ref="E33" si="3">E32+F32</f>
        <v>0</v>
      </c>
      <c r="F33" s="235"/>
      <c r="G33" s="244">
        <f t="shared" ref="G33" si="4">G32+H32</f>
        <v>0</v>
      </c>
      <c r="H33" s="236"/>
      <c r="I33" s="244">
        <f>I32+J32</f>
        <v>0</v>
      </c>
      <c r="J33" s="236"/>
      <c r="K33" s="244">
        <f t="shared" ref="K33" si="5">K32+L32</f>
        <v>0</v>
      </c>
      <c r="L33" s="236"/>
      <c r="M33" s="235">
        <f t="shared" ref="M33" si="6">M32+N32</f>
        <v>0</v>
      </c>
      <c r="N33" s="236"/>
      <c r="O33" s="235">
        <f t="shared" ref="O33" si="7">O32+P32</f>
        <v>0</v>
      </c>
      <c r="P33" s="236"/>
      <c r="Q33" s="235">
        <f t="shared" ref="Q33" si="8">Q32+R32</f>
        <v>0</v>
      </c>
      <c r="R33" s="236"/>
      <c r="S33" s="235">
        <f t="shared" ref="S33" si="9">S32+T32</f>
        <v>0</v>
      </c>
      <c r="T33" s="236"/>
      <c r="U33" s="268"/>
      <c r="V33" s="268"/>
      <c r="W33" s="268"/>
      <c r="X33" s="268"/>
      <c r="Y33" s="268"/>
      <c r="Z33" s="268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39" t="s">
        <v>224</v>
      </c>
      <c r="H36" s="234"/>
      <c r="J36" s="239" t="s">
        <v>78</v>
      </c>
      <c r="K36" s="239" t="s">
        <v>198</v>
      </c>
      <c r="L36" s="233"/>
      <c r="M36" s="234"/>
      <c r="N36" s="234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62"/>
      <c r="K37" s="98" t="s">
        <v>204</v>
      </c>
      <c r="L37" s="94" t="s">
        <v>223</v>
      </c>
      <c r="M37" s="99" t="s">
        <v>82</v>
      </c>
      <c r="N37" s="263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39" t="s">
        <v>200</v>
      </c>
      <c r="H40" s="234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49" t="s">
        <v>31</v>
      </c>
      <c r="K42" s="250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47" t="s">
        <v>33</v>
      </c>
      <c r="K43" s="248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39" t="s">
        <v>291</v>
      </c>
      <c r="H44" s="234"/>
      <c r="I44" s="25"/>
      <c r="J44" s="249" t="s">
        <v>35</v>
      </c>
      <c r="K44" s="250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47" t="s">
        <v>37</v>
      </c>
      <c r="K45" s="248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49" t="s">
        <v>39</v>
      </c>
      <c r="K46" s="250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47" t="s">
        <v>220</v>
      </c>
      <c r="K47" s="248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51" t="s">
        <v>289</v>
      </c>
      <c r="C56" s="252"/>
      <c r="D56" s="252"/>
      <c r="E56" s="252"/>
      <c r="F56" s="252"/>
      <c r="G56" s="252"/>
      <c r="H56" s="252"/>
      <c r="I56" s="252"/>
      <c r="J56" s="252"/>
      <c r="K56" s="253"/>
    </row>
    <row r="57" spans="2:20" s="25" customFormat="1">
      <c r="B57" s="254"/>
      <c r="C57" s="255"/>
      <c r="D57" s="255"/>
      <c r="E57" s="255"/>
      <c r="F57" s="255"/>
      <c r="G57" s="255"/>
      <c r="H57" s="255"/>
      <c r="I57" s="255"/>
      <c r="J57" s="255"/>
      <c r="K57" s="256"/>
    </row>
    <row r="58" spans="2:20" s="25" customFormat="1" ht="14" thickBot="1">
      <c r="B58" s="257"/>
      <c r="C58" s="258"/>
      <c r="D58" s="258"/>
      <c r="E58" s="258"/>
      <c r="F58" s="258"/>
      <c r="G58" s="258"/>
      <c r="H58" s="258"/>
      <c r="I58" s="258"/>
      <c r="J58" s="258"/>
      <c r="K58" s="259"/>
    </row>
    <row r="59" spans="2:20" s="25" customFormat="1"/>
    <row r="60" spans="2:20" s="25" customFormat="1" ht="14">
      <c r="B60" s="237" t="s">
        <v>64</v>
      </c>
      <c r="C60" s="239" t="str">
        <f>ACT_TO_NS_G</f>
        <v>Touche à nous conservée</v>
      </c>
      <c r="D60" s="234"/>
      <c r="E60" s="239" t="str">
        <f>ACT_TO_ADV_VOLEE</f>
        <v>Touche à eux volée</v>
      </c>
      <c r="F60" s="234"/>
      <c r="H60" s="260" t="str">
        <f>ACT_TO_NS_P</f>
        <v>Touche à nous perdue</v>
      </c>
      <c r="I60" s="261"/>
      <c r="J60" s="260" t="str">
        <f>ACT_TO_NS_PAS_DROIT</f>
        <v>Touche à nous pas droite</v>
      </c>
      <c r="K60" s="261"/>
    </row>
    <row r="61" spans="2:20" s="25" customFormat="1" ht="14">
      <c r="B61" s="238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244">
        <f>C86+D86</f>
        <v>0</v>
      </c>
      <c r="D87" s="236"/>
      <c r="E87" s="244">
        <f>E86+F86</f>
        <v>0</v>
      </c>
      <c r="F87" s="236"/>
      <c r="H87" s="245">
        <f>H86+I86</f>
        <v>0</v>
      </c>
      <c r="I87" s="246"/>
      <c r="J87" s="245">
        <f>J86+K86</f>
        <v>0</v>
      </c>
      <c r="K87" s="246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446</v>
      </c>
      <c r="C92" s="112" t="s">
        <v>98</v>
      </c>
      <c r="D92" s="113" t="s">
        <v>164</v>
      </c>
      <c r="F92" s="242" t="s">
        <v>447</v>
      </c>
      <c r="G92" s="243"/>
      <c r="H92" s="112" t="s">
        <v>97</v>
      </c>
      <c r="I92" s="112" t="s">
        <v>94</v>
      </c>
      <c r="J92" s="112" t="s">
        <v>292</v>
      </c>
    </row>
    <row r="93" spans="2:11" s="25" customFormat="1" ht="16">
      <c r="B93" s="114" t="s">
        <v>293</v>
      </c>
      <c r="C93" s="111">
        <v>0</v>
      </c>
      <c r="D93" s="115">
        <v>0</v>
      </c>
      <c r="F93" s="240" t="s">
        <v>293</v>
      </c>
      <c r="G93" s="241"/>
      <c r="H93" s="111">
        <v>0</v>
      </c>
      <c r="I93" s="111">
        <v>0</v>
      </c>
      <c r="J93" s="111">
        <v>0</v>
      </c>
    </row>
    <row r="94" spans="2:11" s="25" customFormat="1" ht="16">
      <c r="B94" s="114" t="s">
        <v>294</v>
      </c>
      <c r="C94" s="111">
        <v>0</v>
      </c>
      <c r="D94" s="115">
        <v>0</v>
      </c>
      <c r="F94" s="240" t="s">
        <v>294</v>
      </c>
      <c r="G94" s="241"/>
      <c r="H94" s="111">
        <v>0</v>
      </c>
      <c r="I94" s="111">
        <v>0</v>
      </c>
      <c r="J94" s="111">
        <v>0</v>
      </c>
    </row>
    <row r="95" spans="2:11" s="25" customFormat="1" ht="16">
      <c r="B95" s="114" t="s">
        <v>295</v>
      </c>
      <c r="C95" s="111">
        <v>0</v>
      </c>
      <c r="D95" s="115">
        <v>0</v>
      </c>
      <c r="F95" s="240" t="s">
        <v>295</v>
      </c>
      <c r="G95" s="241"/>
      <c r="H95" s="111">
        <v>0</v>
      </c>
      <c r="I95" s="111">
        <v>0</v>
      </c>
      <c r="J95" s="111">
        <v>0</v>
      </c>
    </row>
    <row r="96" spans="2:11" s="25" customFormat="1" ht="16">
      <c r="B96" s="114" t="s">
        <v>296</v>
      </c>
      <c r="C96" s="111">
        <v>0</v>
      </c>
      <c r="D96" s="115">
        <v>0</v>
      </c>
      <c r="F96" s="240" t="s">
        <v>296</v>
      </c>
      <c r="G96" s="241"/>
      <c r="H96" s="111">
        <v>0</v>
      </c>
      <c r="I96" s="111">
        <v>0</v>
      </c>
      <c r="J96" s="111">
        <v>0</v>
      </c>
    </row>
    <row r="97" spans="2:10" s="25" customFormat="1" ht="17" thickBot="1">
      <c r="B97" s="116" t="s">
        <v>297</v>
      </c>
      <c r="C97" s="117">
        <v>0</v>
      </c>
      <c r="D97" s="118">
        <v>0</v>
      </c>
      <c r="F97" s="240" t="s">
        <v>448</v>
      </c>
      <c r="G97" s="241"/>
      <c r="H97" s="111">
        <v>0</v>
      </c>
      <c r="I97" s="111">
        <v>0</v>
      </c>
      <c r="J97" s="111">
        <v>0</v>
      </c>
    </row>
    <row r="98" spans="2:10" s="25" customFormat="1" ht="17" thickTop="1">
      <c r="F98" s="240" t="s">
        <v>449</v>
      </c>
      <c r="G98" s="241"/>
      <c r="H98" s="111">
        <v>0</v>
      </c>
      <c r="I98" s="111">
        <v>0</v>
      </c>
      <c r="J98" s="111">
        <v>0</v>
      </c>
    </row>
    <row r="99" spans="2:10" s="25" customFormat="1" ht="16">
      <c r="F99" s="240" t="s">
        <v>450</v>
      </c>
      <c r="G99" s="241"/>
      <c r="H99" s="111">
        <v>0</v>
      </c>
      <c r="I99" s="111">
        <v>0</v>
      </c>
      <c r="J99" s="111">
        <v>0</v>
      </c>
    </row>
    <row r="100" spans="2:10" s="25" customFormat="1" ht="16">
      <c r="F100" s="240" t="s">
        <v>451</v>
      </c>
      <c r="G100" s="241"/>
      <c r="H100" s="111">
        <v>0</v>
      </c>
      <c r="I100" s="111">
        <v>0</v>
      </c>
      <c r="J100" s="111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42" priority="6" stopIfTrue="1">
      <formula>ISEVEN(ROW())</formula>
    </cfRule>
  </conditionalFormatting>
  <conditionalFormatting sqref="B62:B85">
    <cfRule type="expression" dxfId="41" priority="5" stopIfTrue="1">
      <formula>ISEVEN(ROW())</formula>
    </cfRule>
  </conditionalFormatting>
  <conditionalFormatting sqref="C62:D85">
    <cfRule type="expression" dxfId="40" priority="4" stopIfTrue="1">
      <formula>ISEVEN(ROW())</formula>
    </cfRule>
  </conditionalFormatting>
  <conditionalFormatting sqref="H62:I85">
    <cfRule type="expression" dxfId="39" priority="3" stopIfTrue="1">
      <formula>ISEVEN(ROW())</formula>
    </cfRule>
  </conditionalFormatting>
  <conditionalFormatting sqref="J62:K85">
    <cfRule type="expression" dxfId="38" priority="2" stopIfTrue="1">
      <formula>ISEVEN(ROW())</formula>
    </cfRule>
  </conditionalFormatting>
  <conditionalFormatting sqref="E62:F85">
    <cfRule type="expression" dxfId="37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B1" workbookViewId="0">
      <selection activeCell="I13" sqref="I13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205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205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41" t="s">
        <v>465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t="s">
        <v>466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t="s">
        <v>467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2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69" t="s">
        <v>127</v>
      </c>
      <c r="D5" s="269"/>
      <c r="E5" s="269"/>
      <c r="F5" s="269"/>
      <c r="G5" s="269"/>
    </row>
    <row r="6" spans="3:7" ht="14" thickBot="1"/>
    <row r="7" spans="3:7">
      <c r="C7" s="152"/>
      <c r="D7" s="153"/>
      <c r="E7" s="153"/>
      <c r="F7" s="153"/>
      <c r="G7" s="154"/>
    </row>
    <row r="8" spans="3:7">
      <c r="C8" s="155"/>
      <c r="G8" s="156"/>
    </row>
    <row r="9" spans="3:7">
      <c r="C9" s="157" t="s">
        <v>125</v>
      </c>
      <c r="D9" s="161"/>
      <c r="G9" s="156"/>
    </row>
    <row r="10" spans="3:7">
      <c r="C10" s="157"/>
      <c r="G10" s="156"/>
    </row>
    <row r="11" spans="3:7">
      <c r="C11" s="157" t="s">
        <v>126</v>
      </c>
      <c r="D11" s="161"/>
      <c r="G11" s="156"/>
    </row>
    <row r="12" spans="3:7">
      <c r="C12" s="155"/>
      <c r="G12" s="156"/>
    </row>
    <row r="13" spans="3:7" ht="14" thickBot="1">
      <c r="C13" s="158"/>
      <c r="D13" s="159"/>
      <c r="E13" s="159"/>
      <c r="F13" s="159"/>
      <c r="G13" s="160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2026-09-22T17:58:03Z</dcterms:modified>
</cp:coreProperties>
</file>