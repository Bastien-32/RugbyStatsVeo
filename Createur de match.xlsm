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xr:revisionPtr revIDLastSave="0" documentId="13_ncr:1_{713F2F29-9737-E840-A23A-95CFDCCB3B3F}" xr6:coauthVersionLast="47" xr6:coauthVersionMax="47" xr10:uidLastSave="{00000000-0000-0000-0000-000000000000}"/>
  <bookViews>
    <workbookView xWindow="11460" yWindow="660" windowWidth="23100" windowHeight="16900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B1" i="2"/>
  <c r="I38" i="12"/>
  <c r="I37" i="12"/>
  <c r="N31" i="12"/>
  <c r="M31" i="12"/>
  <c r="N30" i="12"/>
  <c r="M30" i="1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B65" i="12" a="1"/>
  <c r="B65" i="12" s="1"/>
  <c r="B8" i="12" a="1"/>
  <c r="B3" i="12"/>
  <c r="E2" i="7"/>
  <c r="E38" i="12"/>
  <c r="E42" i="12"/>
  <c r="B8" i="12" l="1"/>
  <c r="M26" i="12"/>
  <c r="M20" i="12"/>
  <c r="M14" i="12"/>
  <c r="N19" i="12"/>
  <c r="N13" i="12"/>
  <c r="M19" i="12"/>
  <c r="M13" i="12"/>
  <c r="N18" i="12"/>
  <c r="N12" i="12"/>
  <c r="M18" i="12"/>
  <c r="N25" i="12"/>
  <c r="M25" i="12"/>
  <c r="N24" i="12"/>
  <c r="M24" i="12"/>
  <c r="N29" i="12"/>
  <c r="N23" i="12"/>
  <c r="N17" i="12"/>
  <c r="N11" i="12"/>
  <c r="N22" i="12"/>
  <c r="N10" i="12"/>
  <c r="N26" i="12"/>
  <c r="M27" i="12"/>
  <c r="N20" i="12"/>
  <c r="N9" i="12"/>
  <c r="N21" i="12"/>
  <c r="N27" i="12"/>
  <c r="M9" i="12"/>
  <c r="M21" i="12"/>
  <c r="M10" i="12"/>
  <c r="M16" i="12"/>
  <c r="M22" i="12"/>
  <c r="M28" i="12"/>
  <c r="M12" i="12"/>
  <c r="N14" i="12"/>
  <c r="M15" i="12"/>
  <c r="N15" i="12"/>
  <c r="N16" i="12"/>
  <c r="N28" i="12"/>
  <c r="M11" i="12"/>
  <c r="M17" i="12"/>
  <c r="M23" i="12"/>
  <c r="M29" i="12"/>
  <c r="N47" i="12"/>
  <c r="O47" i="12"/>
  <c r="S6" i="12"/>
  <c r="Q6" i="12"/>
  <c r="R31" i="12" s="1"/>
  <c r="O6" i="12"/>
  <c r="H42" i="12"/>
  <c r="H41" i="12"/>
  <c r="H38" i="12"/>
  <c r="H37" i="12"/>
  <c r="M8" i="12" l="1"/>
  <c r="N8" i="12"/>
  <c r="T30" i="12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<sst xmlns="http://schemas.openxmlformats.org/spreadsheetml/2006/main" count="731" uniqueCount="495">
  <si>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</si>
  <si>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</si>
  <si>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</si>
  <si>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</si>
  <si>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</si>
  <si>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</si>
  <si>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</si>
  <si>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</si>
  <si>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</si>
  <si>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</si>
  <si>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</si>
  <si>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</si>
  <si>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</si>
  <si>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</si>
  <si>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</si>
  <si>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</si>
  <si>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</si>
  <si>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</si>
  <si>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</si>
  <si>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</si>
  <si>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</si>
  <si>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</si>
  <si>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</si>
  <si>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</si>
  <si>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</si>
  <si>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</si>
  <si>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</si>
  <si>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</si>
  <si>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</si>
  <si>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</si>
  <si>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</si>
  <si>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</si>
  <si>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</si>
  <si>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</si>
  <si>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</si>
  <si>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</si>
  <si>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</si>
  <si>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</si>
  <si>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</si>
  <si>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</si>
  <si>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</si>
  <si>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</si>
  <si>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</si>
  <si>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</si>
  <si>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</si>
  <si>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</si>
  <si>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</si>
  <si>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</si>
  <si>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</si>
  <si>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</si>
  <si>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</si>
  <si>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</si>
  <si>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</si>
  <si>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</si>
  <si>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</si>
  <si>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</si>
  <si>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</si>
  <si>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</si>
  <si>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</si>
  <si>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</si>
  <si>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</si>
  <si>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</si>
  <si>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</si>
  <si>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</si>
  <si>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</si>
  <si>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</si>
  <si>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</si>
  <si>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</si>
  <si>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</si>
  <si>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</si>
  <si>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</si>
  <si>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</si>
  <si>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</si>
  <si>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</si>
  <si>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</si>
  <si>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</si>
  <si>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</si>
  <si>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</si>
  <si>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</si>
  <si>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</si>
  <si>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</si>
  <si>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</si>
  <si>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</si>
  <si>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</si>
  <si>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</si>
  <si>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</si>
  <si>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</si>
  <si>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</si>
  <si>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</si>
  <si>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</si>
  <si>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</si>
  <si>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</si>
  <si>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</si>
  <si>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</si>
  <si>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</si>
  <si>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</si>
  <si>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</si>
  <si>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</si>
  <si>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</si>
  <si>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</si>
  <si>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</si>
  <si>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</si>
  <si>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</si>
  <si>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</si>
  <si>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</si>
  <si>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</si>
  <si>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</si>
  <si>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</si>
  <si>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</si>
  <si>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</si>
  <si>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</si>
  <si>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</si>
  <si>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</si>
  <si>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</si>
  <si>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</si>
  <si>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</si>
  <si>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</si>
  <si>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</si>
  <si>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</si>
  <si>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</si>
  <si>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</si>
  <si>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</si>
  <si>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</si>
  <si>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</si>
  <si>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</si>
  <si>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</si>
  <si>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</si>
  <si>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</si>
  <si>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</si>
  <si>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</si>
  <si>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</si>
  <si>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</si>
  <si>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</si>
  <si>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</si>
  <si>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</si>
  <si>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</si>
  <si>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</si>
  <si>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</si>
  <si>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</si>
  <si>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</si>
  <si>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</si>
  <si>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</si>
  <si>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</si>
  <si>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</si>
  <si>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</si>
  <si>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</si>
  <si>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</si>
  <si>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</si>
  <si>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</si>
  <si>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</si>
  <si>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</si>
  <si>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</si>
  <si>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</si>
  <si>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</si>
  <si>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</si>
  <si>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</si>
  <si>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</si>
  <si>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</si>
  <si>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</si>
  <si>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</si>
  <si>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</si>
  <si>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</si>
  <si>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</si>
  <si>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</si>
  <si>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</si>
  <si>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</si>
  <si>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</si>
  <si>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</si>
  <si>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</si>
  <si>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</si>
  <si>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</si>
  <si>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</si>
  <si>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</si>
  <si>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</si>
  <si>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</si>
  <si>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</si>
  <si>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</si>
  <si>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</si>
  <si>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</si>
  <si>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</si>
  <si>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</si>
  <si>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</si>
  <si>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</si>
  <si>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</si>
  <si>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</si>
  <si>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</si>
  <si>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</si>
  <si>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</si>
  <si>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</si>
  <si>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</si>
  <si>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</si>
  <si>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</si>
  <si>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</si>
  <si>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</si>
  <si>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</si>
  <si>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</si>
  <si>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</si>
  <si>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</si>
  <si>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</si>
  <si>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</si>
  <si>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</si>
  <si>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</si>
  <si>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</si>
  <si>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</si>
  <si>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</si>
  <si>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</si>
  <si>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</si>
  <si>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</si>
  <si>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</si>
  <si>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</si>
  <si>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</si>
  <si>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</si>
  <si>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</si>
  <si>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</si>
  <si>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</si>
  <si>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</si>
  <si>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</si>
  <si>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</si>
  <si>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</si>
  <si>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</si>
  <si>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</si>
  <si>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</si>
  <si>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</si>
  <si>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</si>
  <si>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</si>
  <si>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</si>
  <si>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</si>
  <si>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</si>
  <si>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</si>
  <si>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</si>
  <si>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</si>
  <si>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</si>
  <si>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</si>
  <si>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</si>
  <si>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</si>
  <si>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</si>
  <si>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</si>
  <si>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</si>
  <si>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</si>
  <si>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</si>
  <si>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</si>
  <si>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</si>
  <si>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</si>
  <si>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</si>
  <si>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</si>
  <si>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</si>
  <si>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</si>
  <si>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</si>
  <si>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</si>
  <si>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</si>
  <si>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</si>
  <si>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</si>
  <si>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</si>
  <si>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</si>
  <si>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</si>
  <si>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</si>
  <si>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</si>
  <si>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</si>
  <si>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</si>
  <si>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</si>
  <si>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</si>
  <si>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</si>
  <si>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</si>
  <si>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</si>
  <si>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EQUIPES_A_AFFRONTER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</si>
  <si>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</si>
  <si>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</si>
  <si>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</si>
  <si>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</si>
  <si>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</si>
  <si>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</si>
  <si>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</si>
  <si>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</si>
  <si>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</si>
  <si>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</si>
  <si>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</si>
  <si>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</si>
  <si>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</si>
  <si>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</si>
  <si>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</si>
  <si>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</si>
  <si>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</si>
  <si>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</si>
  <si>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</si>
  <si>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</si>
  <si>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</si>
  <si>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</si>
  <si>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</si>
  <si>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</si>
  <si>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</si>
  <si>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</si>
  <si>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</si>
  <si>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</si>
  <si>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</si>
  <si>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</si>
  <si>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</si>
  <si>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</si>
  <si>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</si>
  <si>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</si>
  <si>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</si>
  <si>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</si>
  <si>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</si>
  <si>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</si>
  <si>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</si>
  <si>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</si>
  <si>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</si>
  <si>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</si>
  <si>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</si>
  <si>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</si>
  <si>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</si>
  <si>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</si>
  <si>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</si>
  <si>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</si>
  <si>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</si>
  <si>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</si>
  <si>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</si>
  <si>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</si>
  <si>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</si>
  <si>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</si>
  <si>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</si>
  <si>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</si>
  <si>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</si>
  <si>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</si>
  <si>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</si>
  <si>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</si>
  <si>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</si>
  <si>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</si>
  <si>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</si>
  <si>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</si>
  <si>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</si>
  <si>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</si>
  <si>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</si>
  <si>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</si>
  <si>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</si>
  <si>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</si>
  <si>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</si>
  <si>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</si>
  <si>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</si>
  <si>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</si>
  <si>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</si>
  <si>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</si>
  <si>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</si>
  <si>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</si>
  <si>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</si>
  <si>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</si>
  <si>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</si>
  <si>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</si>
  <si>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</si>
  <si>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</si>
  <si>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</si>
  <si>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</si>
  <si>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</si>
  <si>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</si>
  <si>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</si>
  <si>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</si>
  <si>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</si>
  <si>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</si>
  <si>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</si>
  <si>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</si>
  <si>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</si>
  <si>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</si>
  <si>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</si>
  <si>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</si>
  <si>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</si>
  <si>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</si>
  <si>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</si>
  <si>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</si>
  <si>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</si>
  <si>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</si>
  <si>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</si>
  <si>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</si>
  <si>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</si>
  <si>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</si>
  <si>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</si>
  <si>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</si>
  <si>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</si>
  <si>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</si>
  <si>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</si>
  <si>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</si>
  <si>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</si>
  <si>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</si>
  <si>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</si>
  <si>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</si>
  <si>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</si>
  <si>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</si>
  <si>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</si>
  <si>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</si>
  <si>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</si>
  <si>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</si>
  <si>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</si>
  <si>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</si>
  <si>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</si>
  <si>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</si>
  <si>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</si>
  <si>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</si>
  <si>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</si>
  <si>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</si>
  <si>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</si>
  <si>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</si>
  <si>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</si>
  <si>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</si>
  <si>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</si>
  <si>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</si>
  <si>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</si>
  <si>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</si>
  <si>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</si>
  <si>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</si>
  <si>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</si>
  <si>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</si>
  <si>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</si>
  <si>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</si>
  <si>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</si>
  <si>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</si>
  <si>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</si>
  <si>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</si>
  <si>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</si>
  <si>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</si>
  <si>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</si>
  <si>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</si>
  <si>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</si>
  <si>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</si>
  <si>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</si>
  <si>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</si>
  <si>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</si>
  <si>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</si>
  <si>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</si>
  <si>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</si>
  <si>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</si>
  <si>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</si>
  <si>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</si>
  <si>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</si>
  <si>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</si>
  <si>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</si>
  <si>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</si>
  <si>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</si>
  <si>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</si>
  <si>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</si>
  <si>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</si>
  <si>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</si>
  <si>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</si>
  <si>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</si>
  <si>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</si>
  <si>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</si>
  <si>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</si>
  <si>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</si>
  <si>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</si>
  <si>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</si>
  <si>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</si>
  <si>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</si>
  <si>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</si>
  <si>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</si>
  <si>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</si>
  <si>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</si>
  <si>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</si>
  <si>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</si>
  <si>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</si>
  <si>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</si>
  <si>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</si>
  <si>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</si>
  <si>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</si>
  <si>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</si>
  <si>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</si>
  <si>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</si>
  <si>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</si>
  <si>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</si>
  <si>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</si>
  <si>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</si>
  <si>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</si>
  <si>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</si>
  <si>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</si>
  <si>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</si>
  <si>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</si>
  <si>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</si>
  <si>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</si>
  <si>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</si>
  <si>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</si>
  <si>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</si>
  <si>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</si>
  <si>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</si>
  <si>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</si>
  <si>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</si>
  <si>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</si>
  <si>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E 22m</t>
  </si>
  <si>
    <t>E 15m</t>
  </si>
  <si>
    <t>E en-but</t>
  </si>
  <si>
    <t>LISTE_MOTIFS_PENALITE</t>
  </si>
  <si>
    <t>LST_SAUTEURS</t>
  </si>
  <si>
    <t>D</t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</si>
  <si>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</si>
  <si>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</si>
  <si>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</si>
  <si>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</si>
  <si>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t>La possession est actuellement sur Nous.
Quelle équipe aura la possession sur cette phase ?
Ne change pas de main : Nous     -     Change de main : l'adversaire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</si>
  <si>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</si>
  <si>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JOUEUR FAUTIF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</si>
</sst>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0" fillId="16" borderId="0" xfId="0" applyFont="1" applyFill="1" applyAlignment="1">
      <alignment horizontal="center"/>
    </xf>
    <xf numFmtId="0" fontId="47" fillId="43" borderId="64" xfId="0" applyFont="1" applyFill="1" applyBorder="1" applyAlignment="1">
      <alignment horizontal="center" vertical="center"/>
    </xf>
    <xf numFmtId="0" fontId="47" fillId="12" borderId="64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5" borderId="34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55" fillId="16" borderId="0" xfId="0" applyFont="1" applyFill="1"/>
    <xf numFmtId="0" fontId="38" fillId="16" borderId="0" xfId="0" applyFont="1" applyFill="1"/>
    <xf numFmtId="165" fontId="0" fillId="16" borderId="0" xfId="0" applyNumberFormat="1" applyFill="1"/>
    <xf numFmtId="0" fontId="0" fillId="16" borderId="0" xfId="0" applyFill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42" fillId="33" borderId="0" xfId="0" applyFont="1" applyFill="1" applyAlignment="1">
      <alignment horizont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4" borderId="19" xfId="0" applyFill="1" applyBorder="1" applyAlignment="1">
      <alignment horizontal="center" vertical="center" wrapText="1"/>
    </xf>
    <xf numFmtId="0" fontId="0" fillId="44" borderId="44" xfId="0" applyFill="1" applyBorder="1" applyAlignment="1">
      <alignment horizontal="center" vertical="center" wrapText="1"/>
    </xf>
    <xf numFmtId="0" fontId="0" fillId="44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4" borderId="19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4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51" fillId="10" borderId="19" xfId="0" applyFont="1" applyFill="1" applyBorder="1" applyAlignment="1">
      <alignment horizontal="center" vertical="center" wrapText="1"/>
    </xf>
    <xf numFmtId="0" fontId="51" fillId="10" borderId="44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7" fillId="19" borderId="19" xfId="0" applyFont="1" applyFill="1" applyBorder="1" applyAlignment="1">
      <alignment horizontal="center" vertical="center"/>
    </xf>
    <xf numFmtId="0" fontId="57" fillId="19" borderId="44" xfId="0" applyFont="1" applyFill="1" applyBorder="1" applyAlignment="1">
      <alignment horizontal="center" vertical="center"/>
    </xf>
    <xf numFmtId="0" fontId="57" fillId="19" borderId="20" xfId="0" applyFont="1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53" fillId="33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9" fillId="16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0" fillId="44" borderId="44" xfId="0" applyFont="1" applyFill="1" applyBorder="1" applyAlignment="1">
      <alignment horizontal="center" vertical="center" wrapText="1"/>
    </xf>
    <xf numFmtId="0" fontId="0" fillId="44" borderId="20" xfId="0" applyFont="1" applyFill="1" applyBorder="1" applyAlignment="1">
      <alignment horizontal="center" vertical="center" wrapText="1"/>
    </xf>
    <xf numFmtId="0" fontId="48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40" fillId="14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2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2" insertRow="1" totalsRowShown="0" headerRowDxfId="88" dataDxfId="87">
  <autoFilter ref="A1:F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6"/>
    <tableColumn id="2" xr3:uid="{0C1B8A30-A3B8-DA4D-B893-C4C99FF33E90}" name="nom" dataDxfId="85"/>
    <tableColumn id="3" xr3:uid="{8AE5AF32-0026-9B41-8B0B-16B9ED0F3727}" name="prenom" dataDxfId="84"/>
    <tableColumn id="6" xr3:uid="{D5D3A7D0-7C7D-684B-8AA7-DABBCC7051CF}" name="1ère ligne" dataDxfId="83"/>
    <tableColumn id="4" xr3:uid="{4CE41A86-7158-6B42-B932-A5275F10AB48}" name="prenom NOM" dataDxfId="82"/>
    <tableColumn id="5" xr3:uid="{EB017694-E6D2-7440-91BF-61113926AB7D}" name="NOM Prénom" dataDxfId="8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2" insertRow="1" totalsRowShown="0" headerRowDxfId="80" dataDxfId="79">
  <autoFilter ref="J1:J2" xr:uid="{037D6424-D1EC-894D-B963-D36ABCA682C4}"/>
  <tableColumns count="1">
    <tableColumn id="1" xr3:uid="{63806632-B9ED-294D-800A-F2FDB2EC48D2}" name="EQUIPES_A_AFFRONTER" dataDxfId="7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7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eo" dataDxfId="91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0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9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 headerRowDxfId="76" dataDxfId="75">
  <autoFilter ref="A2:J3" xr:uid="{1BC259CC-2467-644D-900B-02D4F95FCC56}"/>
  <tableColumns count="10">
    <tableColumn id="1" xr3:uid="{29E94664-85C6-8341-9568-C2C37D97888A}" name="Temps video" dataDxfId="74"/>
    <tableColumn id="2" xr3:uid="{55A3C72E-11B1-DE4C-A8AA-CB6DB1EFD242}" name="Mi-temps" dataDxfId="73"/>
    <tableColumn id="3" xr3:uid="{4AE31CAA-4626-F642-B76C-C72B804D292F}" name="Lance pour" dataDxfId="72"/>
    <tableColumn id="4" xr3:uid="{1EA86226-F559-1043-9A84-6FF95B3B874A}" name="Issue" dataDxfId="71"/>
    <tableColumn id="5" xr3:uid="{2C4366BF-5214-BC47-A083-90D03DA6854F}" name="Sauteur" dataDxfId="70"/>
    <tableColumn id="6" xr3:uid="{9D288BC5-6D48-C24C-9619-DA2FF23FBD25}" name="Zone saut" dataDxfId="69"/>
    <tableColumn id="7" xr3:uid="{C5782212-F6FF-1047-ACE1-2423FE276759}" name="Ballon" dataDxfId="68"/>
    <tableColumn id="8" xr3:uid="{C5B2376F-1A1B-EE42-93FF-D1229E4F9C28}" name="Zone terrain" dataDxfId="67"/>
    <tableColumn id="9" xr3:uid="{F1D9F9BC-6535-E847-80D5-69098CD85B42}" name="Alignement" dataDxfId="66"/>
    <tableColumn id="10" xr3:uid="{40E35BB9-1748-7C41-8DA3-305B06F71737}" name="Observations" dataDxfId="65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insertRow="1" totalsRowShown="0" headerRowDxfId="64" dataDxfId="63">
  <autoFilter ref="A11:J12" xr:uid="{A1FE138B-7A57-FD4E-B0BC-4BF4203BE379}"/>
  <tableColumns count="10">
    <tableColumn id="1" xr3:uid="{9154875D-F6A2-FD43-A363-B5D480E2C8C9}" name="Temps video" dataDxfId="62"/>
    <tableColumn id="2" xr3:uid="{B3C15621-3E96-6848-870A-E1606D2022B1}" name="Mi-temps" dataDxfId="61"/>
    <tableColumn id="3" xr3:uid="{82E522EF-5DF0-A04D-AFD6-8A58284D960F}" name="Introduction pour" dataDxfId="60"/>
    <tableColumn id="4" xr3:uid="{5779EC3B-EA51-BF4B-81EB-CFE3E9CACA34}" name="Issue" dataDxfId="59"/>
    <tableColumn id="5" xr3:uid="{FFAF75C5-1430-7640-B33A-CDF548EF256F}" name="Zone longueur" dataDxfId="58"/>
    <tableColumn id="6" xr3:uid="{18D5B587-DA93-C049-940F-FA2A855A20A5}" name="Zone largeur" dataDxfId="57"/>
    <tableColumn id="7" xr3:uid="{EFF3CB7A-10D5-9D42-B368-93E6B4853022}" name="Jeu avant" dataDxfId="56"/>
    <tableColumn id="8" xr3:uid="{D9175B18-6528-4648-B15C-FF2CC25EEBE4}" name="Jeu 3/4" dataDxfId="55"/>
    <tableColumn id="9" xr3:uid="{CAE0CE17-6518-8346-8125-3B7CA02D88C1}" name="Jeu pied" dataDxfId="54"/>
    <tableColumn id="10" xr3:uid="{9D4C3BED-381E-2945-8DDD-9AF72C0A70C5}" name="Observations" dataDxfId="53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2" dataDxfId="50" headerRowBorderDxfId="51" tableBorderDxfId="49" totalsRowBorderDxfId="48">
  <autoFilter ref="Q1:R70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22" dataDxfId="20" headerRowBorderDxfId="21" tableBorderDxfId="19" totalsRowBorderDxfId="18">
  <autoFilter ref="K1:K3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16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abSelected="1"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284</v>
      </c>
      <c r="E1" s="96" t="s">
        <v>72</v>
      </c>
      <c r="F1" s="96" t="s">
        <v>111</v>
      </c>
      <c r="J1" t="s">
        <v>264</v>
      </c>
    </row>
    <row r="2" spans="1:10">
      <c r="B2" s="85"/>
      <c r="C2" s="85"/>
      <c r="D2" s="85"/>
      <c r="J2"/>
    </row>
    <row r="3" spans="1:10">
      <c r="A3" s="135"/>
      <c r="B3" s="135"/>
      <c r="C3" s="135"/>
      <c r="D3" s="135"/>
      <c r="E3" s="135"/>
      <c r="F3" s="135"/>
      <c r="J3" s="135"/>
    </row>
    <row r="4" spans="1:10">
      <c r="A4" s="135"/>
      <c r="B4" s="135"/>
      <c r="C4" s="135"/>
      <c r="D4" s="135"/>
      <c r="E4" s="135"/>
      <c r="F4" s="135"/>
      <c r="J4" s="135"/>
    </row>
    <row r="5" spans="1:10">
      <c r="A5" s="135"/>
      <c r="B5" s="135"/>
      <c r="C5" s="135"/>
      <c r="D5" s="135"/>
      <c r="E5" s="135"/>
      <c r="F5" s="135"/>
      <c r="J5" s="135"/>
    </row>
    <row r="6" spans="1:10">
      <c r="A6" s="135"/>
      <c r="B6" s="135"/>
      <c r="C6" s="135"/>
      <c r="D6" s="135"/>
      <c r="E6" s="135"/>
      <c r="F6" s="135"/>
      <c r="J6" s="135"/>
    </row>
    <row r="7" spans="1:10">
      <c r="A7" s="135"/>
      <c r="B7" s="135"/>
      <c r="C7" s="135"/>
      <c r="D7" s="135"/>
      <c r="E7" s="135"/>
      <c r="F7" s="135"/>
      <c r="J7" s="135"/>
    </row>
    <row r="8" spans="1:10">
      <c r="A8" s="135"/>
      <c r="B8" s="135"/>
      <c r="C8" s="135"/>
      <c r="D8" s="135"/>
      <c r="E8" s="135"/>
      <c r="F8" s="135"/>
      <c r="J8" s="135"/>
    </row>
    <row r="9" spans="1:10">
      <c r="A9" s="135"/>
      <c r="B9" s="135"/>
      <c r="C9" s="135"/>
      <c r="D9" s="135"/>
      <c r="E9" s="135"/>
      <c r="F9" s="135"/>
      <c r="J9" s="135"/>
    </row>
    <row r="10" spans="1:10">
      <c r="A10" s="135"/>
      <c r="B10" s="135"/>
      <c r="C10" s="135"/>
      <c r="D10" s="135"/>
      <c r="E10" s="135"/>
      <c r="F10" s="135"/>
      <c r="J10" s="135"/>
    </row>
    <row r="11" spans="1:10">
      <c r="A11" s="135"/>
      <c r="B11" s="135"/>
      <c r="C11" s="135"/>
      <c r="D11" s="135"/>
      <c r="E11" s="135"/>
      <c r="F11" s="135"/>
      <c r="J11" s="135"/>
    </row>
    <row r="12" spans="1:10">
      <c r="A12" s="135"/>
      <c r="B12" s="135"/>
      <c r="C12" s="135"/>
      <c r="D12" s="135"/>
      <c r="E12" s="135"/>
      <c r="F12" s="135"/>
    </row>
    <row r="13" spans="1:10">
      <c r="A13" s="135"/>
      <c r="B13" s="135"/>
      <c r="C13" s="135"/>
      <c r="D13" s="135"/>
      <c r="E13" s="135"/>
      <c r="F13" s="135"/>
    </row>
    <row r="14" spans="1:10">
      <c r="A14" s="135"/>
      <c r="B14" s="135"/>
      <c r="C14" s="135"/>
      <c r="D14" s="135"/>
      <c r="E14" s="135"/>
      <c r="F14" s="135"/>
    </row>
    <row r="15" spans="1:10">
      <c r="A15" s="135"/>
      <c r="B15" s="135"/>
      <c r="C15" s="135"/>
      <c r="D15" s="135"/>
      <c r="E15" s="135"/>
      <c r="F15" s="135"/>
    </row>
    <row r="16" spans="1:10">
      <c r="A16" s="135"/>
      <c r="B16" s="135"/>
      <c r="C16" s="135"/>
      <c r="D16" s="135"/>
      <c r="E16" s="135"/>
      <c r="F16" s="135"/>
    </row>
    <row r="17" spans="1:6">
      <c r="A17" s="135"/>
      <c r="B17" s="135"/>
      <c r="C17" s="135"/>
      <c r="D17" s="135"/>
      <c r="E17" s="135"/>
      <c r="F17" s="135"/>
    </row>
    <row r="18" spans="1:6">
      <c r="A18" s="135"/>
      <c r="B18" s="135"/>
      <c r="C18" s="135"/>
      <c r="D18" s="135"/>
      <c r="E18" s="135"/>
      <c r="F18" s="135"/>
    </row>
    <row r="19" spans="1:6">
      <c r="A19" s="135"/>
      <c r="B19" s="135"/>
      <c r="C19" s="135"/>
      <c r="D19" s="135"/>
      <c r="E19" s="135"/>
      <c r="F19" s="135"/>
    </row>
    <row r="20" spans="1:6">
      <c r="A20" s="135"/>
      <c r="B20" s="135"/>
      <c r="C20" s="135"/>
      <c r="D20" s="135"/>
      <c r="E20" s="135"/>
      <c r="F20" s="135"/>
    </row>
    <row r="21" spans="1:6">
      <c r="A21" s="135"/>
      <c r="B21" s="135"/>
      <c r="C21" s="135"/>
      <c r="D21" s="135"/>
      <c r="E21" s="135"/>
      <c r="F21" s="135"/>
    </row>
    <row r="22" spans="1:6">
      <c r="A22" s="135"/>
      <c r="B22" s="135"/>
      <c r="C22" s="135"/>
      <c r="D22" s="135"/>
      <c r="E22" s="135"/>
      <c r="F22" s="135"/>
    </row>
    <row r="23" spans="1:6">
      <c r="A23" s="135"/>
      <c r="B23" s="135"/>
      <c r="C23" s="135"/>
      <c r="D23" s="135"/>
      <c r="E23" s="135"/>
      <c r="F23" s="135"/>
    </row>
    <row r="24" spans="1:6">
      <c r="A24" s="135"/>
      <c r="B24" s="135"/>
      <c r="C24" s="135"/>
      <c r="D24" s="135"/>
      <c r="E24" s="135"/>
      <c r="F24" s="135"/>
    </row>
    <row r="25" spans="1:6">
      <c r="A25" s="135"/>
      <c r="B25" s="135"/>
      <c r="C25" s="135"/>
      <c r="D25" s="135"/>
      <c r="E25" s="135"/>
      <c r="F25" s="135"/>
    </row>
    <row r="26" spans="1:6" ht="12" customHeight="1">
      <c r="A26" s="135"/>
      <c r="B26" s="135"/>
      <c r="C26" s="135"/>
      <c r="D26" s="135"/>
      <c r="E26" s="135"/>
      <c r="F26" s="135"/>
    </row>
    <row r="27" spans="1:6" s="3" customFormat="1">
      <c r="A27" s="135"/>
      <c r="B27" s="135"/>
      <c r="C27" s="135"/>
      <c r="D27" s="135"/>
      <c r="E27" s="135"/>
      <c r="F27" s="135"/>
    </row>
    <row r="28" spans="1:6" s="3" customFormat="1">
      <c r="A28" s="135"/>
      <c r="B28" s="135"/>
      <c r="C28" s="135"/>
      <c r="D28" s="135"/>
      <c r="E28" s="135"/>
      <c r="F28" s="135"/>
    </row>
    <row r="29" spans="1:6" s="3" customFormat="1">
      <c r="A29" s="135"/>
      <c r="B29" s="135"/>
      <c r="C29" s="135"/>
      <c r="D29" s="135"/>
      <c r="E29" s="135"/>
      <c r="F29" s="135"/>
    </row>
    <row r="30" spans="1:6" s="3" customFormat="1">
      <c r="A30" s="135"/>
      <c r="B30" s="135"/>
      <c r="C30" s="135"/>
      <c r="D30" s="135"/>
      <c r="E30" s="135"/>
      <c r="F30" s="135"/>
    </row>
    <row r="31" spans="1:6" s="3" customFormat="1">
      <c r="A31" s="135"/>
      <c r="B31" s="135"/>
      <c r="C31" s="135"/>
      <c r="D31" s="135"/>
      <c r="E31" s="135"/>
      <c r="F31" s="135"/>
    </row>
    <row r="32" spans="1:6" s="3" customFormat="1">
      <c r="A32" s="135"/>
      <c r="B32" s="135"/>
      <c r="C32" s="135"/>
      <c r="D32" s="135"/>
      <c r="E32" s="135"/>
      <c r="F32" s="135"/>
    </row>
    <row r="33" spans="1:6" s="3" customFormat="1">
      <c r="A33" s="135"/>
      <c r="B33" s="135"/>
      <c r="C33" s="135"/>
      <c r="D33" s="135"/>
      <c r="E33" s="135"/>
      <c r="F33" s="135"/>
    </row>
    <row r="34" spans="1:6" s="3" customFormat="1">
      <c r="A34" s="135"/>
      <c r="B34" s="135"/>
      <c r="C34" s="135"/>
      <c r="D34" s="135"/>
      <c r="E34" s="135"/>
      <c r="F34" s="135"/>
    </row>
    <row r="35" spans="1:6" s="3" customFormat="1">
      <c r="A35" s="135"/>
      <c r="B35" s="135"/>
      <c r="C35" s="135"/>
      <c r="D35" s="135"/>
      <c r="E35" s="135"/>
      <c r="F35" s="135"/>
    </row>
    <row r="36" spans="1:6" s="3" customFormat="1">
      <c r="A36" s="135"/>
      <c r="B36" s="135"/>
      <c r="C36" s="135"/>
      <c r="D36" s="135"/>
      <c r="E36" s="135"/>
      <c r="F36" s="135"/>
    </row>
    <row r="37" spans="1:6" s="3" customFormat="1">
      <c r="A37" s="135"/>
      <c r="B37" s="135"/>
      <c r="C37" s="135"/>
      <c r="D37" s="135"/>
      <c r="E37" s="135"/>
      <c r="F37" s="135"/>
    </row>
    <row r="38" spans="1:6" s="3" customFormat="1">
      <c r="A38" s="135"/>
      <c r="B38" s="135"/>
      <c r="C38" s="135"/>
      <c r="D38" s="135"/>
      <c r="E38" s="135"/>
      <c r="F38" s="135"/>
    </row>
    <row r="39" spans="1:6" s="3" customFormat="1">
      <c r="A39" s="135"/>
      <c r="B39" s="135"/>
      <c r="C39" s="135"/>
      <c r="D39" s="135"/>
      <c r="E39" s="135"/>
      <c r="F39" s="135"/>
    </row>
    <row r="40" spans="1:6" s="3" customFormat="1">
      <c r="A40" s="135"/>
      <c r="B40" s="135"/>
      <c r="C40" s="135"/>
      <c r="D40" s="135"/>
      <c r="E40" s="135"/>
      <c r="F40" s="135"/>
    </row>
    <row r="41" spans="1:6" s="3" customFormat="1">
      <c r="A41" s="135"/>
      <c r="B41" s="135"/>
      <c r="C41" s="135"/>
      <c r="D41" s="135"/>
      <c r="E41" s="135"/>
      <c r="F41" s="135"/>
    </row>
    <row r="42" spans="1:6" s="3" customFormat="1">
      <c r="A42" s="135"/>
      <c r="B42" s="135"/>
      <c r="C42" s="135"/>
      <c r="D42" s="135"/>
      <c r="E42" s="135"/>
      <c r="F42" s="135"/>
    </row>
    <row r="43" spans="1:6" s="3" customFormat="1">
      <c r="A43" s="135"/>
      <c r="B43" s="135"/>
      <c r="C43" s="135"/>
      <c r="D43" s="135"/>
      <c r="E43" s="135"/>
      <c r="F43" s="135"/>
    </row>
    <row r="44" spans="1:6" s="3" customFormat="1">
      <c r="A44" s="135"/>
      <c r="B44" s="135"/>
      <c r="C44" s="135"/>
      <c r="D44" s="135"/>
      <c r="E44" s="135"/>
      <c r="F44" s="135"/>
    </row>
    <row r="45" spans="1:6" s="3" customFormat="1">
      <c r="A45" s="135"/>
      <c r="B45" s="135"/>
      <c r="C45" s="135"/>
      <c r="D45" s="135"/>
      <c r="E45" s="135"/>
      <c r="F45" s="135"/>
    </row>
    <row r="46" spans="1:6" s="3" customFormat="1">
      <c r="A46" s="135"/>
      <c r="B46" s="135"/>
      <c r="C46" s="135"/>
      <c r="D46" s="135"/>
      <c r="E46" s="135"/>
      <c r="F46" s="135"/>
    </row>
    <row r="47" spans="1:6" s="3" customFormat="1">
      <c r="A47" s="135"/>
      <c r="B47" s="135"/>
      <c r="C47" s="135"/>
      <c r="D47" s="135"/>
      <c r="E47" s="135"/>
      <c r="F47" s="135"/>
    </row>
    <row r="48" spans="1:6" s="3" customFormat="1">
      <c r="A48" s="135"/>
      <c r="B48" s="135"/>
      <c r="C48" s="135"/>
      <c r="D48" s="135"/>
      <c r="E48" s="135"/>
      <c r="F48" s="135"/>
    </row>
    <row r="49" spans="1:6" s="3" customFormat="1">
      <c r="A49" s="135"/>
      <c r="B49" s="135"/>
      <c r="C49" s="135"/>
      <c r="D49" s="135"/>
      <c r="E49" s="135"/>
      <c r="F49" s="135"/>
    </row>
    <row r="50" spans="1:6" s="3" customFormat="1">
      <c r="A50" s="135"/>
      <c r="B50" s="135"/>
      <c r="C50" s="135"/>
      <c r="D50" s="135"/>
      <c r="E50" s="135"/>
      <c r="F50" s="135"/>
    </row>
    <row r="51" spans="1:6" s="3" customFormat="1">
      <c r="A51" s="135"/>
      <c r="B51" s="135"/>
      <c r="C51" s="135"/>
      <c r="D51" s="135"/>
      <c r="E51" s="135"/>
      <c r="F51" s="135"/>
    </row>
    <row r="52" spans="1:6" s="3" customFormat="1">
      <c r="A52" s="135"/>
      <c r="B52" s="135"/>
      <c r="C52" s="135"/>
      <c r="D52" s="135"/>
      <c r="E52" s="135"/>
      <c r="F52" s="135"/>
    </row>
    <row r="53" spans="1:6" s="3" customFormat="1">
      <c r="A53" s="135"/>
      <c r="B53" s="135"/>
      <c r="C53" s="135"/>
      <c r="D53" s="135"/>
      <c r="E53" s="135"/>
      <c r="F53" s="135"/>
    </row>
    <row r="54" spans="1:6" s="3" customFormat="1">
      <c r="A54" s="135"/>
      <c r="B54" s="135"/>
      <c r="C54" s="135"/>
      <c r="D54" s="135"/>
      <c r="E54" s="135"/>
      <c r="F54" s="135"/>
    </row>
    <row r="55" spans="1:6" s="3" customFormat="1">
      <c r="A55" s="135"/>
      <c r="B55" s="135"/>
      <c r="C55" s="135"/>
      <c r="D55" s="135"/>
      <c r="E55" s="135"/>
      <c r="F55" s="135"/>
    </row>
    <row r="56" spans="1:6" s="3" customFormat="1">
      <c r="A56" s="135"/>
      <c r="B56" s="135"/>
      <c r="C56" s="135"/>
      <c r="D56" s="135"/>
      <c r="E56" s="135"/>
      <c r="F56" s="135"/>
    </row>
    <row r="57" spans="1:6" s="3" customFormat="1">
      <c r="A57" s="135"/>
      <c r="B57" s="135"/>
      <c r="C57" s="135"/>
      <c r="D57" s="135"/>
      <c r="E57" s="135"/>
      <c r="F57" s="135"/>
    </row>
    <row r="58" spans="1:6" s="3" customFormat="1">
      <c r="A58" s="135"/>
      <c r="B58" s="135"/>
      <c r="C58" s="135"/>
      <c r="D58" s="135"/>
      <c r="E58" s="135"/>
      <c r="F58" s="135"/>
    </row>
    <row r="59" spans="1:6" s="3" customFormat="1">
      <c r="A59" s="135"/>
      <c r="B59" s="135"/>
      <c r="C59" s="135"/>
      <c r="D59" s="135"/>
      <c r="E59" s="135"/>
      <c r="F59" s="135"/>
    </row>
    <row r="60" spans="1:6" s="3" customFormat="1">
      <c r="A60" s="135"/>
      <c r="B60" s="135"/>
      <c r="C60" s="135"/>
      <c r="D60" s="135"/>
      <c r="E60" s="135"/>
      <c r="F60" s="135"/>
    </row>
    <row r="61" spans="1:6" s="3" customFormat="1">
      <c r="A61" s="135"/>
      <c r="B61" s="135"/>
      <c r="C61" s="135"/>
      <c r="D61" s="135"/>
      <c r="E61" s="135"/>
      <c r="F61" s="135"/>
    </row>
    <row r="62" spans="1:6" s="3" customFormat="1">
      <c r="A62" s="135"/>
      <c r="B62" s="135"/>
      <c r="C62" s="135"/>
      <c r="D62" s="135"/>
      <c r="E62" s="135"/>
      <c r="F62" s="135"/>
    </row>
    <row r="63" spans="1:6" s="3" customFormat="1">
      <c r="A63" s="135"/>
      <c r="B63" s="135"/>
      <c r="C63" s="135"/>
      <c r="D63" s="135"/>
      <c r="E63" s="135"/>
      <c r="F63" s="135"/>
    </row>
    <row r="64" spans="1:6" s="3" customFormat="1">
      <c r="A64" s="135"/>
      <c r="B64" s="135"/>
      <c r="C64" s="135"/>
      <c r="D64" s="135"/>
      <c r="E64" s="135"/>
      <c r="F64" s="135"/>
    </row>
    <row r="65" spans="1:6" s="3" customFormat="1">
      <c r="A65" s="135"/>
      <c r="B65" s="135"/>
      <c r="C65" s="135"/>
      <c r="D65" s="135"/>
      <c r="E65" s="135"/>
      <c r="F65" s="135"/>
    </row>
    <row r="66" spans="1:6" s="3" customFormat="1">
      <c r="A66" s="135"/>
      <c r="B66" s="135"/>
      <c r="C66" s="135"/>
      <c r="D66" s="135"/>
      <c r="E66" s="135"/>
      <c r="F66" s="135"/>
    </row>
    <row r="67" spans="1:6" s="3" customFormat="1">
      <c r="A67" s="135"/>
      <c r="B67" s="135"/>
      <c r="C67" s="135"/>
      <c r="D67" s="135"/>
      <c r="E67" s="135"/>
      <c r="F67" s="135"/>
    </row>
    <row r="68" spans="1:6" s="3" customFormat="1">
      <c r="A68" s="135"/>
      <c r="B68" s="135"/>
      <c r="C68" s="135"/>
      <c r="D68" s="135"/>
      <c r="E68" s="135"/>
      <c r="F68" s="135"/>
    </row>
    <row r="69" spans="1:6" s="3" customFormat="1">
      <c r="A69" s="135"/>
      <c r="B69" s="135"/>
      <c r="C69" s="135"/>
      <c r="D69" s="135"/>
      <c r="E69" s="135"/>
      <c r="F69" s="135"/>
    </row>
    <row r="70" spans="1:6" s="3" customFormat="1">
      <c r="A70" s="135"/>
      <c r="B70" s="135"/>
      <c r="C70" s="135"/>
      <c r="D70" s="135"/>
      <c r="E70" s="135"/>
      <c r="F70" s="135"/>
    </row>
    <row r="71" spans="1:6" s="3" customFormat="1">
      <c r="A71" s="135"/>
      <c r="B71" s="135"/>
      <c r="C71" s="135"/>
      <c r="D71" s="135"/>
      <c r="E71" s="135"/>
      <c r="F71" s="135"/>
    </row>
    <row r="72" spans="1:6" s="3" customFormat="1">
      <c r="A72" s="135"/>
      <c r="B72" s="135"/>
      <c r="C72" s="135"/>
      <c r="D72" s="135"/>
      <c r="E72" s="135"/>
      <c r="F72" s="135"/>
    </row>
    <row r="73" spans="1:6" s="3" customFormat="1">
      <c r="A73" s="135"/>
      <c r="B73" s="135"/>
      <c r="C73" s="135"/>
      <c r="D73" s="135"/>
      <c r="E73" s="135"/>
      <c r="F73" s="135"/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20" sqref="C2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</cols>
  <sheetData>
    <row r="1" spans="1:385" s="3" customFormat="1" ht="14" thickBot="1">
      <c r="A1" s="63"/>
      <c r="D1" s="6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</row>
    <row r="2" spans="1:385" ht="19" customHeight="1">
      <c r="B2" s="178" t="s">
        <v>199</v>
      </c>
      <c r="C2" s="178"/>
      <c r="E2" s="179" t="str">
        <f>"FEUILLE COMPO "&amp;MATCH_NOUS</f>
        <v xml:space="preserve">FEUILLE COMPO </v>
      </c>
      <c r="F2" s="180"/>
      <c r="G2" s="180"/>
      <c r="H2" s="181"/>
    </row>
    <row r="3" spans="1:385" ht="19" customHeight="1">
      <c r="B3" s="178"/>
      <c r="C3" s="178"/>
      <c r="E3" s="182"/>
      <c r="F3" s="183"/>
      <c r="G3" s="183"/>
      <c r="H3" s="184"/>
    </row>
    <row r="4" spans="1:385" ht="19" customHeight="1" thickBot="1">
      <c r="B4" s="178"/>
      <c r="C4" s="178"/>
      <c r="E4" s="185"/>
      <c r="F4" s="186"/>
      <c r="G4" s="186"/>
      <c r="H4" s="187"/>
    </row>
    <row r="5" spans="1:385" s="3" customFormat="1">
      <c r="A5" s="63"/>
      <c r="D5" s="6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</row>
    <row r="6" spans="1:385">
      <c r="B6" s="42" t="s">
        <v>179</v>
      </c>
      <c r="C6" s="43"/>
      <c r="E6" t="s">
        <v>67</v>
      </c>
      <c r="F6" t="s">
        <v>68</v>
      </c>
      <c r="G6" t="s">
        <v>150</v>
      </c>
      <c r="H6" t="s">
        <v>149</v>
      </c>
    </row>
    <row r="7" spans="1:385">
      <c r="B7" s="3"/>
      <c r="C7" s="3"/>
      <c r="E7">
        <v>1</v>
      </c>
      <c r="G7" t="s">
        <v>152</v>
      </c>
    </row>
    <row r="8" spans="1:385">
      <c r="B8" s="42" t="s">
        <v>207</v>
      </c>
      <c r="C8" s="43"/>
      <c r="E8">
        <v>2</v>
      </c>
      <c r="G8" t="s">
        <v>152</v>
      </c>
    </row>
    <row r="9" spans="1:385">
      <c r="B9" s="3"/>
      <c r="C9" s="3"/>
      <c r="E9">
        <v>3</v>
      </c>
      <c r="G9" t="s">
        <v>152</v>
      </c>
    </row>
    <row r="10" spans="1:385">
      <c r="B10" s="42" t="s">
        <v>381</v>
      </c>
      <c r="C10" s="43"/>
      <c r="E10">
        <v>4</v>
      </c>
      <c r="G10" t="s">
        <v>152</v>
      </c>
    </row>
    <row r="11" spans="1:385">
      <c r="B11" s="3"/>
      <c r="C11" s="3"/>
      <c r="E11">
        <v>5</v>
      </c>
      <c r="G11" t="s">
        <v>152</v>
      </c>
    </row>
    <row r="12" spans="1:385">
      <c r="B12" s="42" t="s">
        <v>180</v>
      </c>
      <c r="C12" s="43"/>
      <c r="E12">
        <v>6</v>
      </c>
      <c r="G12" t="s">
        <v>152</v>
      </c>
    </row>
    <row r="13" spans="1:385">
      <c r="B13" s="3"/>
      <c r="C13" s="3"/>
      <c r="E13">
        <v>7</v>
      </c>
      <c r="G13" t="s">
        <v>152</v>
      </c>
    </row>
    <row r="14" spans="1:385">
      <c r="B14" s="42" t="s">
        <v>206</v>
      </c>
      <c r="C14" s="43"/>
      <c r="E14">
        <v>8</v>
      </c>
      <c r="G14" t="s">
        <v>152</v>
      </c>
    </row>
    <row r="15" spans="1:385">
      <c r="B15" s="3"/>
      <c r="C15" s="3"/>
      <c r="E15" s="35">
        <v>9</v>
      </c>
      <c r="F15" s="35"/>
      <c r="G15" s="35" t="s">
        <v>168</v>
      </c>
      <c r="H15" s="35"/>
    </row>
    <row r="16" spans="1:385">
      <c r="B16" s="42" t="s">
        <v>181</v>
      </c>
      <c r="C16" s="43"/>
      <c r="E16">
        <v>10</v>
      </c>
      <c r="G16" t="s">
        <v>168</v>
      </c>
    </row>
    <row r="17" spans="1:385">
      <c r="B17" s="3"/>
      <c r="C17" s="64"/>
      <c r="E17">
        <v>11</v>
      </c>
      <c r="G17" t="s">
        <v>168</v>
      </c>
    </row>
    <row r="18" spans="1:385">
      <c r="B18" s="42" t="s">
        <v>182</v>
      </c>
      <c r="C18" s="44"/>
      <c r="E18">
        <v>12</v>
      </c>
      <c r="G18" t="s">
        <v>168</v>
      </c>
    </row>
    <row r="19" spans="1:385">
      <c r="B19" s="3"/>
      <c r="C19" s="3"/>
      <c r="E19">
        <v>13</v>
      </c>
      <c r="G19" t="s">
        <v>168</v>
      </c>
    </row>
    <row r="20" spans="1:385">
      <c r="B20" s="42" t="s">
        <v>183</v>
      </c>
      <c r="C20" s="43"/>
      <c r="E20">
        <v>14</v>
      </c>
      <c r="G20" t="s">
        <v>168</v>
      </c>
    </row>
    <row r="21" spans="1:385">
      <c r="B21" s="3"/>
      <c r="C21" s="64"/>
      <c r="E21" s="30">
        <v>15</v>
      </c>
      <c r="F21" s="30"/>
      <c r="G21" s="30" t="s">
        <v>168</v>
      </c>
      <c r="H21" s="30"/>
    </row>
    <row r="22" spans="1:385">
      <c r="B22" s="42" t="s">
        <v>205</v>
      </c>
      <c r="C22" s="43"/>
      <c r="E22">
        <v>16</v>
      </c>
      <c r="G22" t="s">
        <v>152</v>
      </c>
    </row>
    <row r="23" spans="1:385">
      <c r="B23" s="3"/>
      <c r="C23" s="3"/>
      <c r="E23">
        <v>17</v>
      </c>
      <c r="G23" t="s">
        <v>152</v>
      </c>
    </row>
    <row r="24" spans="1:385">
      <c r="B24" s="3"/>
      <c r="C24" s="3"/>
      <c r="E24">
        <v>18</v>
      </c>
      <c r="G24" t="s">
        <v>152</v>
      </c>
    </row>
    <row r="25" spans="1:385">
      <c r="B25" s="3"/>
      <c r="C25" s="3"/>
      <c r="E25">
        <v>19</v>
      </c>
      <c r="G25" t="s">
        <v>152</v>
      </c>
    </row>
    <row r="26" spans="1:385">
      <c r="B26" s="3"/>
      <c r="C26" s="3"/>
      <c r="E26">
        <v>20</v>
      </c>
      <c r="G26" t="s">
        <v>168</v>
      </c>
    </row>
    <row r="27" spans="1:385">
      <c r="B27" s="3"/>
      <c r="C27" s="3"/>
      <c r="E27">
        <v>21</v>
      </c>
      <c r="G27" t="s">
        <v>168</v>
      </c>
    </row>
    <row r="28" spans="1:385">
      <c r="B28" s="3"/>
      <c r="C28" s="3"/>
      <c r="E28">
        <v>22</v>
      </c>
      <c r="G28" t="s">
        <v>168</v>
      </c>
    </row>
    <row r="29" spans="1:385" s="3" customFormat="1" hidden="1">
      <c r="A29" s="63"/>
      <c r="D29" s="63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</row>
    <row r="30" spans="1:385" s="3" customFormat="1">
      <c r="A30" s="63"/>
      <c r="D30" s="63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</row>
    <row r="31" spans="1:385" s="3" customFormat="1">
      <c r="A31" s="63"/>
      <c r="D31" s="63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</row>
    <row r="32" spans="1:385" s="3" customFormat="1">
      <c r="A32" s="63"/>
      <c r="D32" s="63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</row>
    <row r="33" spans="1:385" s="3" customFormat="1">
      <c r="A33" s="63"/>
      <c r="D33" s="6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</row>
    <row r="34" spans="1:385" s="3" customFormat="1">
      <c r="A34" s="63"/>
      <c r="D34" s="63"/>
      <c r="F34" s="97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</row>
    <row r="35" spans="1:385" s="3" customFormat="1">
      <c r="A35" s="63"/>
      <c r="D35" s="63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</row>
    <row r="36" spans="1:385" s="3" customFormat="1">
      <c r="A36" s="63"/>
      <c r="D36" s="63"/>
      <c r="F36" s="3" t="s">
        <v>66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</row>
    <row r="37" spans="1:385" s="3" customFormat="1">
      <c r="A37" s="63"/>
      <c r="D37" s="63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</row>
    <row r="38" spans="1:385" s="3" customFormat="1">
      <c r="A38" s="63"/>
      <c r="D38" s="63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</row>
    <row r="39" spans="1:385" s="3" customFormat="1">
      <c r="A39" s="63"/>
      <c r="D39" s="63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</row>
    <row r="40" spans="1:385" s="3" customFormat="1">
      <c r="A40" s="63"/>
      <c r="D40" s="63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</row>
    <row r="41" spans="1:385" s="3" customFormat="1">
      <c r="A41" s="63"/>
      <c r="D41" s="63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</row>
    <row r="42" spans="1:385" s="3" customFormat="1">
      <c r="A42" s="63"/>
      <c r="D42" s="63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</row>
    <row r="43" spans="1:385" s="3" customFormat="1">
      <c r="A43" s="63"/>
      <c r="D43" s="6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</row>
    <row r="44" spans="1:385" s="3" customFormat="1">
      <c r="A44" s="63"/>
      <c r="D44" s="63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</row>
    <row r="45" spans="1:385" s="3" customFormat="1">
      <c r="A45" s="63"/>
      <c r="D45" s="63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</row>
    <row r="46" spans="1:385" s="3" customFormat="1">
      <c r="A46" s="63"/>
      <c r="D46" s="63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</row>
    <row r="47" spans="1:385" s="3" customFormat="1">
      <c r="A47" s="63"/>
      <c r="D47" s="63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</row>
    <row r="48" spans="1:385" s="3" customFormat="1">
      <c r="A48" s="63"/>
      <c r="D48" s="63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</row>
    <row r="49" spans="1:385" s="3" customFormat="1">
      <c r="A49" s="63"/>
      <c r="D49" s="63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</row>
    <row r="50" spans="1:385" s="3" customFormat="1">
      <c r="A50" s="63"/>
      <c r="D50" s="63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</row>
    <row r="51" spans="1:385" s="3" customFormat="1">
      <c r="A51" s="63"/>
      <c r="D51" s="63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</row>
    <row r="52" spans="1:385" s="3" customFormat="1">
      <c r="A52" s="63"/>
      <c r="D52" s="63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</row>
    <row r="53" spans="1:385" s="3" customFormat="1">
      <c r="A53" s="63"/>
      <c r="D53" s="6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</row>
    <row r="54" spans="1:385" s="3" customFormat="1">
      <c r="A54" s="63"/>
      <c r="D54" s="63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</row>
    <row r="55" spans="1:385" s="3" customFormat="1">
      <c r="A55" s="63"/>
      <c r="D55" s="63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</row>
    <row r="56" spans="1:385" s="3" customFormat="1">
      <c r="A56" s="63"/>
      <c r="D56" s="63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</row>
    <row r="57" spans="1:385" s="3" customFormat="1">
      <c r="A57" s="63"/>
      <c r="D57" s="63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</row>
    <row r="58" spans="1:385" s="3" customFormat="1">
      <c r="A58" s="63"/>
      <c r="D58" s="63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</row>
    <row r="59" spans="1:385" s="3" customFormat="1" hidden="1">
      <c r="A59" s="63"/>
      <c r="B59" s="3" t="s">
        <v>184</v>
      </c>
      <c r="D59" s="63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</row>
    <row r="60" spans="1:385" s="3" customFormat="1">
      <c r="A60" s="63"/>
      <c r="D60" s="63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</row>
    <row r="61" spans="1:385" s="3" customFormat="1">
      <c r="A61" s="63"/>
      <c r="D61" s="63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</row>
    <row r="62" spans="1:385" s="3" customFormat="1">
      <c r="A62" s="63"/>
      <c r="D62" s="63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</row>
    <row r="63" spans="1:385" s="3" customFormat="1">
      <c r="A63" s="63"/>
      <c r="D63" s="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</row>
    <row r="64" spans="1:385" s="3" customFormat="1">
      <c r="A64" s="63"/>
      <c r="D64" s="63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</row>
    <row r="65" spans="1:385" s="3" customFormat="1">
      <c r="A65" s="63"/>
      <c r="D65" s="63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</row>
    <row r="66" spans="1:385" s="3" customFormat="1">
      <c r="A66" s="63"/>
      <c r="D66" s="63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</row>
    <row r="67" spans="1:385" s="3" customFormat="1">
      <c r="A67" s="63"/>
      <c r="D67" s="63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</row>
    <row r="68" spans="1:385" s="3" customFormat="1">
      <c r="A68" s="63"/>
      <c r="D68" s="63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</row>
    <row r="69" spans="1:385" s="3" customFormat="1">
      <c r="A69" s="63"/>
      <c r="D69" s="63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</row>
    <row r="70" spans="1:385" s="3" customFormat="1">
      <c r="A70" s="63"/>
      <c r="D70" s="63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</row>
    <row r="71" spans="1:385" s="3" customFormat="1">
      <c r="A71" s="63"/>
      <c r="D71" s="63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</row>
    <row r="72" spans="1:385" s="3" customFormat="1">
      <c r="A72" s="63"/>
      <c r="D72" s="63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</row>
    <row r="73" spans="1:385" s="3" customFormat="1">
      <c r="A73" s="63"/>
      <c r="D73" s="6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</row>
    <row r="74" spans="1:385" s="3" customFormat="1">
      <c r="A74" s="63"/>
      <c r="D74" s="63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</row>
    <row r="75" spans="1:385" s="3" customFormat="1">
      <c r="A75" s="63"/>
      <c r="D75" s="63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</row>
    <row r="76" spans="1:385" s="3" customFormat="1">
      <c r="A76" s="63"/>
      <c r="D76" s="63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</row>
    <row r="77" spans="1:385" s="3" customFormat="1">
      <c r="A77" s="63"/>
      <c r="D77" s="63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</row>
    <row r="78" spans="1:385" s="3" customFormat="1">
      <c r="A78" s="63"/>
      <c r="D78" s="63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</row>
    <row r="79" spans="1:385" s="3" customFormat="1">
      <c r="A79" s="63"/>
      <c r="D79" s="63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</row>
    <row r="80" spans="1:385" s="3" customFormat="1">
      <c r="A80" s="63"/>
      <c r="D80" s="63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</row>
    <row r="81" spans="1:385" s="3" customFormat="1">
      <c r="A81" s="63"/>
      <c r="D81" s="63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</row>
    <row r="82" spans="1:385" s="3" customFormat="1">
      <c r="A82" s="63"/>
      <c r="D82" s="6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</row>
    <row r="83" spans="1:385" s="3" customFormat="1">
      <c r="A83" s="63"/>
      <c r="D83" s="6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</row>
    <row r="84" spans="1:385" s="3" customFormat="1">
      <c r="A84" s="63"/>
      <c r="D84" s="63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</row>
    <row r="85" spans="1:385" s="3" customFormat="1">
      <c r="A85" s="63"/>
      <c r="D85" s="63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</row>
    <row r="86" spans="1:385" s="3" customFormat="1">
      <c r="A86" s="63"/>
      <c r="D86" s="63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</row>
    <row r="87" spans="1:385" s="3" customFormat="1">
      <c r="A87" s="63"/>
      <c r="D87" s="63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</row>
    <row r="88" spans="1:385" s="3" customFormat="1">
      <c r="A88" s="63"/>
      <c r="D88" s="63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</row>
    <row r="89" spans="1:385" s="3" customFormat="1">
      <c r="A89" s="63"/>
      <c r="D89" s="63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</row>
    <row r="90" spans="1:385" s="3" customFormat="1">
      <c r="A90" s="63"/>
      <c r="D90" s="63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</row>
    <row r="91" spans="1:385" s="3" customFormat="1">
      <c r="A91" s="63"/>
      <c r="D91" s="63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</row>
    <row r="92" spans="1:385" s="3" customFormat="1">
      <c r="A92" s="63"/>
      <c r="D92" s="63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</row>
    <row r="93" spans="1:385" s="3" customFormat="1">
      <c r="A93" s="63"/>
      <c r="D93" s="6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</row>
    <row r="94" spans="1:385" s="3" customFormat="1">
      <c r="A94" s="63"/>
      <c r="D94" s="63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</row>
    <row r="95" spans="1:385" s="3" customFormat="1">
      <c r="A95" s="63"/>
      <c r="D95" s="63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</row>
    <row r="96" spans="1:385" s="3" customFormat="1">
      <c r="A96" s="63"/>
      <c r="D96" s="63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</row>
    <row r="97" spans="1:385" s="3" customFormat="1">
      <c r="A97" s="63"/>
      <c r="D97" s="63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</row>
    <row r="98" spans="1:385" s="3" customFormat="1">
      <c r="A98" s="63"/>
      <c r="D98" s="63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</row>
    <row r="99" spans="1:385" s="3" customFormat="1">
      <c r="A99" s="63"/>
      <c r="D99" s="63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</row>
    <row r="100" spans="1:385" s="3" customFormat="1">
      <c r="A100" s="63"/>
      <c r="D100" s="63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</row>
    <row r="101" spans="1:385" s="3" customFormat="1">
      <c r="A101" s="63"/>
      <c r="D101" s="63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</row>
    <row r="102" spans="1:385" s="3" customFormat="1">
      <c r="A102" s="63"/>
      <c r="D102" s="63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</row>
    <row r="103" spans="1:385" s="3" customFormat="1">
      <c r="A103" s="63"/>
      <c r="D103" s="6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</row>
    <row r="104" spans="1:385" s="3" customFormat="1">
      <c r="A104" s="63"/>
      <c r="D104" s="63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</row>
    <row r="105" spans="1:385" s="3" customFormat="1">
      <c r="A105" s="63"/>
      <c r="D105" s="63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</row>
    <row r="106" spans="1:385" s="3" customFormat="1">
      <c r="A106" s="63"/>
      <c r="D106" s="63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</row>
    <row r="107" spans="1:385" s="3" customFormat="1">
      <c r="A107" s="63"/>
      <c r="D107" s="63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</row>
    <row r="108" spans="1:385" s="3" customFormat="1">
      <c r="A108" s="63"/>
      <c r="D108" s="63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</row>
    <row r="109" spans="1:385" s="3" customFormat="1">
      <c r="A109" s="63"/>
      <c r="D109" s="63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</row>
    <row r="110" spans="1:385" s="3" customFormat="1">
      <c r="A110" s="63"/>
      <c r="D110" s="63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</row>
    <row r="111" spans="1:385" s="3" customFormat="1">
      <c r="A111" s="63"/>
      <c r="D111" s="63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</row>
    <row r="112" spans="1:385" s="3" customFormat="1">
      <c r="A112" s="63"/>
      <c r="D112" s="63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</row>
    <row r="113" spans="1:385" s="3" customFormat="1">
      <c r="A113" s="63"/>
      <c r="D113" s="6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</row>
    <row r="114" spans="1:385" s="3" customFormat="1">
      <c r="A114" s="63"/>
      <c r="D114" s="63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</row>
    <row r="115" spans="1:385" s="3" customFormat="1">
      <c r="A115" s="63"/>
      <c r="D115" s="6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</row>
    <row r="116" spans="1:385" s="3" customFormat="1">
      <c r="A116" s="63"/>
      <c r="D116" s="63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</row>
    <row r="117" spans="1:385" s="3" customFormat="1">
      <c r="A117" s="63"/>
      <c r="D117" s="63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</row>
    <row r="118" spans="1:385" s="3" customFormat="1">
      <c r="A118" s="63"/>
      <c r="D118" s="63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</row>
    <row r="119" spans="1:385" s="3" customFormat="1">
      <c r="A119" s="63"/>
      <c r="D119" s="63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</row>
    <row r="120" spans="1:385" s="3" customFormat="1">
      <c r="A120" s="63"/>
      <c r="D120" s="63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</row>
    <row r="121" spans="1:385" s="3" customFormat="1">
      <c r="A121" s="63"/>
      <c r="D121" s="63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</row>
    <row r="122" spans="1:385" s="3" customFormat="1">
      <c r="A122" s="63"/>
      <c r="D122" s="63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</row>
    <row r="123" spans="1:385" s="3" customFormat="1">
      <c r="A123" s="63"/>
      <c r="D123" s="6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</row>
    <row r="124" spans="1:385" s="3" customFormat="1">
      <c r="A124" s="63"/>
      <c r="D124" s="63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</row>
    <row r="125" spans="1:385" s="3" customFormat="1">
      <c r="A125" s="63"/>
      <c r="D125" s="63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</row>
    <row r="126" spans="1:385" s="3" customFormat="1">
      <c r="A126" s="63"/>
      <c r="D126" s="63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</row>
    <row r="127" spans="1:385" s="3" customFormat="1">
      <c r="A127" s="63"/>
      <c r="D127" s="63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</row>
    <row r="128" spans="1:385" s="3" customFormat="1">
      <c r="A128" s="63"/>
      <c r="D128" s="63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</row>
    <row r="129" spans="1:385" s="3" customFormat="1">
      <c r="A129" s="63"/>
      <c r="D129" s="63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</row>
    <row r="130" spans="1:385" s="3" customFormat="1">
      <c r="A130" s="63"/>
      <c r="D130" s="63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</row>
    <row r="131" spans="1:385" s="3" customFormat="1">
      <c r="A131" s="63"/>
      <c r="D131" s="63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</row>
    <row r="132" spans="1:385" s="3" customFormat="1">
      <c r="A132" s="63"/>
      <c r="D132" s="63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</row>
    <row r="133" spans="1:385" s="3" customFormat="1">
      <c r="A133" s="63"/>
      <c r="D133" s="6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</row>
    <row r="134" spans="1:385" s="3" customFormat="1">
      <c r="A134" s="63"/>
      <c r="D134" s="63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</row>
    <row r="135" spans="1:385" s="3" customFormat="1">
      <c r="A135" s="63"/>
      <c r="D135" s="63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</row>
    <row r="136" spans="1:385" s="3" customFormat="1">
      <c r="A136" s="63"/>
      <c r="D136" s="63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</row>
    <row r="137" spans="1:385" s="3" customFormat="1">
      <c r="A137" s="63"/>
      <c r="D137" s="63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/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5"/>
      <c r="B1" s="191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 xml:space="preserve">Match PF  :  / </v>
      </c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  <c r="CB1" s="135"/>
      <c r="CC1" s="135"/>
      <c r="CD1" s="135"/>
      <c r="CE1" s="135"/>
      <c r="CF1" s="135"/>
      <c r="CG1" s="135"/>
      <c r="CH1" s="135"/>
      <c r="CI1" s="135"/>
      <c r="CJ1" s="135"/>
    </row>
    <row r="2" spans="1:88" ht="10" customHeight="1" thickBot="1">
      <c r="A2" s="135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5"/>
      <c r="BX2" s="135"/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5"/>
      <c r="CJ2" s="135"/>
    </row>
    <row r="3" spans="1:88" ht="10" customHeight="1">
      <c r="A3" s="135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9"/>
      <c r="AZ3" s="135"/>
      <c r="BA3" s="137"/>
      <c r="BB3" s="138"/>
      <c r="BC3" s="138"/>
      <c r="BD3" s="138"/>
      <c r="BE3" s="138"/>
      <c r="BF3" s="138"/>
      <c r="BG3" s="138"/>
      <c r="BH3" s="138"/>
      <c r="BI3" s="138"/>
      <c r="BJ3" s="138"/>
      <c r="BK3" s="138"/>
      <c r="BL3" s="138"/>
      <c r="BM3" s="139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5"/>
      <c r="CB3" s="135"/>
      <c r="CC3" s="135"/>
      <c r="CD3" s="135"/>
      <c r="CE3" s="135"/>
      <c r="CF3" s="135"/>
      <c r="CG3" s="135"/>
      <c r="CH3" s="135"/>
      <c r="CI3" s="135"/>
      <c r="CJ3" s="135"/>
    </row>
    <row r="4" spans="1:88" ht="42" customHeight="1">
      <c r="A4" s="135"/>
      <c r="B4" s="136"/>
      <c r="C4" s="223" t="s">
        <v>123</v>
      </c>
      <c r="D4" s="197"/>
      <c r="E4" s="197"/>
      <c r="F4" s="197"/>
      <c r="G4" s="197"/>
      <c r="H4" s="197"/>
      <c r="I4" s="197"/>
      <c r="J4" s="197"/>
      <c r="K4" s="135"/>
      <c r="L4" s="228" t="s">
        <v>39</v>
      </c>
      <c r="M4" s="229"/>
      <c r="N4" s="229"/>
      <c r="O4" s="229"/>
      <c r="P4" s="229"/>
      <c r="Q4" s="229"/>
      <c r="R4" s="230"/>
      <c r="S4" s="135"/>
      <c r="T4" s="228" t="s">
        <v>55</v>
      </c>
      <c r="U4" s="229"/>
      <c r="V4" s="229"/>
      <c r="W4" s="229"/>
      <c r="X4" s="229"/>
      <c r="Y4" s="229"/>
      <c r="Z4" s="230"/>
      <c r="AA4" s="135"/>
      <c r="AB4" s="223" t="s">
        <v>440</v>
      </c>
      <c r="AC4" s="197"/>
      <c r="AD4" s="197"/>
      <c r="AE4" s="197"/>
      <c r="AF4" s="197"/>
      <c r="AG4" s="197"/>
      <c r="AH4" s="197"/>
      <c r="AI4" s="135"/>
      <c r="AJ4" s="231" t="s">
        <v>43</v>
      </c>
      <c r="AK4" s="232"/>
      <c r="AL4" s="232"/>
      <c r="AM4" s="232"/>
      <c r="AN4" s="232"/>
      <c r="AO4" s="232"/>
      <c r="AP4" s="233"/>
      <c r="AQ4" s="135"/>
      <c r="AR4" s="234" t="s">
        <v>44</v>
      </c>
      <c r="AS4" s="235"/>
      <c r="AT4" s="235"/>
      <c r="AU4" s="235"/>
      <c r="AV4" s="235"/>
      <c r="AW4" s="235"/>
      <c r="AX4" s="236"/>
      <c r="AY4" s="140"/>
      <c r="AZ4" s="135"/>
      <c r="BA4" s="136"/>
      <c r="BB4" s="170" t="s">
        <v>38</v>
      </c>
      <c r="BC4" s="135"/>
      <c r="BD4" s="165" t="s">
        <v>29</v>
      </c>
      <c r="BE4" s="135"/>
      <c r="BF4" s="165" t="s">
        <v>51</v>
      </c>
      <c r="BG4" s="135"/>
      <c r="BH4" s="165" t="s">
        <v>140</v>
      </c>
      <c r="BI4" s="135"/>
      <c r="BJ4" s="165" t="s">
        <v>30</v>
      </c>
      <c r="BK4" s="135"/>
      <c r="BL4" s="165" t="s">
        <v>31</v>
      </c>
      <c r="BM4" s="140"/>
      <c r="BN4" s="135"/>
      <c r="BO4" s="220" t="s">
        <v>488</v>
      </c>
      <c r="BP4" s="221"/>
      <c r="BQ4" s="221"/>
      <c r="BR4" s="222"/>
      <c r="BS4" s="135"/>
      <c r="BT4" s="135"/>
      <c r="BU4" s="135"/>
      <c r="BV4" s="135"/>
      <c r="BW4" s="135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135"/>
    </row>
    <row r="5" spans="1:88" ht="10" customHeight="1" thickBot="1">
      <c r="A5" s="135"/>
      <c r="B5" s="141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3"/>
      <c r="AZ5" s="135"/>
      <c r="BA5" s="141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3"/>
      <c r="BN5" s="135"/>
      <c r="BO5" s="135"/>
      <c r="BP5" s="135"/>
      <c r="BQ5" s="135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5"/>
    </row>
    <row r="6" spans="1:88" ht="10" customHeight="1" thickBot="1">
      <c r="A6" s="135"/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135"/>
      <c r="BQ6" s="135"/>
      <c r="BR6" s="135"/>
      <c r="BS6" s="135"/>
      <c r="BT6" s="135"/>
      <c r="BU6" s="135"/>
      <c r="BV6" s="135"/>
      <c r="BW6" s="135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135"/>
    </row>
    <row r="7" spans="1:88" ht="10" customHeight="1">
      <c r="A7" s="135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9"/>
      <c r="AZ7" s="135"/>
      <c r="BA7" s="137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9"/>
      <c r="BN7" s="135"/>
      <c r="BO7" s="211" t="s">
        <v>387</v>
      </c>
      <c r="BP7" s="212"/>
      <c r="BQ7" s="212"/>
      <c r="BR7" s="213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</row>
    <row r="8" spans="1:88" ht="26" customHeight="1">
      <c r="A8" s="135"/>
      <c r="B8" s="136"/>
      <c r="C8" s="237" t="s">
        <v>240</v>
      </c>
      <c r="D8" s="197"/>
      <c r="E8" s="197"/>
      <c r="F8" s="197"/>
      <c r="G8" s="197"/>
      <c r="H8" s="197"/>
      <c r="I8" s="197"/>
      <c r="J8" s="135"/>
      <c r="K8" s="238"/>
      <c r="L8" s="239"/>
      <c r="M8" s="239"/>
      <c r="N8" s="239"/>
      <c r="O8" s="239"/>
      <c r="P8" s="239"/>
      <c r="Q8" s="240"/>
      <c r="R8" s="135"/>
      <c r="S8" s="199"/>
      <c r="T8" s="200"/>
      <c r="U8" s="200"/>
      <c r="V8" s="200"/>
      <c r="W8" s="200"/>
      <c r="X8" s="200"/>
      <c r="Y8" s="201"/>
      <c r="Z8" s="135"/>
      <c r="AA8" s="202"/>
      <c r="AB8" s="203"/>
      <c r="AC8" s="203"/>
      <c r="AD8" s="203"/>
      <c r="AE8" s="203"/>
      <c r="AF8" s="203"/>
      <c r="AG8" s="204"/>
      <c r="AH8" s="135"/>
      <c r="AI8" s="205"/>
      <c r="AJ8" s="206"/>
      <c r="AK8" s="206"/>
      <c r="AL8" s="206"/>
      <c r="AM8" s="206"/>
      <c r="AN8" s="206"/>
      <c r="AO8" s="207"/>
      <c r="AP8" s="135"/>
      <c r="AQ8" s="208" t="s">
        <v>439</v>
      </c>
      <c r="AR8" s="209"/>
      <c r="AS8" s="209"/>
      <c r="AT8" s="209"/>
      <c r="AU8" s="209"/>
      <c r="AV8" s="209"/>
      <c r="AW8" s="210"/>
      <c r="AX8" s="135"/>
      <c r="AY8" s="140"/>
      <c r="AZ8" s="135"/>
      <c r="BA8" s="136"/>
      <c r="BB8" s="170" t="s">
        <v>48</v>
      </c>
      <c r="BC8" s="135"/>
      <c r="BD8" s="167" t="s">
        <v>33</v>
      </c>
      <c r="BE8" s="135"/>
      <c r="BF8" s="167" t="s">
        <v>34</v>
      </c>
      <c r="BG8" s="135"/>
      <c r="BH8" s="167" t="s">
        <v>35</v>
      </c>
      <c r="BI8" s="135"/>
      <c r="BJ8" s="163" t="s">
        <v>36</v>
      </c>
      <c r="BK8" s="135"/>
      <c r="BL8" s="169" t="s">
        <v>37</v>
      </c>
      <c r="BM8" s="140"/>
      <c r="BN8" s="135"/>
      <c r="BO8" s="214"/>
      <c r="BP8" s="215"/>
      <c r="BQ8" s="215"/>
      <c r="BR8" s="216"/>
      <c r="BS8" s="135"/>
      <c r="BT8" s="135"/>
      <c r="BU8" s="135"/>
      <c r="BV8" s="135"/>
      <c r="BW8" s="135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135"/>
    </row>
    <row r="9" spans="1:88" ht="10" customHeight="1" thickBot="1">
      <c r="A9" s="135"/>
      <c r="B9" s="141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  <c r="AV9" s="142"/>
      <c r="AW9" s="142"/>
      <c r="AX9" s="142"/>
      <c r="AY9" s="143"/>
      <c r="AZ9" s="135"/>
      <c r="BA9" s="141"/>
      <c r="BB9" s="142"/>
      <c r="BC9" s="142"/>
      <c r="BD9" s="142"/>
      <c r="BE9" s="142"/>
      <c r="BF9" s="142"/>
      <c r="BG9" s="142"/>
      <c r="BH9" s="142"/>
      <c r="BI9" s="142"/>
      <c r="BJ9" s="142"/>
      <c r="BK9" s="142"/>
      <c r="BL9" s="142"/>
      <c r="BM9" s="143"/>
      <c r="BN9" s="135"/>
      <c r="BO9" s="217"/>
      <c r="BP9" s="218"/>
      <c r="BQ9" s="218"/>
      <c r="BR9" s="219"/>
      <c r="BS9" s="135"/>
      <c r="BT9" s="135"/>
      <c r="BU9" s="135"/>
      <c r="BV9" s="135"/>
      <c r="BW9" s="135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135"/>
    </row>
    <row r="10" spans="1:88" ht="10" customHeight="1" thickBot="1">
      <c r="A10" s="135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35"/>
      <c r="CA10" s="135"/>
      <c r="CB10" s="135"/>
      <c r="CC10" s="135"/>
      <c r="CD10" s="135"/>
      <c r="CE10" s="135"/>
      <c r="CF10" s="135"/>
      <c r="CG10" s="135"/>
      <c r="CH10" s="135"/>
      <c r="CI10" s="135"/>
      <c r="CJ10" s="135"/>
    </row>
    <row r="11" spans="1:88" ht="10" customHeight="1">
      <c r="A11" s="135"/>
      <c r="B11" s="137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9"/>
      <c r="AZ11" s="135"/>
      <c r="BA11" s="137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38"/>
      <c r="BM11" s="138"/>
      <c r="BN11" s="138"/>
      <c r="BO11" s="138"/>
      <c r="BP11" s="138"/>
      <c r="BQ11" s="138"/>
      <c r="BR11" s="138"/>
      <c r="BS11" s="139"/>
      <c r="BT11" s="135"/>
      <c r="BU11" s="135"/>
      <c r="BV11" s="135"/>
      <c r="BW11" s="135"/>
      <c r="BX11" s="135"/>
      <c r="BY11" s="135"/>
      <c r="BZ11" s="135"/>
      <c r="CA11" s="135"/>
      <c r="CB11" s="135"/>
      <c r="CC11" s="135"/>
      <c r="CD11" s="135"/>
      <c r="CE11" s="135"/>
      <c r="CF11" s="135"/>
      <c r="CG11" s="135"/>
      <c r="CH11" s="135"/>
      <c r="CI11" s="135"/>
      <c r="CJ11" s="135"/>
    </row>
    <row r="12" spans="1:88" ht="15" customHeight="1">
      <c r="A12" s="135"/>
      <c r="B12" s="136"/>
      <c r="C12" s="196" t="s">
        <v>18</v>
      </c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40"/>
      <c r="AZ12" s="135"/>
      <c r="BA12" s="136"/>
      <c r="BB12" s="196" t="s">
        <v>19</v>
      </c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40"/>
      <c r="BT12" s="135"/>
      <c r="BU12" s="135"/>
      <c r="BV12" s="135"/>
      <c r="BW12" s="135"/>
      <c r="BX12" s="135"/>
      <c r="BY12" s="135"/>
      <c r="BZ12" s="135"/>
      <c r="CA12" s="135"/>
      <c r="CB12" s="135"/>
      <c r="CC12" s="135"/>
      <c r="CD12" s="135"/>
      <c r="CE12" s="135"/>
      <c r="CF12" s="135"/>
      <c r="CG12" s="135"/>
      <c r="CH12" s="135"/>
      <c r="CI12" s="135"/>
      <c r="CJ12" s="135"/>
    </row>
    <row r="13" spans="1:88" ht="13" customHeight="1">
      <c r="A13" s="135"/>
      <c r="B13" s="136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40"/>
      <c r="AZ13" s="135"/>
      <c r="BA13" s="136"/>
      <c r="BB13" s="135"/>
      <c r="BC13" s="135"/>
      <c r="BD13" s="135"/>
      <c r="BE13" s="135"/>
      <c r="BF13" s="135"/>
      <c r="BG13" s="135"/>
      <c r="BH13" s="135"/>
      <c r="BI13" s="135"/>
      <c r="BJ13" s="135"/>
      <c r="BK13" s="135"/>
      <c r="BL13" s="135"/>
      <c r="BM13" s="135"/>
      <c r="BN13" s="135"/>
      <c r="BO13" s="135"/>
      <c r="BP13" s="135"/>
      <c r="BQ13" s="135"/>
      <c r="BR13" s="135"/>
      <c r="BS13" s="140"/>
      <c r="BT13" s="135"/>
      <c r="BU13" s="135"/>
      <c r="BV13" s="135"/>
      <c r="BW13" s="135"/>
      <c r="BX13" s="135"/>
      <c r="BY13" s="135"/>
      <c r="BZ13" s="135"/>
      <c r="CA13" s="135"/>
      <c r="CB13" s="135"/>
      <c r="CC13" s="135"/>
      <c r="CD13" s="135"/>
      <c r="CE13" s="135"/>
      <c r="CF13" s="135"/>
      <c r="CG13" s="135"/>
      <c r="CH13" s="135"/>
      <c r="CI13" s="135"/>
      <c r="CJ13" s="135"/>
    </row>
    <row r="14" spans="1:88" ht="42" customHeight="1">
      <c r="A14" s="135"/>
      <c r="B14" s="136"/>
      <c r="C14" s="198">
        <v>1</v>
      </c>
      <c r="D14" s="301"/>
      <c r="E14" s="301"/>
      <c r="F14" s="301"/>
      <c r="G14" s="301"/>
      <c r="H14" s="301"/>
      <c r="I14" s="302"/>
      <c r="J14" s="135"/>
      <c r="K14" s="198">
        <v>2</v>
      </c>
      <c r="L14" s="301"/>
      <c r="M14" s="301"/>
      <c r="N14" s="301"/>
      <c r="O14" s="301"/>
      <c r="P14" s="301"/>
      <c r="Q14" s="302"/>
      <c r="R14" s="135"/>
      <c r="S14" s="198">
        <v>3</v>
      </c>
      <c r="T14" s="301"/>
      <c r="U14" s="301"/>
      <c r="V14" s="301"/>
      <c r="W14" s="301"/>
      <c r="X14" s="301"/>
      <c r="Y14" s="302"/>
      <c r="Z14" s="135"/>
      <c r="AA14" s="135"/>
      <c r="AB14" s="135"/>
      <c r="AC14" s="135"/>
      <c r="AD14" s="198">
        <v>9</v>
      </c>
      <c r="AE14" s="301"/>
      <c r="AF14" s="301"/>
      <c r="AG14" s="301"/>
      <c r="AH14" s="301"/>
      <c r="AI14" s="301"/>
      <c r="AJ14" s="302"/>
      <c r="AK14" s="135"/>
      <c r="AL14" s="135"/>
      <c r="AM14" s="135"/>
      <c r="AN14" s="135"/>
      <c r="AO14" s="135"/>
      <c r="AP14" s="198">
        <v>10</v>
      </c>
      <c r="AQ14" s="301"/>
      <c r="AR14" s="301"/>
      <c r="AS14" s="301"/>
      <c r="AT14" s="301"/>
      <c r="AU14" s="301"/>
      <c r="AV14" s="302"/>
      <c r="AW14" s="135"/>
      <c r="AX14" s="135"/>
      <c r="AY14" s="140"/>
      <c r="AZ14" s="135"/>
      <c r="BA14" s="136"/>
      <c r="BB14" s="170" t="s">
        <v>263</v>
      </c>
      <c r="BC14" s="135"/>
      <c r="BD14" s="164" t="s">
        <v>22</v>
      </c>
      <c r="BE14" s="135"/>
      <c r="BF14" s="164" t="s">
        <v>20</v>
      </c>
      <c r="BG14" s="135"/>
      <c r="BH14" s="164" t="s">
        <v>23</v>
      </c>
      <c r="BI14" s="135"/>
      <c r="BJ14" s="164" t="s">
        <v>24</v>
      </c>
      <c r="BK14" s="135"/>
      <c r="BL14" s="164" t="s">
        <v>21</v>
      </c>
      <c r="BM14" s="135"/>
      <c r="BN14" s="170" t="s">
        <v>221</v>
      </c>
      <c r="BO14" s="135"/>
      <c r="BP14" s="168" t="s">
        <v>25</v>
      </c>
      <c r="BQ14" s="135"/>
      <c r="BR14" s="168" t="s">
        <v>26</v>
      </c>
      <c r="BS14" s="140"/>
      <c r="BT14" s="135"/>
      <c r="BU14" s="135"/>
      <c r="BV14" s="135"/>
      <c r="BW14" s="135"/>
      <c r="BX14" s="135"/>
      <c r="BY14" s="135"/>
      <c r="BZ14" s="135"/>
      <c r="CA14" s="135"/>
      <c r="CB14" s="135"/>
      <c r="CC14" s="135"/>
      <c r="CD14" s="135"/>
      <c r="CE14" s="135"/>
      <c r="CF14" s="135"/>
      <c r="CG14" s="135"/>
      <c r="CH14" s="135"/>
      <c r="CI14" s="135"/>
      <c r="CJ14" s="135"/>
    </row>
    <row r="15" spans="1:88" ht="10" customHeight="1">
      <c r="A15" s="135"/>
      <c r="B15" s="136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40"/>
      <c r="AZ15" s="135"/>
      <c r="BA15" s="136"/>
      <c r="BB15" s="135"/>
      <c r="BC15" s="135"/>
      <c r="BD15" s="135"/>
      <c r="BE15" s="135"/>
      <c r="BF15" s="135"/>
      <c r="BG15" s="135"/>
      <c r="BH15" s="135"/>
      <c r="BI15" s="135"/>
      <c r="BJ15" s="135"/>
      <c r="BK15" s="135"/>
      <c r="BL15" s="135"/>
      <c r="BM15" s="135"/>
      <c r="BN15" s="135"/>
      <c r="BO15" s="135"/>
      <c r="BP15" s="135"/>
      <c r="BQ15" s="135"/>
      <c r="BR15" s="135"/>
      <c r="BS15" s="140"/>
      <c r="BT15" s="135"/>
      <c r="BU15" s="135"/>
      <c r="BV15" s="135"/>
      <c r="BW15" s="135"/>
      <c r="BX15" s="135"/>
      <c r="BY15" s="135"/>
      <c r="BZ15" s="135"/>
      <c r="CA15" s="135"/>
      <c r="CB15" s="135"/>
      <c r="CC15" s="135"/>
      <c r="CD15" s="135"/>
      <c r="CE15" s="135"/>
      <c r="CF15" s="135"/>
      <c r="CG15" s="135"/>
      <c r="CH15" s="135"/>
      <c r="CI15" s="135"/>
      <c r="CJ15" s="135"/>
    </row>
    <row r="16" spans="1:88" ht="42" customHeight="1">
      <c r="A16" s="135"/>
      <c r="B16" s="136"/>
      <c r="C16" s="135"/>
      <c r="D16" s="135"/>
      <c r="E16" s="135"/>
      <c r="F16" s="135"/>
      <c r="G16" s="198">
        <v>4</v>
      </c>
      <c r="H16" s="301"/>
      <c r="I16" s="301"/>
      <c r="J16" s="301"/>
      <c r="K16" s="301"/>
      <c r="L16" s="301"/>
      <c r="M16" s="302"/>
      <c r="N16" s="135"/>
      <c r="O16" s="198">
        <v>5</v>
      </c>
      <c r="P16" s="301"/>
      <c r="Q16" s="301"/>
      <c r="R16" s="301"/>
      <c r="S16" s="301"/>
      <c r="T16" s="301"/>
      <c r="U16" s="302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198">
        <v>12</v>
      </c>
      <c r="AG16" s="301"/>
      <c r="AH16" s="301"/>
      <c r="AI16" s="301"/>
      <c r="AJ16" s="301"/>
      <c r="AK16" s="301"/>
      <c r="AL16" s="302"/>
      <c r="AM16" s="135"/>
      <c r="AN16" s="198">
        <v>13</v>
      </c>
      <c r="AO16" s="301"/>
      <c r="AP16" s="301"/>
      <c r="AQ16" s="301"/>
      <c r="AR16" s="301"/>
      <c r="AS16" s="301"/>
      <c r="AT16" s="302"/>
      <c r="AU16" s="135"/>
      <c r="AV16" s="135"/>
      <c r="AW16" s="135"/>
      <c r="AX16" s="135"/>
      <c r="AY16" s="140"/>
      <c r="AZ16" s="135"/>
      <c r="BA16" s="136"/>
      <c r="BB16" s="170" t="s">
        <v>220</v>
      </c>
      <c r="BC16" s="135"/>
      <c r="BD16" s="168" t="s">
        <v>25</v>
      </c>
      <c r="BE16" s="135"/>
      <c r="BF16" s="168" t="s">
        <v>26</v>
      </c>
      <c r="BG16" s="135"/>
      <c r="BH16" s="164" t="s">
        <v>45</v>
      </c>
      <c r="BI16" s="135"/>
      <c r="BJ16" s="135"/>
      <c r="BK16" s="135"/>
      <c r="BL16" s="170" t="s">
        <v>279</v>
      </c>
      <c r="BM16" s="135"/>
      <c r="BN16" s="165" t="s">
        <v>241</v>
      </c>
      <c r="BO16" s="135"/>
      <c r="BP16" s="165" t="s">
        <v>277</v>
      </c>
      <c r="BQ16" s="135"/>
      <c r="BR16" s="165" t="s">
        <v>278</v>
      </c>
      <c r="BS16" s="140"/>
      <c r="BT16" s="135"/>
      <c r="BU16" s="135"/>
      <c r="BV16" s="135"/>
      <c r="BW16" s="135"/>
      <c r="BX16" s="135"/>
      <c r="BY16" s="135"/>
      <c r="BZ16" s="135"/>
      <c r="CA16" s="135"/>
      <c r="CB16" s="135"/>
      <c r="CC16" s="135"/>
      <c r="CD16" s="135"/>
      <c r="CE16" s="135"/>
      <c r="CF16" s="135"/>
      <c r="CG16" s="135"/>
      <c r="CH16" s="135"/>
      <c r="CI16" s="135"/>
      <c r="CJ16" s="135"/>
    </row>
    <row r="17" spans="1:88" ht="10" customHeight="1">
      <c r="A17" s="135"/>
      <c r="B17" s="136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40"/>
      <c r="AZ17" s="135"/>
      <c r="BA17" s="136"/>
      <c r="BB17" s="135"/>
      <c r="BC17" s="135"/>
      <c r="BD17" s="135"/>
      <c r="BE17" s="135"/>
      <c r="BF17" s="135"/>
      <c r="BG17" s="135"/>
      <c r="BH17" s="135"/>
      <c r="BI17" s="135"/>
      <c r="BJ17" s="135"/>
      <c r="BK17" s="135"/>
      <c r="BL17" s="135"/>
      <c r="BM17" s="135"/>
      <c r="BN17" s="135"/>
      <c r="BO17" s="135"/>
      <c r="BP17" s="135"/>
      <c r="BQ17" s="135"/>
      <c r="BR17" s="135"/>
      <c r="BS17" s="140"/>
      <c r="BT17" s="135"/>
      <c r="BU17" s="135"/>
      <c r="BV17" s="135"/>
      <c r="BW17" s="135"/>
      <c r="BX17" s="135"/>
      <c r="BY17" s="135"/>
      <c r="BZ17" s="135"/>
      <c r="CA17" s="135"/>
      <c r="CB17" s="135"/>
      <c r="CC17" s="135"/>
      <c r="CD17" s="135"/>
      <c r="CE17" s="135"/>
      <c r="CF17" s="135"/>
      <c r="CG17" s="135"/>
      <c r="CH17" s="135"/>
      <c r="CI17" s="135"/>
      <c r="CJ17" s="135"/>
    </row>
    <row r="18" spans="1:88" ht="42" customHeight="1">
      <c r="A18" s="135"/>
      <c r="B18" s="136"/>
      <c r="C18" s="198">
        <v>6</v>
      </c>
      <c r="D18" s="301"/>
      <c r="E18" s="301"/>
      <c r="F18" s="301"/>
      <c r="G18" s="301"/>
      <c r="H18" s="301"/>
      <c r="I18" s="302"/>
      <c r="J18" s="135"/>
      <c r="K18" s="198">
        <v>8</v>
      </c>
      <c r="L18" s="301"/>
      <c r="M18" s="301"/>
      <c r="N18" s="301"/>
      <c r="O18" s="301"/>
      <c r="P18" s="301"/>
      <c r="Q18" s="302"/>
      <c r="R18" s="135"/>
      <c r="S18" s="198">
        <v>7</v>
      </c>
      <c r="T18" s="301"/>
      <c r="U18" s="301"/>
      <c r="V18" s="301"/>
      <c r="W18" s="301"/>
      <c r="X18" s="301"/>
      <c r="Y18" s="302"/>
      <c r="Z18" s="135"/>
      <c r="AA18" s="135"/>
      <c r="AB18" s="198">
        <v>11</v>
      </c>
      <c r="AC18" s="301"/>
      <c r="AD18" s="301"/>
      <c r="AE18" s="301"/>
      <c r="AF18" s="301"/>
      <c r="AG18" s="301"/>
      <c r="AH18" s="302"/>
      <c r="AI18" s="135"/>
      <c r="AJ18" s="198">
        <v>15</v>
      </c>
      <c r="AK18" s="301"/>
      <c r="AL18" s="301"/>
      <c r="AM18" s="301"/>
      <c r="AN18" s="301"/>
      <c r="AO18" s="301"/>
      <c r="AP18" s="302"/>
      <c r="AQ18" s="135"/>
      <c r="AR18" s="198">
        <v>14</v>
      </c>
      <c r="AS18" s="301"/>
      <c r="AT18" s="301"/>
      <c r="AU18" s="301"/>
      <c r="AV18" s="301"/>
      <c r="AW18" s="301"/>
      <c r="AX18" s="302"/>
      <c r="AY18" s="140"/>
      <c r="AZ18" s="135"/>
      <c r="BA18" s="136"/>
      <c r="BB18" s="170" t="s">
        <v>124</v>
      </c>
      <c r="BC18" s="135"/>
      <c r="BD18" s="168" t="s">
        <v>125</v>
      </c>
      <c r="BE18" s="135"/>
      <c r="BF18" s="168" t="s">
        <v>126</v>
      </c>
      <c r="BG18" s="135"/>
      <c r="BH18" s="168" t="s">
        <v>127</v>
      </c>
      <c r="BI18" s="135"/>
      <c r="BJ18" s="168" t="s">
        <v>128</v>
      </c>
      <c r="BK18" s="135"/>
      <c r="BL18" s="164" t="s">
        <v>10</v>
      </c>
      <c r="BM18" s="135"/>
      <c r="BN18" s="164" t="s">
        <v>27</v>
      </c>
      <c r="BO18" s="135"/>
      <c r="BP18" s="164" t="s">
        <v>217</v>
      </c>
      <c r="BQ18" s="135"/>
      <c r="BR18" s="164" t="s">
        <v>272</v>
      </c>
      <c r="BS18" s="140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</row>
    <row r="19" spans="1:88" s="3" customFormat="1" ht="10" customHeight="1">
      <c r="A19" s="135"/>
      <c r="B19" s="136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40"/>
      <c r="AZ19" s="135"/>
      <c r="BA19" s="136"/>
      <c r="BB19" s="135"/>
      <c r="BC19" s="135"/>
      <c r="BD19" s="135"/>
      <c r="BE19" s="135"/>
      <c r="BF19" s="135"/>
      <c r="BG19" s="135"/>
      <c r="BH19" s="135"/>
      <c r="BI19" s="135"/>
      <c r="BJ19" s="135"/>
      <c r="BK19" s="135"/>
      <c r="BL19" s="135"/>
      <c r="BM19" s="135"/>
      <c r="BN19" s="135"/>
      <c r="BO19" s="135"/>
      <c r="BP19" s="135"/>
      <c r="BQ19" s="135"/>
      <c r="BR19" s="135"/>
      <c r="BS19" s="140"/>
      <c r="BT19" s="135"/>
      <c r="BU19" s="135"/>
      <c r="BV19" s="135"/>
      <c r="BW19" s="135"/>
      <c r="BX19" s="135"/>
      <c r="BY19" s="135"/>
      <c r="BZ19" s="135"/>
      <c r="CA19" s="135"/>
      <c r="CB19" s="135"/>
      <c r="CC19" s="135"/>
      <c r="CD19" s="135"/>
      <c r="CE19" s="135"/>
      <c r="CF19" s="135"/>
      <c r="CG19" s="135"/>
      <c r="CH19" s="135"/>
      <c r="CI19" s="135"/>
      <c r="CJ19" s="135"/>
    </row>
    <row r="20" spans="1:88" ht="42" customHeight="1">
      <c r="A20" s="135"/>
      <c r="B20" s="136"/>
      <c r="C20" s="135"/>
      <c r="D20" s="135"/>
      <c r="E20" s="135"/>
      <c r="F20" s="135"/>
      <c r="G20" s="135"/>
      <c r="H20" s="135"/>
      <c r="I20" s="135"/>
      <c r="J20" s="135"/>
      <c r="K20" s="193" t="s">
        <v>42</v>
      </c>
      <c r="L20" s="194"/>
      <c r="M20" s="194"/>
      <c r="N20" s="194"/>
      <c r="O20" s="194"/>
      <c r="P20" s="194"/>
      <c r="Q20" s="195"/>
      <c r="R20" s="135"/>
      <c r="S20" s="193" t="s">
        <v>152</v>
      </c>
      <c r="T20" s="194"/>
      <c r="U20" s="194"/>
      <c r="V20" s="194"/>
      <c r="W20" s="194"/>
      <c r="X20" s="194"/>
      <c r="Y20" s="195"/>
      <c r="Z20" s="135"/>
      <c r="AA20" s="135"/>
      <c r="AB20" s="193" t="s">
        <v>168</v>
      </c>
      <c r="AC20" s="194"/>
      <c r="AD20" s="194"/>
      <c r="AE20" s="194"/>
      <c r="AF20" s="194"/>
      <c r="AG20" s="194"/>
      <c r="AH20" s="195"/>
      <c r="AI20" s="135"/>
      <c r="AJ20" s="193" t="s">
        <v>32</v>
      </c>
      <c r="AK20" s="194"/>
      <c r="AL20" s="194"/>
      <c r="AM20" s="194"/>
      <c r="AN20" s="194"/>
      <c r="AO20" s="194"/>
      <c r="AP20" s="195"/>
      <c r="AQ20" s="135"/>
      <c r="AR20" s="135"/>
      <c r="AS20" s="135"/>
      <c r="AT20" s="135"/>
      <c r="AU20" s="135"/>
      <c r="AV20" s="135"/>
      <c r="AW20" s="135"/>
      <c r="AX20" s="135"/>
      <c r="AY20" s="140"/>
      <c r="AZ20" s="135"/>
      <c r="BA20" s="136"/>
      <c r="BB20" s="170" t="s">
        <v>65</v>
      </c>
      <c r="BC20" s="135"/>
      <c r="BD20" s="166" t="s">
        <v>156</v>
      </c>
      <c r="BE20" s="135"/>
      <c r="BF20" s="166" t="s">
        <v>157</v>
      </c>
      <c r="BG20" s="135"/>
      <c r="BH20" s="135"/>
      <c r="BI20" s="135"/>
      <c r="BJ20" s="170" t="s">
        <v>380</v>
      </c>
      <c r="BK20" s="135"/>
      <c r="BL20" s="166" t="s">
        <v>156</v>
      </c>
      <c r="BM20" s="135"/>
      <c r="BN20" s="166" t="s">
        <v>157</v>
      </c>
      <c r="BO20" s="135"/>
      <c r="BP20" s="135"/>
      <c r="BQ20" s="135"/>
      <c r="BR20" s="135"/>
      <c r="BS20" s="140"/>
      <c r="BT20" s="135"/>
      <c r="BU20" s="135"/>
      <c r="BV20" s="135"/>
      <c r="BW20" s="135"/>
      <c r="BX20" s="135"/>
      <c r="BY20" s="135"/>
      <c r="BZ20" s="135"/>
      <c r="CA20" s="135"/>
      <c r="CB20" s="135"/>
      <c r="CC20" s="135"/>
      <c r="CD20" s="135"/>
      <c r="CE20" s="135"/>
      <c r="CF20" s="135"/>
      <c r="CG20" s="135"/>
      <c r="CH20" s="135"/>
      <c r="CI20" s="135"/>
      <c r="CJ20" s="135"/>
    </row>
    <row r="21" spans="1:88" ht="10" customHeight="1" thickBot="1">
      <c r="A21" s="135"/>
      <c r="B21" s="141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3"/>
      <c r="AZ21" s="135"/>
      <c r="BA21" s="141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3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</row>
    <row r="22" spans="1:88" ht="10" customHeight="1" thickBot="1">
      <c r="A22" s="135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</row>
    <row r="23" spans="1:88" ht="10" customHeight="1">
      <c r="A23" s="135"/>
      <c r="B23" s="137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9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</row>
    <row r="24" spans="1:88" ht="15" customHeight="1">
      <c r="A24" s="135"/>
      <c r="B24" s="136"/>
      <c r="C24" s="196" t="s">
        <v>40</v>
      </c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140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</row>
    <row r="25" spans="1:88" s="3" customFormat="1" ht="10" customHeight="1">
      <c r="A25" s="135"/>
      <c r="B25" s="136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40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</row>
    <row r="26" spans="1:88" ht="15" customHeight="1">
      <c r="A26" s="135"/>
      <c r="B26" s="136"/>
      <c r="C26" s="223" t="s">
        <v>41</v>
      </c>
      <c r="D26" s="197"/>
      <c r="E26" s="197"/>
      <c r="F26" s="197"/>
      <c r="G26" s="197"/>
      <c r="H26" s="197"/>
      <c r="I26" s="197"/>
      <c r="J26" s="197"/>
      <c r="K26" s="197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40"/>
      <c r="AZ26" s="135"/>
      <c r="BA26" s="135"/>
      <c r="BB26" s="135"/>
      <c r="BC26" s="135"/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/>
      <c r="BO26" s="135"/>
      <c r="BP26" s="135"/>
      <c r="BQ26" s="135"/>
      <c r="BR26" s="135"/>
      <c r="BS26" s="135"/>
      <c r="BT26" s="135"/>
      <c r="BU26" s="135"/>
      <c r="BV26" s="135"/>
      <c r="BW26" s="135"/>
      <c r="BX26" s="135"/>
      <c r="BY26" s="135"/>
      <c r="BZ26" s="135"/>
      <c r="CA26" s="135"/>
      <c r="CB26" s="135"/>
      <c r="CC26" s="135"/>
      <c r="CD26" s="135"/>
      <c r="CE26" s="135"/>
      <c r="CF26" s="135"/>
      <c r="CG26" s="135"/>
      <c r="CH26" s="135"/>
      <c r="CI26" s="135"/>
      <c r="CJ26" s="135"/>
    </row>
    <row r="27" spans="1:88" ht="10" customHeight="1">
      <c r="A27" s="135"/>
      <c r="B27" s="136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40"/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/>
      <c r="BL27" s="135"/>
      <c r="BM27" s="135"/>
      <c r="BN27" s="135"/>
      <c r="BO27" s="135"/>
      <c r="BP27" s="135"/>
      <c r="BQ27" s="135"/>
      <c r="BR27" s="135"/>
      <c r="BS27" s="135"/>
      <c r="BT27" s="135"/>
      <c r="BU27" s="135"/>
      <c r="BV27" s="135"/>
      <c r="BW27" s="135"/>
      <c r="BX27" s="135"/>
      <c r="BY27" s="135"/>
      <c r="BZ27" s="135"/>
      <c r="CA27" s="135"/>
      <c r="CB27" s="135"/>
      <c r="CC27" s="135"/>
      <c r="CD27" s="135"/>
      <c r="CE27" s="135"/>
      <c r="CF27" s="135"/>
      <c r="CG27" s="135"/>
      <c r="CH27" s="135"/>
      <c r="CI27" s="135"/>
      <c r="CJ27" s="135"/>
    </row>
    <row r="28" spans="1:88" ht="42" customHeight="1">
      <c r="A28" s="135"/>
      <c r="B28" s="136"/>
      <c r="C28" s="224">
        <v>3.3638292141203702E-2</v>
      </c>
      <c r="D28" s="194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5"/>
      <c r="Q28" s="135"/>
      <c r="R28" s="225" t="s">
        <v>12</v>
      </c>
      <c r="S28" s="226"/>
      <c r="T28" s="226"/>
      <c r="U28" s="226"/>
      <c r="V28" s="226"/>
      <c r="W28" s="226"/>
      <c r="X28" s="227"/>
      <c r="Y28" s="135"/>
      <c r="Z28" s="225" t="s">
        <v>11</v>
      </c>
      <c r="AA28" s="226"/>
      <c r="AB28" s="226"/>
      <c r="AC28" s="226"/>
      <c r="AD28" s="226"/>
      <c r="AE28" s="226"/>
      <c r="AF28" s="227"/>
      <c r="AG28" s="135"/>
      <c r="AH28" s="225" t="s">
        <v>117</v>
      </c>
      <c r="AI28" s="226"/>
      <c r="AJ28" s="226"/>
      <c r="AK28" s="226"/>
      <c r="AL28" s="226"/>
      <c r="AM28" s="226"/>
      <c r="AN28" s="227"/>
      <c r="AO28" s="135"/>
      <c r="AP28" s="188" t="s">
        <v>13</v>
      </c>
      <c r="AQ28" s="189"/>
      <c r="AR28" s="189"/>
      <c r="AS28" s="189"/>
      <c r="AT28" s="189"/>
      <c r="AU28" s="189"/>
      <c r="AV28" s="190"/>
      <c r="AW28" s="135"/>
      <c r="AX28" s="135"/>
      <c r="AY28" s="140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/>
      <c r="BM28" s="135"/>
      <c r="BN28" s="135"/>
      <c r="BO28" s="135"/>
      <c r="BP28" s="135"/>
      <c r="BQ28" s="135"/>
      <c r="BR28" s="135"/>
      <c r="BS28" s="135"/>
      <c r="BT28" s="135"/>
      <c r="BU28" s="135"/>
      <c r="BV28" s="135"/>
      <c r="BW28" s="135"/>
      <c r="BX28" s="135"/>
      <c r="BY28" s="135"/>
      <c r="BZ28" s="135"/>
      <c r="CA28" s="135"/>
      <c r="CB28" s="135"/>
      <c r="CC28" s="135"/>
      <c r="CD28" s="135"/>
      <c r="CE28" s="135"/>
      <c r="CF28" s="135"/>
      <c r="CG28" s="135"/>
      <c r="CH28" s="135"/>
      <c r="CI28" s="135"/>
      <c r="CJ28" s="135"/>
    </row>
    <row r="29" spans="1:88" ht="90" customHeight="1" thickBot="1">
      <c r="A29" s="135"/>
      <c r="B29" s="141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3"/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/>
      <c r="BO29" s="135"/>
      <c r="BP29" s="135"/>
      <c r="BQ29" s="135"/>
      <c r="BR29" s="135"/>
      <c r="BS29" s="135"/>
      <c r="BT29" s="135"/>
      <c r="BU29" s="135"/>
      <c r="BV29" s="135"/>
      <c r="BW29" s="135"/>
      <c r="BX29" s="135"/>
      <c r="BY29" s="135"/>
      <c r="BZ29" s="135"/>
      <c r="CA29" s="135"/>
      <c r="CB29" s="135"/>
      <c r="CC29" s="135"/>
      <c r="CD29" s="135"/>
      <c r="CE29" s="135"/>
      <c r="CF29" s="135"/>
      <c r="CG29" s="135"/>
      <c r="CH29" s="135"/>
      <c r="CI29" s="135"/>
      <c r="CJ29" s="135"/>
    </row>
    <row r="30" spans="1:88" ht="106" customHeight="1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/>
      <c r="BO30" s="135"/>
      <c r="BP30" s="135"/>
      <c r="BQ30" s="135"/>
      <c r="BR30" s="135"/>
      <c r="BS30" s="135"/>
      <c r="BT30" s="135"/>
      <c r="BU30" s="135"/>
      <c r="BV30" s="135"/>
      <c r="BW30" s="135"/>
      <c r="BX30" s="135"/>
      <c r="BY30" s="135"/>
      <c r="BZ30" s="135"/>
      <c r="CA30" s="135"/>
      <c r="CB30" s="135"/>
      <c r="CC30" s="135"/>
      <c r="CD30" s="135"/>
      <c r="CE30" s="135"/>
      <c r="CF30" s="135"/>
      <c r="CG30" s="135"/>
      <c r="CH30" s="135"/>
      <c r="CI30" s="135"/>
      <c r="CJ30" s="135"/>
    </row>
    <row r="31" spans="1:88" ht="10" customHeight="1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/>
      <c r="BO31" s="135"/>
      <c r="BP31" s="135"/>
      <c r="BQ31" s="135"/>
      <c r="BR31" s="135"/>
      <c r="BS31" s="135"/>
      <c r="BT31" s="135"/>
      <c r="BU31" s="135"/>
      <c r="BV31" s="135"/>
      <c r="BW31" s="135"/>
      <c r="BX31" s="135"/>
      <c r="BY31" s="135"/>
      <c r="BZ31" s="135"/>
      <c r="CA31" s="135"/>
      <c r="CB31" s="135"/>
      <c r="CC31" s="135"/>
      <c r="CD31" s="135"/>
      <c r="CE31" s="135"/>
      <c r="CF31" s="135"/>
      <c r="CG31" s="135"/>
      <c r="CH31" s="135"/>
      <c r="CI31" s="135"/>
      <c r="CJ31" s="135"/>
    </row>
    <row r="32" spans="1:88" ht="10" customHeight="1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  <c r="BA32" s="135"/>
      <c r="BB32" s="135"/>
      <c r="BC32" s="135"/>
      <c r="BD32" s="135"/>
      <c r="BE32" s="135"/>
      <c r="BF32" s="135"/>
      <c r="BG32" s="135"/>
      <c r="BH32" s="135"/>
      <c r="BI32" s="135"/>
      <c r="BJ32" s="135"/>
      <c r="BK32" s="135"/>
      <c r="BL32" s="135"/>
      <c r="BM32" s="135"/>
      <c r="BN32" s="135"/>
      <c r="BO32" s="135"/>
      <c r="BP32" s="135"/>
      <c r="BQ32" s="135"/>
      <c r="BR32" s="135"/>
      <c r="BS32" s="135"/>
      <c r="BT32" s="135"/>
      <c r="BU32" s="135"/>
      <c r="BV32" s="135"/>
      <c r="BW32" s="135"/>
      <c r="BX32" s="135"/>
      <c r="BY32" s="135"/>
      <c r="BZ32" s="135"/>
      <c r="CA32" s="135"/>
      <c r="CB32" s="135"/>
      <c r="CC32" s="135"/>
      <c r="CD32" s="135"/>
      <c r="CE32" s="135"/>
      <c r="CF32" s="135"/>
      <c r="CG32" s="135"/>
      <c r="CH32" s="135"/>
      <c r="CI32" s="135"/>
      <c r="CJ32" s="135"/>
    </row>
    <row r="33" spans="1:88" ht="15" customHeight="1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  <c r="BA33" s="135"/>
      <c r="BB33" s="135"/>
      <c r="BC33" s="135"/>
      <c r="BD33" s="135"/>
      <c r="BE33" s="135"/>
      <c r="BF33" s="135"/>
      <c r="BG33" s="135"/>
      <c r="BH33" s="135"/>
      <c r="BI33" s="135"/>
      <c r="BJ33" s="135"/>
      <c r="BK33" s="135"/>
      <c r="BL33" s="135"/>
      <c r="BM33" s="135"/>
      <c r="BN33" s="135"/>
      <c r="BO33" s="135"/>
      <c r="BP33" s="135"/>
      <c r="BQ33" s="135"/>
      <c r="BR33" s="135"/>
      <c r="BS33" s="135"/>
      <c r="BT33" s="135"/>
      <c r="BU33" s="135"/>
      <c r="BV33" s="135"/>
      <c r="BW33" s="135"/>
      <c r="BX33" s="135"/>
      <c r="BY33" s="135"/>
      <c r="BZ33" s="135"/>
      <c r="CA33" s="135"/>
      <c r="CB33" s="135"/>
      <c r="CC33" s="135"/>
      <c r="CD33" s="135"/>
      <c r="CE33" s="135"/>
      <c r="CF33" s="135"/>
      <c r="CG33" s="135"/>
      <c r="CH33" s="135"/>
      <c r="CI33" s="135"/>
      <c r="CJ33" s="135"/>
    </row>
    <row r="34" spans="1:88" ht="1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5"/>
      <c r="BK34" s="135"/>
      <c r="BL34" s="135"/>
      <c r="BM34" s="135"/>
      <c r="BN34" s="135"/>
      <c r="BO34" s="135"/>
      <c r="BP34" s="135"/>
      <c r="BQ34" s="135"/>
      <c r="BR34" s="135"/>
      <c r="BS34" s="135"/>
      <c r="BT34" s="135"/>
      <c r="BU34" s="135"/>
      <c r="BV34" s="135"/>
      <c r="BW34" s="135"/>
      <c r="BX34" s="135"/>
      <c r="BY34" s="135"/>
      <c r="BZ34" s="135"/>
      <c r="CA34" s="135"/>
      <c r="CB34" s="135"/>
      <c r="CC34" s="135"/>
      <c r="CD34" s="135"/>
      <c r="CE34" s="135"/>
      <c r="CF34" s="135"/>
      <c r="CG34" s="135"/>
      <c r="CH34" s="135"/>
      <c r="CI34" s="135"/>
      <c r="CJ34" s="135"/>
    </row>
    <row r="35" spans="1:88" ht="15" customHeight="1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135"/>
      <c r="BK35" s="135"/>
      <c r="BL35" s="135"/>
      <c r="BM35" s="135"/>
      <c r="BN35" s="135"/>
      <c r="BO35" s="135"/>
      <c r="BP35" s="135"/>
      <c r="BQ35" s="135"/>
      <c r="BR35" s="135"/>
      <c r="BS35" s="135"/>
      <c r="BT35" s="135"/>
      <c r="BU35" s="135"/>
      <c r="BV35" s="135"/>
      <c r="BW35" s="135"/>
      <c r="BX35" s="135"/>
      <c r="BY35" s="135"/>
      <c r="BZ35" s="135"/>
      <c r="CA35" s="135"/>
      <c r="CB35" s="135"/>
      <c r="CC35" s="135"/>
      <c r="CD35" s="135"/>
      <c r="CE35" s="135"/>
      <c r="CF35" s="135"/>
      <c r="CG35" s="135"/>
      <c r="CH35" s="135"/>
      <c r="CI35" s="135"/>
      <c r="CJ35" s="135"/>
    </row>
    <row r="36" spans="1:88" ht="15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5"/>
      <c r="BQ36" s="135"/>
      <c r="BR36" s="135"/>
      <c r="BS36" s="135"/>
      <c r="BT36" s="135"/>
      <c r="BU36" s="135"/>
      <c r="BV36" s="135"/>
      <c r="BW36" s="135"/>
      <c r="BX36" s="135"/>
      <c r="BY36" s="135"/>
      <c r="BZ36" s="135"/>
      <c r="CA36" s="135"/>
      <c r="CB36" s="135"/>
      <c r="CC36" s="135"/>
      <c r="CD36" s="135"/>
      <c r="CE36" s="135"/>
      <c r="CF36" s="135"/>
      <c r="CG36" s="135"/>
      <c r="CH36" s="135"/>
      <c r="CI36" s="135"/>
      <c r="CJ36" s="135"/>
    </row>
    <row r="37" spans="1:88" ht="15" customHeight="1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  <c r="BS37" s="135"/>
      <c r="BT37" s="135"/>
      <c r="BU37" s="135"/>
      <c r="BV37" s="135"/>
      <c r="BW37" s="135"/>
      <c r="BX37" s="135"/>
      <c r="BY37" s="135"/>
      <c r="BZ37" s="135"/>
      <c r="CA37" s="135"/>
      <c r="CB37" s="135"/>
      <c r="CC37" s="135"/>
      <c r="CD37" s="135"/>
      <c r="CE37" s="135"/>
      <c r="CF37" s="135"/>
      <c r="CG37" s="135"/>
      <c r="CH37" s="135"/>
      <c r="CI37" s="135"/>
      <c r="CJ37" s="135"/>
    </row>
    <row r="38" spans="1:88" ht="15" customHeight="1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5"/>
      <c r="BQ38" s="135"/>
      <c r="BR38" s="135"/>
      <c r="BS38" s="135"/>
      <c r="BT38" s="135"/>
      <c r="BU38" s="135"/>
      <c r="BV38" s="135"/>
      <c r="BW38" s="135"/>
      <c r="BX38" s="135"/>
      <c r="BY38" s="135"/>
      <c r="BZ38" s="135"/>
      <c r="CA38" s="135"/>
      <c r="CB38" s="135"/>
      <c r="CC38" s="135"/>
      <c r="CD38" s="135"/>
      <c r="CE38" s="135"/>
      <c r="CF38" s="135"/>
      <c r="CG38" s="135"/>
      <c r="CH38" s="135"/>
      <c r="CI38" s="135"/>
      <c r="CJ38" s="135"/>
    </row>
    <row r="39" spans="1:88" ht="15" customHeight="1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5"/>
      <c r="BQ39" s="135"/>
      <c r="BR39" s="135"/>
      <c r="BS39" s="135"/>
      <c r="BT39" s="135"/>
      <c r="BU39" s="135"/>
      <c r="BV39" s="135"/>
      <c r="BW39" s="135"/>
      <c r="BX39" s="135"/>
      <c r="BY39" s="135"/>
      <c r="BZ39" s="135"/>
      <c r="CA39" s="135"/>
      <c r="CB39" s="135"/>
      <c r="CC39" s="135"/>
      <c r="CD39" s="135"/>
      <c r="CE39" s="135"/>
      <c r="CF39" s="135"/>
      <c r="CG39" s="135"/>
      <c r="CH39" s="135"/>
      <c r="CI39" s="135"/>
      <c r="CJ39" s="135"/>
    </row>
    <row r="40" spans="1:88" ht="15" customHeight="1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5"/>
      <c r="BQ40" s="135"/>
      <c r="BR40" s="135"/>
      <c r="BS40" s="135"/>
      <c r="BT40" s="135"/>
      <c r="BU40" s="135"/>
      <c r="BV40" s="135"/>
      <c r="BW40" s="135"/>
      <c r="BX40" s="135"/>
      <c r="BY40" s="135"/>
      <c r="BZ40" s="135"/>
      <c r="CA40" s="135"/>
      <c r="CB40" s="135"/>
      <c r="CC40" s="135"/>
      <c r="CD40" s="135"/>
      <c r="CE40" s="135"/>
      <c r="CF40" s="135"/>
      <c r="CG40" s="135"/>
      <c r="CH40" s="135"/>
      <c r="CI40" s="135"/>
      <c r="CJ40" s="135"/>
    </row>
    <row r="41" spans="1:88" ht="15" customHeight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J41" s="135"/>
      <c r="BK41" s="135"/>
      <c r="BL41" s="135"/>
      <c r="BM41" s="135"/>
      <c r="BN41" s="135"/>
      <c r="BO41" s="135"/>
      <c r="BP41" s="135"/>
      <c r="BQ41" s="135"/>
      <c r="BR41" s="135"/>
      <c r="BS41" s="135"/>
      <c r="BT41" s="135"/>
      <c r="BU41" s="135"/>
      <c r="BV41" s="135"/>
      <c r="BW41" s="135"/>
      <c r="BX41" s="135"/>
      <c r="BY41" s="135"/>
      <c r="BZ41" s="135"/>
      <c r="CA41" s="135"/>
      <c r="CB41" s="135"/>
      <c r="CC41" s="135"/>
      <c r="CD41" s="135"/>
      <c r="CE41" s="135"/>
      <c r="CF41" s="135"/>
      <c r="CG41" s="135"/>
      <c r="CH41" s="135"/>
      <c r="CI41" s="135"/>
      <c r="CJ41" s="135"/>
    </row>
    <row r="42" spans="1:88" ht="15" customHeight="1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5"/>
      <c r="BK42" s="135"/>
      <c r="BL42" s="135"/>
      <c r="BM42" s="135"/>
      <c r="BN42" s="135"/>
      <c r="BO42" s="135"/>
      <c r="BP42" s="135"/>
      <c r="BQ42" s="135"/>
      <c r="BR42" s="135"/>
      <c r="BS42" s="135"/>
      <c r="BT42" s="135"/>
      <c r="BU42" s="135"/>
      <c r="BV42" s="135"/>
      <c r="BW42" s="135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</row>
    <row r="43" spans="1:88" s="3" customFormat="1" ht="15" customHeight="1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  <c r="BA43" s="135"/>
      <c r="BB43" s="135"/>
      <c r="BC43" s="135"/>
      <c r="BD43" s="135"/>
      <c r="BE43" s="135"/>
      <c r="BF43" s="135"/>
      <c r="BG43" s="135"/>
      <c r="BH43" s="135"/>
      <c r="BI43" s="135"/>
      <c r="BJ43" s="135"/>
      <c r="BK43" s="135"/>
      <c r="BL43" s="135"/>
      <c r="BM43" s="135"/>
      <c r="BN43" s="135"/>
      <c r="BO43" s="135"/>
      <c r="BP43" s="135"/>
      <c r="BQ43" s="135"/>
      <c r="BR43" s="135"/>
      <c r="BS43" s="135"/>
      <c r="BT43" s="135"/>
      <c r="BU43" s="135"/>
      <c r="BV43" s="135"/>
      <c r="BW43" s="135"/>
      <c r="BX43" s="135"/>
      <c r="BY43" s="135"/>
      <c r="BZ43" s="135"/>
      <c r="CA43" s="135"/>
      <c r="CB43" s="135"/>
      <c r="CC43" s="135"/>
      <c r="CD43" s="135"/>
      <c r="CE43" s="135"/>
      <c r="CF43" s="135"/>
      <c r="CG43" s="135"/>
      <c r="CH43" s="135"/>
      <c r="CI43" s="135"/>
      <c r="CJ43" s="135"/>
    </row>
    <row r="44" spans="1:88" ht="15" customHeight="1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  <c r="BC44" s="135"/>
      <c r="BD44" s="135"/>
      <c r="BE44" s="135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5"/>
      <c r="BQ44" s="135"/>
      <c r="BR44" s="135"/>
      <c r="BS44" s="135"/>
      <c r="BT44" s="135"/>
      <c r="BU44" s="135"/>
      <c r="BV44" s="135"/>
      <c r="BW44" s="135"/>
      <c r="BX44" s="135"/>
      <c r="BY44" s="135"/>
      <c r="BZ44" s="135"/>
      <c r="CA44" s="135"/>
      <c r="CB44" s="135"/>
      <c r="CC44" s="135"/>
      <c r="CD44" s="135"/>
      <c r="CE44" s="135"/>
      <c r="CF44" s="135"/>
      <c r="CG44" s="135"/>
      <c r="CH44" s="135"/>
      <c r="CI44" s="135"/>
      <c r="CJ44" s="135"/>
    </row>
    <row r="45" spans="1:88" ht="15" customHeight="1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5"/>
      <c r="AT45" s="135"/>
      <c r="AU45" s="135"/>
      <c r="AV45" s="135"/>
      <c r="AW45" s="135"/>
      <c r="AX45" s="135"/>
      <c r="AY45" s="135"/>
      <c r="AZ45" s="135"/>
      <c r="BA45" s="135"/>
      <c r="BB45" s="135"/>
      <c r="BC45" s="135"/>
      <c r="BD45" s="135"/>
      <c r="BE45" s="135"/>
      <c r="BF45" s="135"/>
      <c r="BG45" s="135"/>
      <c r="BH45" s="135"/>
      <c r="BI45" s="135"/>
      <c r="BJ45" s="135"/>
      <c r="BK45" s="135"/>
      <c r="BL45" s="135"/>
      <c r="BM45" s="135"/>
      <c r="BN45" s="135"/>
      <c r="BO45" s="135"/>
      <c r="BP45" s="135"/>
      <c r="BQ45" s="135"/>
      <c r="BR45" s="135"/>
      <c r="BS45" s="135"/>
      <c r="BT45" s="135"/>
      <c r="BU45" s="135"/>
      <c r="BV45" s="135"/>
      <c r="BW45" s="135"/>
      <c r="BX45" s="135"/>
      <c r="BY45" s="135"/>
      <c r="BZ45" s="135"/>
      <c r="CA45" s="135"/>
      <c r="CB45" s="135"/>
      <c r="CC45" s="135"/>
      <c r="CD45" s="135"/>
      <c r="CE45" s="135"/>
      <c r="CF45" s="135"/>
      <c r="CG45" s="135"/>
      <c r="CH45" s="135"/>
      <c r="CI45" s="135"/>
      <c r="CJ45" s="135"/>
    </row>
    <row r="46" spans="1:88" ht="15" customHeight="1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  <c r="BT46" s="135"/>
      <c r="BU46" s="135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</row>
    <row r="47" spans="1:88" ht="15" customHeight="1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5"/>
      <c r="BQ47" s="135"/>
      <c r="BR47" s="135"/>
      <c r="BS47" s="135"/>
      <c r="BT47" s="135"/>
      <c r="BU47" s="135"/>
      <c r="BV47" s="135"/>
      <c r="BW47" s="135"/>
      <c r="BX47" s="135"/>
      <c r="BY47" s="135"/>
      <c r="BZ47" s="135"/>
      <c r="CA47" s="135"/>
      <c r="CB47" s="135"/>
      <c r="CC47" s="135"/>
      <c r="CD47" s="135"/>
      <c r="CE47" s="135"/>
      <c r="CF47" s="135"/>
      <c r="CG47" s="135"/>
      <c r="CH47" s="135"/>
      <c r="CI47" s="135"/>
      <c r="CJ47" s="135"/>
    </row>
    <row r="48" spans="1:88" ht="15" customHeight="1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5"/>
      <c r="BQ48" s="135"/>
      <c r="BR48" s="135"/>
      <c r="BS48" s="135"/>
      <c r="BT48" s="135"/>
      <c r="BU48" s="135"/>
      <c r="BV48" s="135"/>
      <c r="BW48" s="135"/>
      <c r="BX48" s="135"/>
      <c r="BY48" s="135"/>
      <c r="BZ48" s="135"/>
      <c r="CA48" s="135"/>
      <c r="CB48" s="135"/>
      <c r="CC48" s="135"/>
      <c r="CD48" s="135"/>
      <c r="CE48" s="135"/>
      <c r="CF48" s="135"/>
      <c r="CG48" s="135"/>
      <c r="CH48" s="135"/>
      <c r="CI48" s="135"/>
      <c r="CJ48" s="135"/>
    </row>
    <row r="49" spans="1:88" ht="15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5"/>
      <c r="BQ49" s="135"/>
      <c r="BR49" s="135"/>
      <c r="BS49" s="135"/>
      <c r="BT49" s="135"/>
      <c r="BU49" s="135"/>
      <c r="BV49" s="135"/>
      <c r="BW49" s="135"/>
      <c r="BX49" s="135"/>
      <c r="BY49" s="135"/>
      <c r="BZ49" s="135"/>
      <c r="CA49" s="135"/>
      <c r="CB49" s="135"/>
      <c r="CC49" s="135"/>
      <c r="CD49" s="135"/>
      <c r="CE49" s="135"/>
      <c r="CF49" s="135"/>
      <c r="CG49" s="135"/>
      <c r="CH49" s="135"/>
      <c r="CI49" s="135"/>
      <c r="CJ49" s="135"/>
    </row>
    <row r="50" spans="1:88" ht="15" customHeight="1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  <c r="BA50" s="135"/>
      <c r="BB50" s="135"/>
      <c r="BC50" s="135"/>
      <c r="BD50" s="135"/>
      <c r="BE50" s="135"/>
      <c r="BF50" s="135"/>
      <c r="BG50" s="135"/>
      <c r="BH50" s="135"/>
      <c r="BI50" s="135"/>
      <c r="BJ50" s="135"/>
      <c r="BK50" s="135"/>
      <c r="BL50" s="135"/>
      <c r="BM50" s="135"/>
      <c r="BN50" s="135"/>
      <c r="BO50" s="135"/>
      <c r="BP50" s="135"/>
      <c r="BQ50" s="135"/>
      <c r="BR50" s="135"/>
      <c r="BS50" s="135"/>
      <c r="BT50" s="135"/>
      <c r="BU50" s="135"/>
      <c r="BV50" s="135"/>
      <c r="BW50" s="135"/>
      <c r="BX50" s="135"/>
      <c r="BY50" s="135"/>
      <c r="BZ50" s="135"/>
      <c r="CA50" s="135"/>
      <c r="CB50" s="135"/>
      <c r="CC50" s="135"/>
      <c r="CD50" s="135"/>
      <c r="CE50" s="135"/>
      <c r="CF50" s="135"/>
      <c r="CG50" s="135"/>
      <c r="CH50" s="135"/>
      <c r="CI50" s="135"/>
      <c r="CJ50" s="135"/>
    </row>
    <row r="51" spans="1:88" ht="15" customHeight="1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5"/>
      <c r="BQ51" s="135"/>
      <c r="BR51" s="135"/>
      <c r="BS51" s="135"/>
      <c r="BT51" s="135"/>
      <c r="BU51" s="135"/>
      <c r="BV51" s="135"/>
      <c r="BW51" s="135"/>
      <c r="BX51" s="135"/>
      <c r="BY51" s="135"/>
      <c r="BZ51" s="135"/>
      <c r="CA51" s="135"/>
      <c r="CB51" s="135"/>
      <c r="CC51" s="135"/>
      <c r="CD51" s="135"/>
      <c r="CE51" s="135"/>
      <c r="CF51" s="135"/>
      <c r="CG51" s="135"/>
      <c r="CH51" s="135"/>
      <c r="CI51" s="135"/>
      <c r="CJ51" s="135"/>
    </row>
    <row r="52" spans="1:88" ht="15" customHeight="1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5"/>
      <c r="AY52" s="135"/>
      <c r="AZ52" s="135"/>
      <c r="BA52" s="135"/>
      <c r="BB52" s="135"/>
      <c r="BC52" s="135"/>
      <c r="BD52" s="135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5"/>
      <c r="BQ52" s="135"/>
      <c r="BR52" s="135"/>
      <c r="BS52" s="135"/>
      <c r="BT52" s="135"/>
      <c r="BU52" s="135"/>
      <c r="BV52" s="135"/>
      <c r="BW52" s="135"/>
      <c r="BX52" s="135"/>
      <c r="BY52" s="135"/>
      <c r="BZ52" s="135"/>
      <c r="CA52" s="135"/>
      <c r="CB52" s="135"/>
      <c r="CC52" s="135"/>
      <c r="CD52" s="135"/>
      <c r="CE52" s="135"/>
      <c r="CF52" s="135"/>
      <c r="CG52" s="135"/>
      <c r="CH52" s="135"/>
      <c r="CI52" s="135"/>
      <c r="CJ52" s="135"/>
    </row>
    <row r="53" spans="1:88" s="3" customFormat="1" ht="15" customHeight="1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5"/>
      <c r="AY53" s="135"/>
      <c r="AZ53" s="135"/>
      <c r="BA53" s="135"/>
      <c r="BB53" s="135"/>
      <c r="BC53" s="135"/>
      <c r="BD53" s="135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5"/>
      <c r="BQ53" s="135"/>
      <c r="BR53" s="135"/>
      <c r="BS53" s="135"/>
      <c r="BT53" s="135"/>
      <c r="BU53" s="135"/>
      <c r="BV53" s="135"/>
      <c r="BW53" s="135"/>
      <c r="BX53" s="135"/>
      <c r="BY53" s="135"/>
      <c r="BZ53" s="135"/>
      <c r="CA53" s="135"/>
      <c r="CB53" s="135"/>
      <c r="CC53" s="135"/>
      <c r="CD53" s="135"/>
      <c r="CE53" s="135"/>
      <c r="CF53" s="135"/>
      <c r="CG53" s="135"/>
      <c r="CH53" s="135"/>
      <c r="CI53" s="135"/>
      <c r="CJ53" s="135"/>
    </row>
    <row r="54" spans="1:88" s="3" customFormat="1" ht="13" customHeight="1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</row>
    <row r="55" spans="1:88" s="3" customFormat="1" ht="13" customHeight="1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/>
      <c r="BP55" s="135"/>
      <c r="BQ55" s="135"/>
      <c r="BR55" s="135"/>
      <c r="BS55" s="135"/>
      <c r="BT55" s="135"/>
      <c r="BU55" s="135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</row>
    <row r="56" spans="1:88" s="3" customFormat="1" ht="13" customHeight="1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/>
      <c r="BP56" s="135"/>
      <c r="BQ56" s="135"/>
      <c r="BR56" s="135"/>
      <c r="BS56" s="135"/>
      <c r="BT56" s="135"/>
      <c r="BU56" s="135"/>
      <c r="BV56" s="135"/>
      <c r="BW56" s="135"/>
      <c r="BX56" s="135"/>
      <c r="BY56" s="135"/>
      <c r="BZ56" s="135"/>
      <c r="CA56" s="135"/>
      <c r="CB56" s="135"/>
      <c r="CC56" s="135"/>
      <c r="CD56" s="135"/>
      <c r="CE56" s="135"/>
      <c r="CF56" s="135"/>
      <c r="CG56" s="135"/>
      <c r="CH56" s="135"/>
      <c r="CI56" s="135"/>
      <c r="CJ56" s="135"/>
    </row>
    <row r="57" spans="1:88" s="3" customFormat="1" ht="13" customHeight="1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</row>
    <row r="58" spans="1:88" s="3" customFormat="1" ht="13" customHeight="1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  <c r="BA58" s="135"/>
      <c r="BB58" s="135"/>
      <c r="BC58" s="135"/>
      <c r="BD58" s="135"/>
      <c r="BE58" s="135"/>
      <c r="BF58" s="135"/>
      <c r="BG58" s="135"/>
      <c r="BH58" s="135"/>
      <c r="BI58" s="135"/>
      <c r="BJ58" s="135"/>
      <c r="BK58" s="135"/>
      <c r="BL58" s="135"/>
      <c r="BM58" s="135"/>
      <c r="BN58" s="135"/>
      <c r="BO58" s="135"/>
      <c r="BP58" s="135"/>
      <c r="BQ58" s="135"/>
      <c r="BR58" s="135"/>
      <c r="BS58" s="135"/>
      <c r="BT58" s="135"/>
      <c r="BU58" s="135"/>
      <c r="BV58" s="135"/>
      <c r="BW58" s="135"/>
      <c r="BX58" s="135"/>
      <c r="BY58" s="135"/>
      <c r="BZ58" s="135"/>
      <c r="CA58" s="135"/>
      <c r="CB58" s="135"/>
      <c r="CC58" s="135"/>
      <c r="CD58" s="135"/>
      <c r="CE58" s="135"/>
      <c r="CF58" s="135"/>
      <c r="CG58" s="135"/>
      <c r="CH58" s="135"/>
      <c r="CI58" s="135"/>
      <c r="CJ58" s="135"/>
    </row>
    <row r="59" spans="1:88" s="3" customFormat="1" ht="13" customHeight="1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5"/>
      <c r="BQ59" s="135"/>
      <c r="BR59" s="135"/>
      <c r="BS59" s="135"/>
      <c r="BT59" s="135"/>
      <c r="BU59" s="135"/>
      <c r="BV59" s="135"/>
      <c r="BW59" s="135"/>
      <c r="BX59" s="135"/>
      <c r="BY59" s="135"/>
      <c r="BZ59" s="135"/>
      <c r="CA59" s="135"/>
      <c r="CB59" s="135"/>
      <c r="CC59" s="135"/>
      <c r="CD59" s="135"/>
      <c r="CE59" s="135"/>
      <c r="CF59" s="135"/>
      <c r="CG59" s="135"/>
      <c r="CH59" s="135"/>
      <c r="CI59" s="135"/>
      <c r="CJ59" s="135"/>
    </row>
    <row r="60" spans="1:88" s="3" customFormat="1" ht="13" customHeight="1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5"/>
      <c r="AY60" s="135"/>
      <c r="AZ60" s="135"/>
      <c r="BA60" s="135"/>
      <c r="BB60" s="135"/>
      <c r="BC60" s="135"/>
      <c r="BD60" s="135"/>
      <c r="BE60" s="135"/>
      <c r="BF60" s="135"/>
      <c r="BG60" s="135"/>
      <c r="BH60" s="135"/>
      <c r="BI60" s="135"/>
      <c r="BJ60" s="135"/>
      <c r="BK60" s="135"/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  <c r="BV60" s="135"/>
      <c r="BW60" s="135"/>
      <c r="BX60" s="135"/>
      <c r="BY60" s="135"/>
      <c r="BZ60" s="135"/>
      <c r="CA60" s="135"/>
      <c r="CB60" s="135"/>
      <c r="CC60" s="135"/>
      <c r="CD60" s="135"/>
      <c r="CE60" s="135"/>
      <c r="CF60" s="135"/>
      <c r="CG60" s="135"/>
      <c r="CH60" s="135"/>
      <c r="CI60" s="135"/>
      <c r="CJ60" s="135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43" sqref="C43"/>
    </sheetView>
    <sheetView tabSelected="1" workbookViewId="1">
      <selection activeCell="E4" sqref="A2:Q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213</v>
      </c>
      <c r="B1" t="s">
        <v>7</v>
      </c>
      <c r="C1" t="s">
        <v>14</v>
      </c>
      <c r="D1" t="s">
        <v>165</v>
      </c>
      <c r="E1" t="s">
        <v>15</v>
      </c>
      <c r="F1" t="s">
        <v>210</v>
      </c>
      <c r="G1" t="s">
        <v>142</v>
      </c>
      <c r="H1" t="s">
        <v>16</v>
      </c>
      <c r="I1" t="s">
        <v>17</v>
      </c>
      <c r="J1" t="s">
        <v>194</v>
      </c>
      <c r="K1" t="s">
        <v>195</v>
      </c>
      <c r="L1" t="s">
        <v>196</v>
      </c>
      <c r="M1" t="s">
        <v>55</v>
      </c>
      <c r="N1" t="s">
        <v>197</v>
      </c>
      <c r="O1" t="s">
        <v>198</v>
      </c>
      <c r="P1" t="s">
        <v>208</v>
      </c>
      <c r="Q1" t="s">
        <v>211</v>
      </c>
    </row>
    <row r="2" spans="1:17" s="3" customFormat="1" ht="12" customHeight="1">
      <c r="A2" s="82"/>
      <c r="B2"/>
      <c r="C2"/>
      <c r="D2"/>
      <c r="E2"/>
      <c r="F2"/>
      <c r="G2"/>
      <c r="H2"/>
      <c r="I2" s="176"/>
      <c r="J2"/>
      <c r="K2"/>
      <c r="L2" s="17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5">
    <dataValidation type="list" allowBlank="1" showErrorMessage="1" sqref="B2" xr:uid="{99ED57F7-07BE-574F-8954-D70313A6B7A4}">
      <formula1>LISTE_MT_JOURNAL</formula1>
    </dataValidation>
    <dataValidation type="list" allowBlank="1" showErrorMessage="1" sqref="E2" xr:uid="{D98F28F0-89F9-6C40-A6EA-33FF1F05ECA0}">
      <formula1>LISTE_ACTIONS_JOURNAL</formula1>
    </dataValidation>
    <dataValidation type="list" allowBlank="1" showErrorMessage="1" sqref="G2" xr:uid="{41BFB8D4-5D85-C246-AE70-EA18EA1AC04B}">
      <formula1>LISTE_EQUIPES_JOURNAL</formula1>
    </dataValidation>
    <dataValidation type="list" allowBlank="1" showErrorMessage="1" sqref="F2" xr:uid="{3CF461DA-0EB6-BD48-8285-94153C58FD6C}">
      <formula1>LISTE_MOTIFS_PENALITE</formula1>
    </dataValidation>
    <dataValidation type="list" allowBlank="1" showInputMessage="1" showErrorMessage="1" sqref="D2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CEA5FB-CAF7-C346-9669-6A146A3A7825}">
          <x14:formula1>
            <xm:f>Paramètres!$AA$1:$AA$2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H95" sqref="H95:J102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1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 xml:space="preserve">Stats par joueur - Match PF :  /  </v>
      </c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3"/>
    </row>
    <row r="4" spans="2:37" s="3" customFormat="1" ht="20" customHeight="1">
      <c r="B4" s="244"/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6"/>
    </row>
    <row r="5" spans="2:37" s="3" customFormat="1"/>
    <row r="6" spans="2:37" ht="14" customHeight="1">
      <c r="B6" s="251" t="s">
        <v>14</v>
      </c>
      <c r="C6" s="253" t="str">
        <f>ACT_PL_NORMAL</f>
        <v>Plaquage normal</v>
      </c>
      <c r="D6" s="248"/>
      <c r="E6" s="253" t="str">
        <f>ACT_PL_OFF</f>
        <v>Plaquage offensif</v>
      </c>
      <c r="F6" s="248"/>
      <c r="G6" s="253" t="str">
        <f>ACT_PL_RATE</f>
        <v>Plaquage raté</v>
      </c>
      <c r="H6" s="248"/>
      <c r="I6" s="253" t="str">
        <f>ACT_PL_A2</f>
        <v>Plaquage à 2</v>
      </c>
      <c r="J6" s="247"/>
      <c r="K6" s="247" t="str">
        <f>ACT_PL_HAUT</f>
        <v>Plaquage haut</v>
      </c>
      <c r="L6" s="248"/>
      <c r="M6" s="247" t="s">
        <v>10</v>
      </c>
      <c r="N6" s="248"/>
      <c r="O6" s="247" t="str">
        <f>ACT_FRANCHISSEMENT</f>
        <v>Franchissement</v>
      </c>
      <c r="P6" s="248"/>
      <c r="Q6" s="247" t="str">
        <f>ACT_AVANCEE</f>
        <v>Avancée au contact</v>
      </c>
      <c r="R6" s="248"/>
      <c r="S6" s="247" t="str">
        <f>ACT_ATT_NULLE</f>
        <v>Recul ou sans progression</v>
      </c>
      <c r="T6" s="248"/>
      <c r="U6" s="280" t="s">
        <v>230</v>
      </c>
      <c r="V6" s="281"/>
      <c r="W6" s="281"/>
      <c r="X6" s="281"/>
      <c r="Y6" s="281"/>
      <c r="Z6" s="282"/>
      <c r="AF6"/>
      <c r="AG6"/>
    </row>
    <row r="7" spans="2:37" ht="13" customHeight="1">
      <c r="B7" s="252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">IFERROR(_xlfn._xlws.SORT(_xlfn._xlws.FILTER(COMPO[Nom du joueur],(COMPO[Nom du joueur]&lt;&gt;"")*(COMPO[Nom du joueur]&lt;&gt;"Collectif")*(COMPO[Nom du joueur]&lt;&gt;"?"))),"")</f>
        <v/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/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/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/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/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/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/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/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/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/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/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/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/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/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/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/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/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/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/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/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175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83">
        <f t="shared" si="0"/>
        <v>0</v>
      </c>
      <c r="V32" s="283">
        <f t="shared" si="0"/>
        <v>0</v>
      </c>
      <c r="W32" s="283">
        <f t="shared" si="0"/>
        <v>0</v>
      </c>
      <c r="X32" s="283">
        <f t="shared" si="0"/>
        <v>0</v>
      </c>
      <c r="Y32" s="283">
        <f t="shared" si="0"/>
        <v>0</v>
      </c>
      <c r="Z32" s="283">
        <f t="shared" si="0"/>
        <v>0</v>
      </c>
    </row>
    <row r="33" spans="2:33" s="41" customFormat="1" ht="25" customHeight="1">
      <c r="B33" s="55" t="s">
        <v>174</v>
      </c>
      <c r="C33" s="258">
        <f>C32+D32</f>
        <v>0</v>
      </c>
      <c r="D33" s="250"/>
      <c r="E33" s="249">
        <f t="shared" ref="E33" si="3">E32+F32</f>
        <v>0</v>
      </c>
      <c r="F33" s="249"/>
      <c r="G33" s="258">
        <f t="shared" ref="G33" si="4">G32+H32</f>
        <v>0</v>
      </c>
      <c r="H33" s="250"/>
      <c r="I33" s="258">
        <f>I32+J32</f>
        <v>0</v>
      </c>
      <c r="J33" s="250"/>
      <c r="K33" s="258">
        <f t="shared" ref="K33" si="5">K32+L32</f>
        <v>0</v>
      </c>
      <c r="L33" s="250"/>
      <c r="M33" s="249">
        <f t="shared" ref="M33" si="6">M32+N32</f>
        <v>0</v>
      </c>
      <c r="N33" s="250"/>
      <c r="O33" s="249">
        <f t="shared" ref="O33" si="7">O32+P32</f>
        <v>0</v>
      </c>
      <c r="P33" s="250"/>
      <c r="Q33" s="249">
        <f t="shared" ref="Q33" si="8">Q32+R32</f>
        <v>0</v>
      </c>
      <c r="R33" s="250"/>
      <c r="S33" s="249">
        <f t="shared" ref="S33" si="9">S32+T32</f>
        <v>0</v>
      </c>
      <c r="T33" s="250"/>
      <c r="U33" s="284"/>
      <c r="V33" s="284"/>
      <c r="W33" s="284"/>
      <c r="X33" s="284"/>
      <c r="Y33" s="284"/>
      <c r="Z33" s="284"/>
    </row>
    <row r="34" spans="2:33" s="3" customFormat="1"/>
    <row r="35" spans="2:33" s="3" customFormat="1"/>
    <row r="36" spans="2:33" ht="14">
      <c r="B36" s="56" t="s">
        <v>144</v>
      </c>
      <c r="C36" s="56" t="s">
        <v>209</v>
      </c>
      <c r="D36" s="106" t="s">
        <v>143</v>
      </c>
      <c r="E36" s="57" t="s">
        <v>349</v>
      </c>
      <c r="F36" s="3"/>
      <c r="G36" s="56" t="s">
        <v>453</v>
      </c>
      <c r="H36" s="147" t="s">
        <v>46</v>
      </c>
      <c r="I36" s="48" t="s">
        <v>44</v>
      </c>
      <c r="J36" s="3"/>
      <c r="K36" s="3"/>
      <c r="L36" s="253" t="s">
        <v>28</v>
      </c>
      <c r="M36" s="253" t="s">
        <v>146</v>
      </c>
      <c r="N36" s="247"/>
      <c r="O36" s="248"/>
      <c r="P36" s="248" t="s">
        <v>170</v>
      </c>
      <c r="Q36" s="3"/>
      <c r="R36" s="3"/>
      <c r="S36" s="3"/>
      <c r="T36" s="3"/>
      <c r="AE36"/>
      <c r="AF36"/>
      <c r="AG36"/>
    </row>
    <row r="37" spans="2:33" ht="14">
      <c r="B37" s="36" t="s">
        <v>141</v>
      </c>
      <c r="C37" s="36">
        <f>COUNTIFS(JournalActions[Action],ACT_TO_NS_G,JournalActions[Mi-temps],"MT1")</f>
        <v>0</v>
      </c>
      <c r="D37" s="104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146</v>
      </c>
      <c r="H37" s="161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2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78"/>
      <c r="M37" s="70" t="s">
        <v>152</v>
      </c>
      <c r="N37" s="66" t="s">
        <v>169</v>
      </c>
      <c r="O37" s="71" t="s">
        <v>32</v>
      </c>
      <c r="P37" s="279"/>
      <c r="Q37" s="3"/>
      <c r="R37" s="3"/>
      <c r="S37" s="3"/>
      <c r="T37" s="3"/>
      <c r="AE37"/>
      <c r="AF37"/>
      <c r="AG37"/>
    </row>
    <row r="38" spans="2:33">
      <c r="B38" s="11" t="s">
        <v>171</v>
      </c>
      <c r="C38" s="11">
        <f>COUNTIFS(JournalActions[Action],ACT_TO_ADV_PERDUE,JournalActions[Mi-temps],"MT1")</f>
        <v>0</v>
      </c>
      <c r="D38" s="105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147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145</v>
      </c>
      <c r="C40" s="56" t="s">
        <v>209</v>
      </c>
      <c r="D40" s="106" t="s">
        <v>143</v>
      </c>
      <c r="E40" s="57" t="s">
        <v>349</v>
      </c>
      <c r="F40" s="3"/>
      <c r="G40" s="253" t="s">
        <v>148</v>
      </c>
      <c r="H40" s="24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141</v>
      </c>
      <c r="C41" s="36">
        <f>COUNTIFS(JournalActions[Action],ACT_TO_NS_G,JournalActions[Mi-temps],"MT2")</f>
        <v>0</v>
      </c>
      <c r="D41" s="104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146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146</v>
      </c>
      <c r="O41" s="48" t="s">
        <v>170</v>
      </c>
      <c r="P41" s="3"/>
      <c r="Q41" s="3"/>
      <c r="R41" s="3"/>
      <c r="S41" s="3"/>
      <c r="T41" s="3"/>
    </row>
    <row r="42" spans="2:33">
      <c r="B42" s="11" t="s">
        <v>171</v>
      </c>
      <c r="C42" s="11">
        <f>COUNTIFS(JournalActions[Action],ACT_TO_ADV_PERDUE,JournalActions[Mi-temps],"MT2")</f>
        <v>0</v>
      </c>
      <c r="D42" s="105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147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65" t="s">
        <v>1</v>
      </c>
      <c r="M42" s="266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63" t="s">
        <v>2</v>
      </c>
      <c r="M43" s="264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231</v>
      </c>
      <c r="C44" s="56" t="s">
        <v>209</v>
      </c>
      <c r="D44" s="57" t="s">
        <v>143</v>
      </c>
      <c r="E44" s="3"/>
      <c r="F44" s="3"/>
      <c r="G44" s="147" t="s">
        <v>409</v>
      </c>
      <c r="H44" s="151" t="s">
        <v>47</v>
      </c>
      <c r="I44" s="146" t="s">
        <v>410</v>
      </c>
      <c r="J44" s="153" t="s">
        <v>234</v>
      </c>
      <c r="K44" s="3"/>
      <c r="L44" s="265" t="s">
        <v>3</v>
      </c>
      <c r="M44" s="266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141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48">
        <v>0</v>
      </c>
      <c r="I45" s="77">
        <v>0</v>
      </c>
      <c r="J45" s="77">
        <v>0</v>
      </c>
      <c r="K45" s="3"/>
      <c r="L45" s="263" t="s">
        <v>4</v>
      </c>
      <c r="M45" s="264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171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49">
        <v>0</v>
      </c>
      <c r="I46" s="78">
        <v>0</v>
      </c>
      <c r="J46" s="78">
        <v>0</v>
      </c>
      <c r="K46" s="3"/>
      <c r="L46" s="265" t="s">
        <v>5</v>
      </c>
      <c r="M46" s="266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2" t="s">
        <v>234</v>
      </c>
      <c r="H47" s="150">
        <v>0</v>
      </c>
      <c r="I47" s="79">
        <v>0</v>
      </c>
      <c r="J47" s="79">
        <v>0</v>
      </c>
      <c r="K47" s="3"/>
      <c r="L47" s="263" t="s">
        <v>166</v>
      </c>
      <c r="M47" s="264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232</v>
      </c>
      <c r="C48" s="56" t="s">
        <v>209</v>
      </c>
      <c r="D48" s="57" t="s">
        <v>143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141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171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41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PF :  /   - Touches et possession</v>
      </c>
      <c r="C56" s="242"/>
      <c r="D56" s="242"/>
      <c r="E56" s="242"/>
      <c r="F56" s="242"/>
      <c r="G56" s="242"/>
      <c r="H56" s="242"/>
      <c r="I56" s="242"/>
      <c r="J56" s="242"/>
      <c r="K56" s="243"/>
      <c r="L56" s="123"/>
      <c r="M56" s="123"/>
      <c r="N56" s="123"/>
      <c r="O56" s="123"/>
      <c r="P56" s="123"/>
      <c r="Q56" s="123"/>
      <c r="R56" s="123"/>
      <c r="S56" s="123"/>
      <c r="T56" s="123"/>
    </row>
    <row r="57" spans="2:20" s="3" customFormat="1" ht="13" customHeight="1">
      <c r="B57" s="244"/>
      <c r="C57" s="245"/>
      <c r="D57" s="245"/>
      <c r="E57" s="245"/>
      <c r="F57" s="245"/>
      <c r="G57" s="245"/>
      <c r="H57" s="245"/>
      <c r="I57" s="245"/>
      <c r="J57" s="245"/>
      <c r="K57" s="246"/>
      <c r="L57" s="123"/>
      <c r="M57" s="123"/>
      <c r="N57" s="123"/>
      <c r="O57" s="123"/>
      <c r="P57" s="123"/>
      <c r="Q57" s="123"/>
      <c r="R57" s="123"/>
      <c r="S57" s="123"/>
      <c r="T57" s="123"/>
    </row>
    <row r="58" spans="2:20" s="3" customFormat="1" ht="14" thickBot="1"/>
    <row r="59" spans="2:20" s="3" customFormat="1">
      <c r="B59" s="267" t="s">
        <v>233</v>
      </c>
      <c r="C59" s="268"/>
      <c r="D59" s="268"/>
      <c r="E59" s="268"/>
      <c r="F59" s="268"/>
      <c r="G59" s="268"/>
      <c r="H59" s="268"/>
      <c r="I59" s="268"/>
      <c r="J59" s="268"/>
      <c r="K59" s="269"/>
    </row>
    <row r="60" spans="2:20" s="3" customFormat="1">
      <c r="B60" s="270"/>
      <c r="C60" s="271"/>
      <c r="D60" s="271"/>
      <c r="E60" s="271"/>
      <c r="F60" s="271"/>
      <c r="G60" s="271"/>
      <c r="H60" s="271"/>
      <c r="I60" s="271"/>
      <c r="J60" s="271"/>
      <c r="K60" s="272"/>
    </row>
    <row r="61" spans="2:20" s="3" customFormat="1" ht="14" thickBot="1">
      <c r="B61" s="273"/>
      <c r="C61" s="274"/>
      <c r="D61" s="274"/>
      <c r="E61" s="274"/>
      <c r="F61" s="274"/>
      <c r="G61" s="274"/>
      <c r="H61" s="274"/>
      <c r="I61" s="274"/>
      <c r="J61" s="274"/>
      <c r="K61" s="275"/>
    </row>
    <row r="62" spans="2:20" s="3" customFormat="1"/>
    <row r="63" spans="2:20" s="3" customFormat="1" ht="14">
      <c r="B63" s="251" t="s">
        <v>14</v>
      </c>
      <c r="C63" s="253" t="str">
        <f>ACT_TO_NS_G</f>
        <v>Touche à nous conservée</v>
      </c>
      <c r="D63" s="248"/>
      <c r="E63" s="253" t="str">
        <f>ACT_TO_ADV_VOLEE</f>
        <v>Touche à eux volée</v>
      </c>
      <c r="F63" s="248"/>
      <c r="H63" s="276" t="str">
        <f>ACT_TO_NS_P</f>
        <v>Touche à nous perdue</v>
      </c>
      <c r="I63" s="277"/>
      <c r="J63" s="276" t="str">
        <f>ACT_TO_NS_PAS_DROIT</f>
        <v>Touche à nous pas droite</v>
      </c>
      <c r="K63" s="277"/>
    </row>
    <row r="64" spans="2:20" s="3" customFormat="1" ht="14">
      <c r="B64" s="252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">IFERROR(_xlfn._xlws.SORT(_xlfn._xlws.FILTER(COMPO[Nom du joueur],(COMPO[Nom du joueur]&lt;&gt;"")*(COMPO[Nom du joueur]&lt;&gt;"Collectif")*(COMPO[Nom du joueur]&lt;&gt;"?"))),"")</f>
        <v/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/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/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/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/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/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/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/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/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/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/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/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/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/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/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/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/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/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/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/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175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174</v>
      </c>
      <c r="C90" s="258">
        <f>C89+D89</f>
        <v>0</v>
      </c>
      <c r="D90" s="250"/>
      <c r="E90" s="258">
        <f>E89+F89</f>
        <v>0</v>
      </c>
      <c r="F90" s="250"/>
      <c r="H90" s="259">
        <f>H89+I89</f>
        <v>0</v>
      </c>
      <c r="I90" s="260"/>
      <c r="J90" s="259">
        <f>J89+K89</f>
        <v>0</v>
      </c>
      <c r="K90" s="260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4" t="s">
        <v>266</v>
      </c>
      <c r="C94" s="125" t="s">
        <v>47</v>
      </c>
      <c r="D94" s="126" t="s">
        <v>112</v>
      </c>
      <c r="F94" s="261" t="s">
        <v>267</v>
      </c>
      <c r="G94" s="262"/>
      <c r="H94" s="125" t="s">
        <v>46</v>
      </c>
      <c r="I94" s="125" t="s">
        <v>44</v>
      </c>
      <c r="J94" s="132" t="s">
        <v>234</v>
      </c>
    </row>
    <row r="95" spans="2:11" s="3" customFormat="1" ht="16">
      <c r="B95" s="127" t="s">
        <v>235</v>
      </c>
      <c r="C95" s="81">
        <v>0</v>
      </c>
      <c r="D95" s="128">
        <v>0</v>
      </c>
      <c r="F95" s="256" t="s">
        <v>235</v>
      </c>
      <c r="G95" s="257"/>
      <c r="H95" s="81">
        <v>0</v>
      </c>
      <c r="I95" s="81">
        <v>0</v>
      </c>
      <c r="J95" s="133">
        <v>0</v>
      </c>
    </row>
    <row r="96" spans="2:11" s="3" customFormat="1" ht="16">
      <c r="B96" s="127" t="s">
        <v>236</v>
      </c>
      <c r="C96" s="81">
        <v>0</v>
      </c>
      <c r="D96" s="128">
        <v>0</v>
      </c>
      <c r="F96" s="256" t="s">
        <v>236</v>
      </c>
      <c r="G96" s="257"/>
      <c r="H96" s="81">
        <v>0</v>
      </c>
      <c r="I96" s="81">
        <v>0</v>
      </c>
      <c r="J96" s="133">
        <v>0</v>
      </c>
    </row>
    <row r="97" spans="2:10" s="3" customFormat="1" ht="16">
      <c r="B97" s="127" t="s">
        <v>237</v>
      </c>
      <c r="C97" s="81">
        <v>0</v>
      </c>
      <c r="D97" s="128">
        <v>0</v>
      </c>
      <c r="F97" s="256" t="s">
        <v>237</v>
      </c>
      <c r="G97" s="257"/>
      <c r="H97" s="81">
        <v>0</v>
      </c>
      <c r="I97" s="81">
        <v>0</v>
      </c>
      <c r="J97" s="133">
        <v>0</v>
      </c>
    </row>
    <row r="98" spans="2:10" s="3" customFormat="1" ht="16">
      <c r="B98" s="127" t="s">
        <v>238</v>
      </c>
      <c r="C98" s="81">
        <v>0</v>
      </c>
      <c r="D98" s="128">
        <v>0</v>
      </c>
      <c r="F98" s="256" t="s">
        <v>238</v>
      </c>
      <c r="G98" s="257"/>
      <c r="H98" s="81">
        <v>0</v>
      </c>
      <c r="I98" s="81">
        <v>0</v>
      </c>
      <c r="J98" s="133">
        <v>0</v>
      </c>
    </row>
    <row r="99" spans="2:10" s="3" customFormat="1" ht="17" thickBot="1">
      <c r="B99" s="129" t="s">
        <v>239</v>
      </c>
      <c r="C99" s="130">
        <v>0</v>
      </c>
      <c r="D99" s="131">
        <v>0</v>
      </c>
      <c r="F99" s="256" t="s">
        <v>268</v>
      </c>
      <c r="G99" s="257"/>
      <c r="H99" s="81">
        <v>0</v>
      </c>
      <c r="I99" s="81">
        <v>0</v>
      </c>
      <c r="J99" s="133">
        <v>0</v>
      </c>
    </row>
    <row r="100" spans="2:10" s="3" customFormat="1" ht="16">
      <c r="F100" s="256" t="s">
        <v>269</v>
      </c>
      <c r="G100" s="257"/>
      <c r="H100" s="81">
        <v>0</v>
      </c>
      <c r="I100" s="81">
        <v>0</v>
      </c>
      <c r="J100" s="133">
        <v>0</v>
      </c>
    </row>
    <row r="101" spans="2:10" s="3" customFormat="1" ht="16">
      <c r="F101" s="256" t="s">
        <v>270</v>
      </c>
      <c r="G101" s="257"/>
      <c r="H101" s="81">
        <v>0</v>
      </c>
      <c r="I101" s="81">
        <v>0</v>
      </c>
      <c r="J101" s="133">
        <v>0</v>
      </c>
    </row>
    <row r="102" spans="2:10" s="3" customFormat="1" ht="17" thickBot="1">
      <c r="F102" s="254" t="s">
        <v>271</v>
      </c>
      <c r="G102" s="255"/>
      <c r="H102" s="130">
        <v>0</v>
      </c>
      <c r="I102" s="130">
        <v>0</v>
      </c>
      <c r="J102" s="134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15" priority="6" stopIfTrue="1">
      <formula>ISEVEN(ROW())</formula>
    </cfRule>
  </conditionalFormatting>
  <conditionalFormatting sqref="B65:B88">
    <cfRule type="expression" dxfId="14" priority="5" stopIfTrue="1">
      <formula>ISEVEN(ROW())</formula>
    </cfRule>
  </conditionalFormatting>
  <conditionalFormatting sqref="C65:D88">
    <cfRule type="expression" dxfId="13" priority="4" stopIfTrue="1">
      <formula>ISEVEN(ROW())</formula>
    </cfRule>
  </conditionalFormatting>
  <conditionalFormatting sqref="H65:I88">
    <cfRule type="expression" dxfId="12" priority="3" stopIfTrue="1">
      <formula>ISEVEN(ROW())</formula>
    </cfRule>
  </conditionalFormatting>
  <conditionalFormatting sqref="J65:K88">
    <cfRule type="expression" dxfId="11" priority="2" stopIfTrue="1">
      <formula>ISEVEN(ROW())</formula>
    </cfRule>
  </conditionalFormatting>
  <conditionalFormatting sqref="E65:F88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00"/>
  <sheetViews>
    <sheetView showGridLines="0" workbookViewId="0">
      <selection activeCell="D12" sqref="D12"/>
    </sheetView>
    <sheetView workbookViewId="1"/>
  </sheetViews>
  <sheetFormatPr baseColWidth="10" defaultRowHeight="13"/>
  <cols>
    <col min="1" max="4" width="12.83203125" customWidth="1"/>
    <col min="5" max="5" width="25.1640625" bestFit="1" customWidth="1"/>
    <col min="6" max="9" width="12.83203125" customWidth="1"/>
    <col min="10" max="10" width="103" bestFit="1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2" t="s">
        <v>320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</row>
    <row r="2" spans="1:31">
      <c r="A2" t="s">
        <v>321</v>
      </c>
      <c r="B2" t="s">
        <v>7</v>
      </c>
      <c r="C2" t="s">
        <v>322</v>
      </c>
      <c r="D2" t="s">
        <v>323</v>
      </c>
      <c r="E2" t="s">
        <v>324</v>
      </c>
      <c r="F2" t="s">
        <v>325</v>
      </c>
      <c r="G2" t="s">
        <v>326</v>
      </c>
      <c r="H2" t="s">
        <v>327</v>
      </c>
      <c r="I2" t="s">
        <v>328</v>
      </c>
      <c r="J2" t="s">
        <v>329</v>
      </c>
      <c r="K2" s="135"/>
      <c r="L2" s="135"/>
      <c r="M2" s="135"/>
      <c r="N2" s="135"/>
      <c r="O2" s="135"/>
      <c r="P2" s="135"/>
      <c r="Q2" s="135"/>
      <c r="R2" s="135"/>
      <c r="S2" s="135"/>
      <c r="T2" s="135"/>
    </row>
    <row r="3" spans="1:31">
      <c r="A3" s="82"/>
      <c r="K3" s="135"/>
      <c r="L3" s="135"/>
      <c r="M3" s="135"/>
      <c r="N3" s="135"/>
      <c r="O3" s="135"/>
      <c r="P3" s="135"/>
      <c r="Q3" s="135"/>
      <c r="R3" s="135"/>
      <c r="S3" s="135"/>
      <c r="T3" s="135"/>
      <c r="AE3" s="98"/>
    </row>
    <row r="4" spans="1:31">
      <c r="A4" s="173"/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</row>
    <row r="5" spans="1:31">
      <c r="A5" s="109" t="s">
        <v>220</v>
      </c>
      <c r="B5" s="110" t="s">
        <v>209</v>
      </c>
      <c r="C5" s="110" t="s">
        <v>143</v>
      </c>
      <c r="D5" s="110" t="s">
        <v>349</v>
      </c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</row>
    <row r="6" spans="1:31">
      <c r="A6" s="111" t="s">
        <v>141</v>
      </c>
      <c r="B6" s="112">
        <f>COUNTIFS(DetailTouches[Lance pour],"N",DetailTouches[Issue],"G")</f>
        <v>0</v>
      </c>
      <c r="C6" s="112">
        <f>COUNTIFS(DetailTouches[Lance pour],"N",DetailTouches[Issue],"P")</f>
        <v>0</v>
      </c>
      <c r="D6" s="112">
        <f>COUNTIFS(DetailTouches[Lance pour],"N",DetailTouches[Issue],"ND")</f>
        <v>0</v>
      </c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</row>
    <row r="7" spans="1:31">
      <c r="A7" s="107" t="s">
        <v>171</v>
      </c>
      <c r="B7" s="108">
        <f>COUNTIFS(DetailTouches[Lance pour],"E",DetailTouches[Issue],"P")</f>
        <v>0</v>
      </c>
      <c r="C7" s="108">
        <f>COUNTIFS(DetailTouches[Lance pour],"E",DetailTouches[Issue],"G")</f>
        <v>0</v>
      </c>
      <c r="D7" s="108">
        <f>COUNTIFS(DetailTouches[Lance pour],"E",DetailTouches[Issue],"ND")</f>
        <v>0</v>
      </c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</row>
    <row r="8" spans="1:31">
      <c r="A8" s="135"/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</row>
    <row r="9" spans="1:31">
      <c r="A9" s="135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</row>
    <row r="10" spans="1:31" ht="18">
      <c r="A10" s="172" t="s">
        <v>330</v>
      </c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</row>
    <row r="11" spans="1:31">
      <c r="A11" t="s">
        <v>321</v>
      </c>
      <c r="B11" t="s">
        <v>7</v>
      </c>
      <c r="C11" t="s">
        <v>348</v>
      </c>
      <c r="D11" t="s">
        <v>323</v>
      </c>
      <c r="E11" t="s">
        <v>331</v>
      </c>
      <c r="F11" t="s">
        <v>332</v>
      </c>
      <c r="G11" t="s">
        <v>333</v>
      </c>
      <c r="H11" t="s">
        <v>334</v>
      </c>
      <c r="I11" t="s">
        <v>335</v>
      </c>
      <c r="J11" t="s">
        <v>329</v>
      </c>
      <c r="K11" s="135"/>
      <c r="L11" s="135"/>
      <c r="M11" s="135"/>
      <c r="N11" s="135"/>
      <c r="O11" s="135"/>
      <c r="P11" s="135"/>
      <c r="Q11" s="135"/>
      <c r="R11" s="135"/>
      <c r="S11" s="135"/>
      <c r="T11" s="135"/>
    </row>
    <row r="12" spans="1:31">
      <c r="A12" s="82"/>
      <c r="G12" s="96"/>
      <c r="H12" s="96"/>
      <c r="I12" s="96"/>
      <c r="K12" s="135"/>
      <c r="L12" s="135"/>
      <c r="M12" s="135"/>
      <c r="N12" s="135"/>
      <c r="O12" s="135"/>
      <c r="P12" s="135"/>
      <c r="Q12" s="135"/>
      <c r="R12" s="135"/>
      <c r="S12" s="135"/>
      <c r="T12" s="135"/>
    </row>
    <row r="13" spans="1:31">
      <c r="A13" s="173"/>
      <c r="B13" s="135"/>
      <c r="C13" s="135"/>
      <c r="D13" s="135"/>
      <c r="E13" s="135"/>
      <c r="F13" s="135"/>
      <c r="G13" s="174"/>
      <c r="H13" s="174"/>
      <c r="I13" s="174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</row>
    <row r="14" spans="1:31">
      <c r="A14" s="113" t="s">
        <v>350</v>
      </c>
      <c r="B14" s="114" t="s">
        <v>209</v>
      </c>
      <c r="C14" s="114" t="s">
        <v>143</v>
      </c>
      <c r="E14" s="135"/>
      <c r="F14" s="135"/>
      <c r="G14" s="174"/>
      <c r="H14" s="174"/>
      <c r="I14" s="174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</row>
    <row r="15" spans="1:31">
      <c r="A15" s="115" t="s">
        <v>141</v>
      </c>
      <c r="B15" s="116">
        <f>COUNTIFS(DetailMelees[Introduction pour],"N",DetailMelees[Issue],"G")</f>
        <v>0</v>
      </c>
      <c r="C15" s="116">
        <f>COUNTIFS(DetailMelees[Introduction pour],"N",DetailMelees[Issue],"P")</f>
        <v>0</v>
      </c>
      <c r="E15" s="135"/>
      <c r="F15" s="135"/>
      <c r="G15" s="174"/>
      <c r="H15" s="174"/>
      <c r="I15" s="174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</row>
    <row r="16" spans="1:31">
      <c r="A16" s="107" t="s">
        <v>171</v>
      </c>
      <c r="B16" s="108">
        <f>COUNTIFS(DetailMelees[Introduction pour],"E",DetailMelees[Issue],"P")</f>
        <v>0</v>
      </c>
      <c r="C16" s="108">
        <f>COUNTIFS(DetailMelees[Introduction pour],"E",DetailMelees[Issue],"G")</f>
        <v>0</v>
      </c>
      <c r="E16" s="135"/>
      <c r="F16" s="135"/>
      <c r="G16" s="174"/>
      <c r="H16" s="174"/>
      <c r="I16" s="174"/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</row>
    <row r="17" spans="1:20">
      <c r="A17" s="135"/>
      <c r="B17" s="135"/>
      <c r="C17" s="135"/>
      <c r="D17" s="135"/>
      <c r="E17" s="135"/>
      <c r="F17" s="135"/>
      <c r="G17" s="174"/>
      <c r="H17" s="174"/>
      <c r="I17" s="174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</row>
    <row r="18" spans="1:20">
      <c r="A18" s="285" t="s">
        <v>389</v>
      </c>
      <c r="B18" s="285"/>
      <c r="C18" s="135"/>
      <c r="D18" s="135"/>
      <c r="E18" s="135"/>
      <c r="F18" s="135"/>
      <c r="G18" s="174"/>
      <c r="H18" s="174"/>
      <c r="I18" s="174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</row>
    <row r="19" spans="1:20">
      <c r="A19" s="285"/>
      <c r="B19" s="285"/>
      <c r="C19" s="135"/>
      <c r="D19" s="135"/>
      <c r="E19" s="135"/>
      <c r="F19" s="135"/>
      <c r="G19" s="174"/>
      <c r="H19" s="174"/>
      <c r="I19" s="174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</row>
    <row r="20" spans="1:20">
      <c r="A20" s="135"/>
      <c r="B20" s="135"/>
      <c r="C20" s="135"/>
      <c r="D20" s="135"/>
      <c r="E20" s="135"/>
      <c r="F20" s="135"/>
      <c r="G20" s="174"/>
      <c r="H20" s="174"/>
      <c r="I20" s="174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</row>
    <row r="21" spans="1:20">
      <c r="A21" s="135"/>
      <c r="B21" s="135"/>
      <c r="C21" s="135"/>
      <c r="D21" s="135"/>
      <c r="E21" s="135"/>
      <c r="F21" s="135"/>
      <c r="G21" s="174"/>
      <c r="H21" s="174"/>
      <c r="I21" s="174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</row>
    <row r="22" spans="1:20">
      <c r="A22" s="135"/>
      <c r="B22" s="135"/>
      <c r="C22" s="135"/>
      <c r="D22" s="135"/>
      <c r="E22" s="135"/>
      <c r="F22" s="135"/>
      <c r="G22" s="174"/>
      <c r="H22" s="174"/>
      <c r="I22" s="174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</row>
    <row r="23" spans="1:20">
      <c r="A23" s="135"/>
      <c r="B23" s="135"/>
      <c r="C23" s="135"/>
      <c r="D23" s="135"/>
      <c r="E23" s="135"/>
      <c r="F23" s="135"/>
      <c r="G23" s="174"/>
      <c r="H23" s="174"/>
      <c r="I23" s="174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</row>
    <row r="24" spans="1:20">
      <c r="A24" s="135"/>
      <c r="B24" s="135"/>
      <c r="C24" s="135"/>
      <c r="D24" s="135"/>
      <c r="E24" s="135"/>
      <c r="F24" s="135"/>
      <c r="G24" s="174"/>
      <c r="H24" s="174"/>
      <c r="I24" s="174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</row>
    <row r="25" spans="1:20">
      <c r="A25" s="135"/>
      <c r="B25" s="135"/>
      <c r="C25" s="135"/>
      <c r="D25" s="135"/>
      <c r="E25" s="135"/>
      <c r="F25" s="135"/>
      <c r="G25" s="174"/>
      <c r="H25" s="174"/>
      <c r="I25" s="174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</row>
    <row r="26" spans="1:20">
      <c r="A26" s="135"/>
      <c r="B26" s="135"/>
      <c r="C26" s="135"/>
      <c r="D26" s="135"/>
      <c r="E26" s="135"/>
      <c r="F26" s="135"/>
      <c r="G26" s="174"/>
      <c r="H26" s="174"/>
      <c r="I26" s="174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</row>
    <row r="27" spans="1:20">
      <c r="A27" s="135"/>
      <c r="B27" s="135"/>
      <c r="C27" s="135"/>
      <c r="D27" s="135"/>
      <c r="E27" s="135"/>
      <c r="F27" s="135"/>
      <c r="G27" s="174"/>
      <c r="H27" s="174"/>
      <c r="I27" s="174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</row>
    <row r="28" spans="1:20">
      <c r="A28" s="135"/>
      <c r="B28" s="135"/>
      <c r="C28" s="135"/>
      <c r="D28" s="135"/>
      <c r="E28" s="135"/>
      <c r="F28" s="135"/>
      <c r="G28" s="174"/>
      <c r="H28" s="174"/>
      <c r="I28" s="174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</row>
    <row r="29" spans="1:20">
      <c r="A29" s="135"/>
      <c r="B29" s="135"/>
      <c r="C29" s="135"/>
      <c r="D29" s="135"/>
      <c r="E29" s="135"/>
      <c r="F29" s="135"/>
      <c r="G29" s="174"/>
      <c r="H29" s="174"/>
      <c r="I29" s="174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</row>
    <row r="30" spans="1:20">
      <c r="A30" s="135"/>
      <c r="B30" s="135"/>
      <c r="C30" s="135"/>
      <c r="D30" s="135"/>
      <c r="E30" s="135"/>
      <c r="F30" s="135"/>
      <c r="G30" s="174"/>
      <c r="H30" s="174"/>
      <c r="I30" s="174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</row>
    <row r="31" spans="1:20">
      <c r="A31" s="135"/>
      <c r="B31" s="135"/>
      <c r="C31" s="135"/>
      <c r="D31" s="135"/>
      <c r="E31" s="135"/>
      <c r="F31" s="135"/>
      <c r="G31" s="174"/>
      <c r="H31" s="174"/>
      <c r="I31" s="174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</row>
    <row r="32" spans="1:20">
      <c r="A32" s="135"/>
      <c r="B32" s="135"/>
      <c r="C32" s="135"/>
      <c r="D32" s="135"/>
      <c r="E32" s="135"/>
      <c r="F32" s="135"/>
      <c r="G32" s="174"/>
      <c r="H32" s="174"/>
      <c r="I32" s="174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</row>
    <row r="33" spans="1:20">
      <c r="A33" s="135"/>
      <c r="B33" s="135"/>
      <c r="C33" s="135"/>
      <c r="D33" s="135"/>
      <c r="E33" s="135"/>
      <c r="F33" s="135"/>
      <c r="G33" s="174"/>
      <c r="H33" s="174"/>
      <c r="I33" s="174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</row>
    <row r="34" spans="1:20">
      <c r="A34" s="135"/>
      <c r="B34" s="135"/>
      <c r="C34" s="135"/>
      <c r="D34" s="135"/>
      <c r="E34" s="135"/>
      <c r="F34" s="135"/>
      <c r="G34" s="174"/>
      <c r="H34" s="174"/>
      <c r="I34" s="174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</row>
    <row r="35" spans="1:20">
      <c r="A35" s="135"/>
      <c r="B35" s="135"/>
      <c r="C35" s="135"/>
      <c r="D35" s="135"/>
      <c r="E35" s="135"/>
      <c r="F35" s="135"/>
      <c r="G35" s="174"/>
      <c r="H35" s="174"/>
      <c r="I35" s="174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</row>
    <row r="36" spans="1:20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</row>
    <row r="37" spans="1:20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</row>
    <row r="38" spans="1:20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</row>
    <row r="39" spans="1:20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</row>
    <row r="40" spans="1:20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</row>
    <row r="41" spans="1:20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</row>
    <row r="42" spans="1:20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</row>
    <row r="43" spans="1:20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</row>
    <row r="44" spans="1:20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</row>
    <row r="45" spans="1:20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</row>
    <row r="46" spans="1:20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</row>
    <row r="47" spans="1:20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</row>
    <row r="48" spans="1:20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</row>
    <row r="49" spans="1:20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</row>
    <row r="50" spans="1:20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</row>
    <row r="51" spans="1:20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</row>
    <row r="52" spans="1:20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</row>
    <row r="53" spans="1:20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</row>
    <row r="54" spans="1:20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</row>
    <row r="55" spans="1:20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</row>
    <row r="56" spans="1:20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</row>
    <row r="57" spans="1:20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</row>
    <row r="58" spans="1:20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</row>
    <row r="59" spans="1:20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</row>
    <row r="60" spans="1:20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</row>
    <row r="61" spans="1:20">
      <c r="A61" s="135"/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</row>
    <row r="62" spans="1:20">
      <c r="A62" s="135"/>
      <c r="B62" s="135"/>
      <c r="C62" s="135"/>
      <c r="D62" s="135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</row>
    <row r="63" spans="1:20">
      <c r="A63" s="135"/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</row>
    <row r="64" spans="1:20">
      <c r="A64" s="135"/>
      <c r="B64" s="135"/>
      <c r="C64" s="135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</row>
    <row r="65" spans="1:20">
      <c r="A65" s="135"/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</row>
    <row r="66" spans="1:20">
      <c r="A66" s="135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</row>
    <row r="67" spans="1:20">
      <c r="A67" s="135"/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</row>
    <row r="68" spans="1:20">
      <c r="A68" s="135"/>
      <c r="B68" s="135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</row>
    <row r="69" spans="1:20">
      <c r="A69" s="135"/>
      <c r="B69" s="135"/>
      <c r="C69" s="135"/>
      <c r="D69" s="135"/>
      <c r="E69" s="135"/>
      <c r="F69" s="135"/>
      <c r="G69" s="135"/>
      <c r="H69" s="135"/>
      <c r="I69" s="135"/>
      <c r="J69" s="135"/>
      <c r="K69" s="135"/>
      <c r="L69" s="135"/>
      <c r="M69" s="135"/>
      <c r="N69" s="135"/>
      <c r="O69" s="135"/>
      <c r="P69" s="135"/>
      <c r="Q69" s="135"/>
      <c r="R69" s="135"/>
      <c r="S69" s="135"/>
      <c r="T69" s="135"/>
    </row>
    <row r="70" spans="1:20">
      <c r="A70" s="135"/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</row>
    <row r="71" spans="1:20">
      <c r="A71" s="135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</row>
    <row r="72" spans="1:20">
      <c r="A72" s="135"/>
      <c r="B72" s="135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</row>
    <row r="73" spans="1:20">
      <c r="A73" s="135"/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</row>
    <row r="74" spans="1:20">
      <c r="A74" s="135"/>
      <c r="B74" s="135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</row>
    <row r="75" spans="1:20">
      <c r="A75" s="135"/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</row>
    <row r="76" spans="1:20">
      <c r="A76" s="135"/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</row>
    <row r="77" spans="1:20">
      <c r="A77" s="135"/>
      <c r="B77" s="135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</row>
    <row r="78" spans="1:20">
      <c r="A78" s="135"/>
      <c r="B78" s="135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</row>
    <row r="79" spans="1:20">
      <c r="A79" s="135"/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</row>
    <row r="80" spans="1:20">
      <c r="A80" s="135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</row>
    <row r="81" spans="1:20">
      <c r="A81" s="135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</row>
    <row r="82" spans="1:20">
      <c r="A82" s="135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</row>
    <row r="83" spans="1:20">
      <c r="A83" s="135"/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</row>
    <row r="84" spans="1:20">
      <c r="A84" s="135"/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</row>
    <row r="85" spans="1:20">
      <c r="A85" s="135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</row>
    <row r="86" spans="1:20">
      <c r="A86" s="135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</row>
    <row r="87" spans="1:20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</row>
    <row r="88" spans="1:20">
      <c r="A88" s="135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</row>
    <row r="89" spans="1:20">
      <c r="A89" s="135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</row>
    <row r="90" spans="1:20">
      <c r="A90" s="135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</row>
    <row r="91" spans="1:20">
      <c r="A91" s="135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</row>
    <row r="92" spans="1:20">
      <c r="A92" s="135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</row>
    <row r="93" spans="1:20">
      <c r="A93" s="135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</row>
    <row r="94" spans="1:20">
      <c r="A94" s="135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</row>
    <row r="95" spans="1:20">
      <c r="A95" s="135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</row>
    <row r="96" spans="1:20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</row>
    <row r="97" spans="1:20">
      <c r="A97" s="135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</row>
    <row r="98" spans="1:20">
      <c r="A98" s="135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</row>
    <row r="99" spans="1:20">
      <c r="A99" s="135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</row>
    <row r="100" spans="1:20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</row>
    <row r="101" spans="1:20">
      <c r="A101" s="135"/>
      <c r="B101" s="135"/>
      <c r="C101" s="135"/>
      <c r="D101" s="135"/>
      <c r="E101" s="135"/>
      <c r="F101" s="135"/>
      <c r="G101" s="135"/>
      <c r="H101" s="135"/>
      <c r="I101" s="135"/>
      <c r="J101" s="135"/>
      <c r="K101" s="135"/>
      <c r="L101" s="135"/>
      <c r="M101" s="135"/>
      <c r="N101" s="135"/>
      <c r="O101" s="135"/>
      <c r="P101" s="135"/>
      <c r="Q101" s="135"/>
      <c r="R101" s="135"/>
      <c r="S101" s="135"/>
      <c r="T101" s="135"/>
    </row>
    <row r="102" spans="1:20">
      <c r="A102" s="135"/>
      <c r="B102" s="135"/>
      <c r="C102" s="135"/>
      <c r="D102" s="135"/>
      <c r="E102" s="135"/>
      <c r="F102" s="135"/>
      <c r="G102" s="135"/>
      <c r="H102" s="135"/>
      <c r="I102" s="135"/>
      <c r="J102" s="135"/>
      <c r="K102" s="135"/>
      <c r="L102" s="135"/>
      <c r="M102" s="135"/>
      <c r="N102" s="135"/>
      <c r="O102" s="135"/>
      <c r="P102" s="135"/>
      <c r="Q102" s="135"/>
      <c r="R102" s="135"/>
      <c r="S102" s="135"/>
      <c r="T102" s="135"/>
    </row>
    <row r="103" spans="1:20">
      <c r="A103" s="135"/>
      <c r="B103" s="135"/>
      <c r="C103" s="135"/>
      <c r="D103" s="135"/>
      <c r="E103" s="135"/>
      <c r="F103" s="135"/>
      <c r="G103" s="135"/>
      <c r="H103" s="135"/>
      <c r="I103" s="135"/>
      <c r="J103" s="135"/>
      <c r="K103" s="135"/>
      <c r="L103" s="135"/>
      <c r="M103" s="135"/>
      <c r="N103" s="135"/>
      <c r="O103" s="135"/>
      <c r="P103" s="135"/>
      <c r="Q103" s="135"/>
      <c r="R103" s="135"/>
      <c r="S103" s="135"/>
      <c r="T103" s="135"/>
    </row>
    <row r="104" spans="1:20">
      <c r="A104" s="135"/>
      <c r="B104" s="135"/>
      <c r="C104" s="135"/>
      <c r="D104" s="135"/>
      <c r="E104" s="135"/>
      <c r="F104" s="135"/>
      <c r="G104" s="135"/>
      <c r="H104" s="135"/>
      <c r="I104" s="135"/>
      <c r="J104" s="135"/>
      <c r="K104" s="135"/>
      <c r="L104" s="135"/>
      <c r="M104" s="135"/>
      <c r="N104" s="135"/>
      <c r="O104" s="135"/>
      <c r="P104" s="135"/>
      <c r="Q104" s="135"/>
      <c r="R104" s="135"/>
      <c r="S104" s="135"/>
      <c r="T104" s="135"/>
    </row>
    <row r="105" spans="1:20">
      <c r="A105" s="135"/>
      <c r="B105" s="135"/>
      <c r="C105" s="135"/>
      <c r="D105" s="135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</row>
    <row r="106" spans="1:20">
      <c r="A106" s="135"/>
      <c r="B106" s="135"/>
      <c r="C106" s="135"/>
      <c r="D106" s="135"/>
      <c r="E106" s="135"/>
      <c r="F106" s="135"/>
      <c r="G106" s="135"/>
      <c r="H106" s="135"/>
      <c r="I106" s="135"/>
      <c r="J106" s="135"/>
      <c r="K106" s="135"/>
      <c r="L106" s="135"/>
      <c r="M106" s="135"/>
      <c r="N106" s="135"/>
      <c r="O106" s="135"/>
      <c r="P106" s="135"/>
      <c r="Q106" s="135"/>
      <c r="R106" s="135"/>
      <c r="S106" s="135"/>
      <c r="T106" s="135"/>
    </row>
    <row r="107" spans="1:20">
      <c r="A107" s="135"/>
      <c r="B107" s="135"/>
      <c r="C107" s="135"/>
      <c r="D107" s="135"/>
      <c r="E107" s="135"/>
      <c r="F107" s="135"/>
      <c r="G107" s="135"/>
      <c r="H107" s="135"/>
      <c r="I107" s="135"/>
      <c r="J107" s="135"/>
      <c r="K107" s="135"/>
      <c r="L107" s="135"/>
      <c r="M107" s="135"/>
      <c r="N107" s="135"/>
      <c r="O107" s="135"/>
      <c r="P107" s="135"/>
      <c r="Q107" s="135"/>
      <c r="R107" s="135"/>
      <c r="S107" s="135"/>
      <c r="T107" s="135"/>
    </row>
    <row r="108" spans="1:20">
      <c r="A108" s="135"/>
      <c r="B108" s="135"/>
      <c r="C108" s="135"/>
      <c r="D108" s="135"/>
      <c r="E108" s="135"/>
      <c r="F108" s="135"/>
      <c r="G108" s="135"/>
      <c r="H108" s="135"/>
      <c r="I108" s="135"/>
      <c r="J108" s="135"/>
      <c r="K108" s="135"/>
      <c r="L108" s="135"/>
      <c r="M108" s="135"/>
      <c r="N108" s="135"/>
      <c r="O108" s="135"/>
      <c r="P108" s="135"/>
      <c r="Q108" s="135"/>
      <c r="R108" s="135"/>
      <c r="S108" s="135"/>
      <c r="T108" s="135"/>
    </row>
    <row r="109" spans="1:20">
      <c r="A109" s="135"/>
      <c r="B109" s="135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5"/>
    </row>
    <row r="110" spans="1:20">
      <c r="A110" s="135"/>
      <c r="B110" s="135"/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</row>
    <row r="111" spans="1:20">
      <c r="A111" s="135"/>
      <c r="B111" s="135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</row>
    <row r="112" spans="1:20">
      <c r="A112" s="135"/>
      <c r="B112" s="135"/>
      <c r="C112" s="135"/>
      <c r="D112" s="135"/>
      <c r="E112" s="135"/>
      <c r="F112" s="135"/>
      <c r="G112" s="135"/>
      <c r="H112" s="135"/>
      <c r="I112" s="135"/>
      <c r="J112" s="135"/>
      <c r="K112" s="135"/>
      <c r="L112" s="135"/>
      <c r="M112" s="135"/>
      <c r="N112" s="135"/>
      <c r="O112" s="135"/>
      <c r="P112" s="135"/>
      <c r="Q112" s="135"/>
      <c r="R112" s="135"/>
      <c r="S112" s="135"/>
      <c r="T112" s="135"/>
    </row>
    <row r="113" spans="1:20">
      <c r="A113" s="135"/>
      <c r="B113" s="135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</row>
    <row r="114" spans="1:20">
      <c r="A114" s="135"/>
      <c r="B114" s="13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</row>
    <row r="115" spans="1:20">
      <c r="A115" s="135"/>
      <c r="B115" s="135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</row>
    <row r="116" spans="1:20">
      <c r="A116" s="135"/>
      <c r="B116" s="135"/>
      <c r="C116" s="135"/>
      <c r="D116" s="135"/>
      <c r="E116" s="135"/>
      <c r="F116" s="135"/>
      <c r="G116" s="135"/>
      <c r="H116" s="135"/>
      <c r="I116" s="135"/>
      <c r="J116" s="135"/>
      <c r="K116" s="135"/>
      <c r="L116" s="135"/>
      <c r="M116" s="135"/>
      <c r="N116" s="135"/>
      <c r="O116" s="135"/>
      <c r="P116" s="135"/>
      <c r="Q116" s="135"/>
      <c r="R116" s="135"/>
      <c r="S116" s="135"/>
      <c r="T116" s="135"/>
    </row>
    <row r="117" spans="1:20">
      <c r="A117" s="135"/>
      <c r="B117" s="135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</row>
    <row r="118" spans="1:20">
      <c r="A118" s="135"/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5"/>
    </row>
    <row r="119" spans="1:20">
      <c r="A119" s="135"/>
      <c r="B119" s="135"/>
      <c r="C119" s="135"/>
      <c r="D119" s="135"/>
      <c r="E119" s="135"/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35"/>
      <c r="S119" s="135"/>
      <c r="T119" s="135"/>
    </row>
    <row r="120" spans="1:20">
      <c r="A120" s="135"/>
      <c r="B120" s="135"/>
      <c r="C120" s="135"/>
      <c r="D120" s="135"/>
      <c r="E120" s="135"/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35"/>
      <c r="S120" s="135"/>
      <c r="T120" s="135"/>
    </row>
    <row r="121" spans="1:20">
      <c r="A121" s="135"/>
      <c r="B121" s="135"/>
      <c r="C121" s="135"/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</row>
    <row r="122" spans="1:20">
      <c r="A122" s="135"/>
      <c r="B122" s="135"/>
      <c r="C122" s="135"/>
      <c r="D122" s="135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</row>
    <row r="123" spans="1:20">
      <c r="A123" s="135"/>
      <c r="B123" s="135"/>
      <c r="C123" s="135"/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5"/>
      <c r="S123" s="135"/>
      <c r="T123" s="135"/>
    </row>
    <row r="124" spans="1:20">
      <c r="A124" s="135"/>
      <c r="B124" s="135"/>
      <c r="C124" s="135"/>
      <c r="D124" s="135"/>
      <c r="E124" s="135"/>
      <c r="F124" s="135"/>
      <c r="G124" s="135"/>
      <c r="H124" s="135"/>
      <c r="I124" s="135"/>
      <c r="J124" s="135"/>
      <c r="K124" s="135"/>
      <c r="L124" s="135"/>
      <c r="M124" s="135"/>
      <c r="N124" s="135"/>
      <c r="O124" s="135"/>
      <c r="P124" s="135"/>
      <c r="Q124" s="135"/>
      <c r="R124" s="135"/>
      <c r="S124" s="135"/>
      <c r="T124" s="135"/>
    </row>
    <row r="125" spans="1:20">
      <c r="A125" s="135"/>
      <c r="B125" s="135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</row>
    <row r="126" spans="1:20">
      <c r="A126" s="135"/>
      <c r="B126" s="135"/>
      <c r="C126" s="135"/>
      <c r="D126" s="135"/>
      <c r="E126" s="135"/>
      <c r="F126" s="135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</row>
    <row r="127" spans="1:20">
      <c r="A127" s="135"/>
      <c r="B127" s="135"/>
      <c r="C127" s="135"/>
      <c r="D127" s="135"/>
      <c r="E127" s="135"/>
      <c r="F127" s="135"/>
      <c r="G127" s="135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35"/>
      <c r="S127" s="135"/>
      <c r="T127" s="135"/>
    </row>
    <row r="128" spans="1:20">
      <c r="A128" s="135"/>
      <c r="B128" s="135"/>
      <c r="C128" s="135"/>
      <c r="D128" s="135"/>
      <c r="E128" s="135"/>
      <c r="F128" s="135"/>
      <c r="G128" s="135"/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35"/>
    </row>
    <row r="129" spans="1:20">
      <c r="A129" s="135"/>
      <c r="B129" s="135"/>
      <c r="C129" s="135"/>
      <c r="D129" s="135"/>
      <c r="E129" s="135"/>
      <c r="F129" s="135"/>
      <c r="G129" s="13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35"/>
      <c r="S129" s="135"/>
      <c r="T129" s="135"/>
    </row>
    <row r="130" spans="1:20">
      <c r="A130" s="135"/>
      <c r="B130" s="135"/>
      <c r="C130" s="135"/>
      <c r="D130" s="135"/>
      <c r="E130" s="135"/>
      <c r="F130" s="135"/>
      <c r="G130" s="135"/>
      <c r="H130" s="135"/>
      <c r="I130" s="135"/>
      <c r="J130" s="135"/>
      <c r="K130" s="135"/>
      <c r="L130" s="135"/>
      <c r="M130" s="135"/>
      <c r="N130" s="135"/>
      <c r="O130" s="135"/>
      <c r="P130" s="135"/>
      <c r="Q130" s="135"/>
      <c r="R130" s="135"/>
      <c r="S130" s="135"/>
      <c r="T130" s="135"/>
    </row>
    <row r="131" spans="1:20">
      <c r="A131" s="135"/>
      <c r="B131" s="135"/>
      <c r="C131" s="135"/>
      <c r="D131" s="135"/>
      <c r="E131" s="135"/>
      <c r="F131" s="135"/>
      <c r="G131" s="135"/>
      <c r="H131" s="135"/>
      <c r="I131" s="135"/>
      <c r="J131" s="135"/>
      <c r="K131" s="135"/>
      <c r="L131" s="135"/>
      <c r="M131" s="135"/>
      <c r="N131" s="135"/>
      <c r="O131" s="135"/>
      <c r="P131" s="135"/>
      <c r="Q131" s="135"/>
      <c r="R131" s="135"/>
      <c r="S131" s="135"/>
      <c r="T131" s="135"/>
    </row>
    <row r="132" spans="1:20">
      <c r="A132" s="135"/>
      <c r="B132" s="135"/>
      <c r="C132" s="135"/>
      <c r="D132" s="135"/>
      <c r="E132" s="135"/>
      <c r="F132" s="135"/>
      <c r="G132" s="135"/>
      <c r="H132" s="135"/>
      <c r="I132" s="135"/>
      <c r="J132" s="135"/>
      <c r="K132" s="135"/>
      <c r="L132" s="135"/>
      <c r="M132" s="135"/>
      <c r="N132" s="135"/>
      <c r="O132" s="135"/>
      <c r="P132" s="135"/>
      <c r="Q132" s="135"/>
      <c r="R132" s="135"/>
      <c r="S132" s="135"/>
      <c r="T132" s="135"/>
    </row>
    <row r="133" spans="1:20">
      <c r="A133" s="135"/>
      <c r="B133" s="135"/>
      <c r="C133" s="135"/>
      <c r="D133" s="135"/>
      <c r="E133" s="135"/>
      <c r="F133" s="135"/>
      <c r="G133" s="135"/>
      <c r="H133" s="135"/>
      <c r="I133" s="135"/>
      <c r="J133" s="135"/>
      <c r="K133" s="135"/>
      <c r="L133" s="135"/>
      <c r="M133" s="135"/>
      <c r="N133" s="135"/>
      <c r="O133" s="135"/>
      <c r="P133" s="135"/>
      <c r="Q133" s="135"/>
      <c r="R133" s="135"/>
      <c r="S133" s="135"/>
      <c r="T133" s="135"/>
    </row>
    <row r="134" spans="1:20">
      <c r="A134" s="135"/>
      <c r="B134" s="135"/>
      <c r="C134" s="135"/>
      <c r="D134" s="135"/>
      <c r="E134" s="135"/>
      <c r="F134" s="135"/>
      <c r="G134" s="135"/>
      <c r="H134" s="135"/>
      <c r="I134" s="135"/>
      <c r="J134" s="135"/>
      <c r="K134" s="135"/>
      <c r="L134" s="135"/>
      <c r="M134" s="135"/>
      <c r="N134" s="135"/>
      <c r="O134" s="135"/>
      <c r="P134" s="135"/>
      <c r="Q134" s="135"/>
      <c r="R134" s="135"/>
      <c r="S134" s="135"/>
      <c r="T134" s="135"/>
    </row>
    <row r="135" spans="1:20">
      <c r="A135" s="135"/>
      <c r="B135" s="135"/>
      <c r="C135" s="135"/>
      <c r="D135" s="135"/>
      <c r="E135" s="135"/>
      <c r="F135" s="135"/>
      <c r="G135" s="135"/>
      <c r="H135" s="135"/>
      <c r="I135" s="135"/>
      <c r="J135" s="135"/>
      <c r="K135" s="135"/>
      <c r="L135" s="135"/>
      <c r="M135" s="135"/>
      <c r="N135" s="135"/>
      <c r="O135" s="135"/>
      <c r="P135" s="135"/>
      <c r="Q135" s="135"/>
      <c r="R135" s="135"/>
      <c r="S135" s="135"/>
      <c r="T135" s="135"/>
    </row>
    <row r="136" spans="1:20">
      <c r="A136" s="135"/>
      <c r="B136" s="135"/>
      <c r="C136" s="135"/>
      <c r="D136" s="135"/>
      <c r="E136" s="135"/>
      <c r="F136" s="135"/>
      <c r="G136" s="135"/>
      <c r="H136" s="135"/>
      <c r="I136" s="135"/>
      <c r="J136" s="135"/>
      <c r="K136" s="135"/>
      <c r="L136" s="135"/>
      <c r="M136" s="135"/>
      <c r="N136" s="135"/>
      <c r="O136" s="135"/>
      <c r="P136" s="135"/>
      <c r="Q136" s="135"/>
      <c r="R136" s="135"/>
      <c r="S136" s="135"/>
      <c r="T136" s="135"/>
    </row>
    <row r="137" spans="1:20">
      <c r="A137" s="135"/>
      <c r="B137" s="135"/>
      <c r="C137" s="135"/>
      <c r="D137" s="135"/>
      <c r="E137" s="135"/>
      <c r="F137" s="135"/>
      <c r="G137" s="135"/>
      <c r="H137" s="135"/>
      <c r="I137" s="135"/>
      <c r="J137" s="135"/>
      <c r="K137" s="135"/>
      <c r="L137" s="135"/>
      <c r="M137" s="135"/>
      <c r="N137" s="135"/>
      <c r="O137" s="135"/>
      <c r="P137" s="135"/>
      <c r="Q137" s="135"/>
      <c r="R137" s="135"/>
      <c r="S137" s="135"/>
      <c r="T137" s="135"/>
    </row>
    <row r="138" spans="1:20">
      <c r="A138" s="135"/>
      <c r="B138" s="135"/>
      <c r="C138" s="135"/>
      <c r="D138" s="135"/>
      <c r="E138" s="135"/>
      <c r="F138" s="135"/>
      <c r="G138" s="13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5"/>
      <c r="S138" s="135"/>
      <c r="T138" s="135"/>
    </row>
    <row r="139" spans="1:20">
      <c r="A139" s="135"/>
      <c r="B139" s="135"/>
      <c r="C139" s="135"/>
      <c r="D139" s="135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</row>
    <row r="140" spans="1:20">
      <c r="A140" s="135"/>
      <c r="B140" s="135"/>
      <c r="C140" s="135"/>
      <c r="D140" s="135"/>
      <c r="E140" s="135"/>
      <c r="F140" s="135"/>
      <c r="G140" s="135"/>
      <c r="H140" s="135"/>
      <c r="I140" s="135"/>
      <c r="J140" s="135"/>
      <c r="K140" s="135"/>
      <c r="L140" s="135"/>
      <c r="M140" s="135"/>
      <c r="N140" s="135"/>
      <c r="O140" s="135"/>
      <c r="P140" s="135"/>
      <c r="Q140" s="135"/>
      <c r="R140" s="135"/>
      <c r="S140" s="135"/>
      <c r="T140" s="135"/>
    </row>
    <row r="141" spans="1:20">
      <c r="A141" s="135"/>
      <c r="B141" s="135"/>
      <c r="C141" s="135"/>
      <c r="D141" s="135"/>
      <c r="E141" s="135"/>
      <c r="F141" s="135"/>
      <c r="G141" s="135"/>
      <c r="H141" s="135"/>
      <c r="I141" s="135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</row>
    <row r="142" spans="1:20">
      <c r="A142" s="135"/>
      <c r="B142" s="135"/>
      <c r="C142" s="135"/>
      <c r="D142" s="135"/>
      <c r="E142" s="135"/>
      <c r="F142" s="135"/>
      <c r="G142" s="135"/>
      <c r="H142" s="135"/>
      <c r="I142" s="135"/>
      <c r="J142" s="135"/>
      <c r="K142" s="135"/>
      <c r="L142" s="135"/>
      <c r="M142" s="135"/>
      <c r="N142" s="135"/>
      <c r="O142" s="135"/>
      <c r="P142" s="135"/>
      <c r="Q142" s="135"/>
      <c r="R142" s="135"/>
      <c r="S142" s="135"/>
      <c r="T142" s="135"/>
    </row>
    <row r="143" spans="1:20">
      <c r="A143" s="135"/>
      <c r="B143" s="135"/>
      <c r="C143" s="135"/>
      <c r="D143" s="135"/>
      <c r="E143" s="135"/>
      <c r="F143" s="135"/>
      <c r="G143" s="135"/>
      <c r="H143" s="135"/>
      <c r="I143" s="135"/>
      <c r="J143" s="135"/>
      <c r="K143" s="135"/>
      <c r="L143" s="135"/>
      <c r="M143" s="135"/>
      <c r="N143" s="135"/>
      <c r="O143" s="135"/>
      <c r="P143" s="135"/>
      <c r="Q143" s="135"/>
      <c r="R143" s="135"/>
      <c r="S143" s="135"/>
      <c r="T143" s="135"/>
    </row>
    <row r="144" spans="1:20">
      <c r="A144" s="135"/>
      <c r="B144" s="135"/>
      <c r="C144" s="135"/>
      <c r="D144" s="135"/>
      <c r="E144" s="135"/>
      <c r="F144" s="135"/>
      <c r="G144" s="135"/>
      <c r="H144" s="135"/>
      <c r="I144" s="135"/>
      <c r="J144" s="135"/>
      <c r="K144" s="135"/>
      <c r="L144" s="135"/>
      <c r="M144" s="135"/>
      <c r="N144" s="135"/>
      <c r="O144" s="135"/>
      <c r="P144" s="135"/>
      <c r="Q144" s="135"/>
      <c r="R144" s="135"/>
      <c r="S144" s="135"/>
      <c r="T144" s="135"/>
    </row>
    <row r="145" spans="1:20">
      <c r="A145" s="135"/>
      <c r="B145" s="135"/>
      <c r="C145" s="135"/>
      <c r="D145" s="135"/>
      <c r="E145" s="135"/>
      <c r="F145" s="135"/>
      <c r="G145" s="135"/>
      <c r="H145" s="135"/>
      <c r="I145" s="135"/>
      <c r="J145" s="135"/>
      <c r="K145" s="135"/>
      <c r="L145" s="135"/>
      <c r="M145" s="135"/>
      <c r="N145" s="135"/>
      <c r="O145" s="135"/>
      <c r="P145" s="135"/>
      <c r="Q145" s="135"/>
      <c r="R145" s="135"/>
      <c r="S145" s="135"/>
      <c r="T145" s="135"/>
    </row>
    <row r="146" spans="1:20">
      <c r="A146" s="135"/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  <c r="T146" s="135"/>
    </row>
    <row r="147" spans="1:20">
      <c r="A147" s="135"/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  <c r="T147" s="135"/>
    </row>
    <row r="148" spans="1:20">
      <c r="A148" s="135"/>
      <c r="B148" s="135"/>
      <c r="C148" s="135"/>
      <c r="D148" s="135"/>
      <c r="E148" s="135"/>
      <c r="F148" s="135"/>
      <c r="G148" s="135"/>
      <c r="H148" s="135"/>
      <c r="I148" s="135"/>
      <c r="J148" s="135"/>
      <c r="K148" s="135"/>
      <c r="L148" s="135"/>
      <c r="M148" s="135"/>
      <c r="N148" s="135"/>
      <c r="O148" s="135"/>
      <c r="P148" s="135"/>
      <c r="Q148" s="135"/>
      <c r="R148" s="135"/>
      <c r="S148" s="135"/>
      <c r="T148" s="135"/>
    </row>
    <row r="149" spans="1:20">
      <c r="A149" s="135"/>
      <c r="B149" s="135"/>
      <c r="C149" s="135"/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</row>
    <row r="150" spans="1:20">
      <c r="A150" s="135"/>
      <c r="B150" s="135"/>
      <c r="C150" s="135"/>
      <c r="D150" s="135"/>
      <c r="E150" s="135"/>
      <c r="F150" s="135"/>
      <c r="G150" s="135"/>
      <c r="H150" s="135"/>
      <c r="I150" s="135"/>
      <c r="J150" s="135"/>
      <c r="K150" s="135"/>
      <c r="L150" s="135"/>
      <c r="M150" s="135"/>
      <c r="N150" s="135"/>
      <c r="O150" s="135"/>
      <c r="P150" s="135"/>
      <c r="Q150" s="135"/>
      <c r="R150" s="135"/>
      <c r="S150" s="135"/>
      <c r="T150" s="135"/>
    </row>
    <row r="151" spans="1:20">
      <c r="A151" s="135"/>
      <c r="B151" s="135"/>
      <c r="C151" s="135"/>
      <c r="D151" s="135"/>
      <c r="E151" s="135"/>
      <c r="F151" s="135"/>
      <c r="G151" s="135"/>
      <c r="H151" s="135"/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</row>
    <row r="152" spans="1:20">
      <c r="A152" s="135"/>
      <c r="B152" s="135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</row>
    <row r="153" spans="1:20">
      <c r="A153" s="135"/>
      <c r="B153" s="135"/>
      <c r="C153" s="135"/>
      <c r="D153" s="13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</row>
    <row r="154" spans="1:20">
      <c r="A154" s="135"/>
      <c r="B154" s="135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</row>
    <row r="155" spans="1:20">
      <c r="A155" s="135"/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</row>
    <row r="156" spans="1:20">
      <c r="A156" s="135"/>
      <c r="B156" s="135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</row>
    <row r="157" spans="1:20">
      <c r="A157" s="135"/>
      <c r="B157" s="135"/>
      <c r="C157" s="135"/>
      <c r="D157" s="13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</row>
    <row r="158" spans="1:20">
      <c r="A158" s="135"/>
      <c r="B158" s="135"/>
      <c r="C158" s="135"/>
      <c r="D158" s="135"/>
      <c r="E158" s="135"/>
      <c r="F158" s="135"/>
      <c r="G158" s="135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</row>
    <row r="159" spans="1:20">
      <c r="A159" s="135"/>
      <c r="B159" s="135"/>
      <c r="C159" s="135"/>
      <c r="D159" s="135"/>
      <c r="E159" s="135"/>
      <c r="F159" s="135"/>
      <c r="G159" s="135"/>
      <c r="H159" s="135"/>
      <c r="I159" s="135"/>
      <c r="J159" s="135"/>
      <c r="K159" s="135"/>
      <c r="L159" s="135"/>
      <c r="M159" s="135"/>
      <c r="N159" s="135"/>
      <c r="O159" s="135"/>
      <c r="P159" s="135"/>
      <c r="Q159" s="135"/>
      <c r="R159" s="135"/>
      <c r="S159" s="135"/>
      <c r="T159" s="135"/>
    </row>
    <row r="160" spans="1:20">
      <c r="A160" s="135"/>
      <c r="B160" s="135"/>
      <c r="C160" s="135"/>
      <c r="D160" s="135"/>
      <c r="E160" s="135"/>
      <c r="F160" s="135"/>
      <c r="G160" s="135"/>
      <c r="H160" s="135"/>
      <c r="I160" s="135"/>
      <c r="J160" s="135"/>
      <c r="K160" s="135"/>
      <c r="L160" s="135"/>
      <c r="M160" s="135"/>
      <c r="N160" s="135"/>
      <c r="O160" s="135"/>
      <c r="P160" s="135"/>
      <c r="Q160" s="135"/>
      <c r="R160" s="135"/>
      <c r="S160" s="135"/>
      <c r="T160" s="135"/>
    </row>
    <row r="161" spans="1:20">
      <c r="A161" s="135"/>
      <c r="B161" s="135"/>
      <c r="C161" s="135"/>
      <c r="D161" s="135"/>
      <c r="E161" s="135"/>
      <c r="F161" s="135"/>
      <c r="G161" s="135"/>
      <c r="H161" s="135"/>
      <c r="I161" s="135"/>
      <c r="J161" s="135"/>
      <c r="K161" s="135"/>
      <c r="L161" s="135"/>
      <c r="M161" s="135"/>
      <c r="N161" s="135"/>
      <c r="O161" s="135"/>
      <c r="P161" s="135"/>
      <c r="Q161" s="135"/>
      <c r="R161" s="135"/>
      <c r="S161" s="135"/>
      <c r="T161" s="135"/>
    </row>
    <row r="162" spans="1:20">
      <c r="A162" s="135"/>
      <c r="B162" s="135"/>
      <c r="C162" s="135"/>
      <c r="D162" s="135"/>
      <c r="E162" s="135"/>
      <c r="F162" s="135"/>
      <c r="G162" s="135"/>
      <c r="H162" s="135"/>
      <c r="I162" s="135"/>
      <c r="J162" s="135"/>
      <c r="K162" s="135"/>
      <c r="L162" s="135"/>
      <c r="M162" s="135"/>
      <c r="N162" s="135"/>
      <c r="O162" s="135"/>
      <c r="P162" s="135"/>
      <c r="Q162" s="135"/>
      <c r="R162" s="135"/>
      <c r="S162" s="135"/>
      <c r="T162" s="135"/>
    </row>
    <row r="163" spans="1:20">
      <c r="A163" s="135"/>
      <c r="B163" s="135"/>
      <c r="C163" s="135"/>
      <c r="D163" s="135"/>
      <c r="E163" s="135"/>
      <c r="F163" s="135"/>
      <c r="G163" s="135"/>
      <c r="H163" s="135"/>
      <c r="I163" s="135"/>
      <c r="J163" s="135"/>
      <c r="K163" s="135"/>
      <c r="L163" s="135"/>
      <c r="M163" s="135"/>
      <c r="N163" s="135"/>
      <c r="O163" s="135"/>
      <c r="P163" s="135"/>
      <c r="Q163" s="135"/>
      <c r="R163" s="135"/>
      <c r="S163" s="135"/>
      <c r="T163" s="135"/>
    </row>
    <row r="164" spans="1:20">
      <c r="A164" s="135"/>
      <c r="B164" s="135"/>
      <c r="C164" s="135"/>
      <c r="D164" s="135"/>
      <c r="E164" s="135"/>
      <c r="F164" s="135"/>
      <c r="G164" s="135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</row>
    <row r="165" spans="1:20">
      <c r="A165" s="135"/>
      <c r="B165" s="135"/>
      <c r="C165" s="135"/>
      <c r="D165" s="135"/>
      <c r="E165" s="135"/>
      <c r="F165" s="135"/>
      <c r="G165" s="135"/>
      <c r="H165" s="135"/>
      <c r="I165" s="135"/>
      <c r="J165" s="135"/>
      <c r="K165" s="135"/>
      <c r="L165" s="135"/>
      <c r="M165" s="135"/>
      <c r="N165" s="135"/>
      <c r="O165" s="135"/>
      <c r="P165" s="135"/>
      <c r="Q165" s="135"/>
      <c r="R165" s="135"/>
      <c r="S165" s="135"/>
      <c r="T165" s="135"/>
    </row>
    <row r="166" spans="1:20">
      <c r="A166" s="135"/>
      <c r="B166" s="135"/>
      <c r="C166" s="135"/>
      <c r="D166" s="135"/>
      <c r="E166" s="135"/>
      <c r="F166" s="135"/>
      <c r="G166" s="135"/>
      <c r="H166" s="135"/>
      <c r="I166" s="135"/>
      <c r="J166" s="135"/>
      <c r="K166" s="135"/>
      <c r="L166" s="135"/>
      <c r="M166" s="135"/>
      <c r="N166" s="135"/>
      <c r="O166" s="135"/>
      <c r="P166" s="135"/>
      <c r="Q166" s="135"/>
      <c r="R166" s="135"/>
      <c r="S166" s="135"/>
      <c r="T166" s="135"/>
    </row>
    <row r="167" spans="1:20">
      <c r="A167" s="135"/>
      <c r="B167" s="135"/>
      <c r="C167" s="135"/>
      <c r="D167" s="135"/>
      <c r="E167" s="135"/>
      <c r="F167" s="135"/>
      <c r="G167" s="135"/>
      <c r="H167" s="135"/>
      <c r="I167" s="135"/>
      <c r="J167" s="135"/>
      <c r="K167" s="135"/>
      <c r="L167" s="135"/>
      <c r="M167" s="135"/>
      <c r="N167" s="135"/>
      <c r="O167" s="135"/>
      <c r="P167" s="135"/>
      <c r="Q167" s="135"/>
      <c r="R167" s="135"/>
      <c r="S167" s="135"/>
      <c r="T167" s="135"/>
    </row>
    <row r="168" spans="1:20">
      <c r="A168" s="135"/>
      <c r="B168" s="135"/>
      <c r="C168" s="135"/>
      <c r="D168" s="135"/>
      <c r="E168" s="135"/>
      <c r="F168" s="135"/>
      <c r="G168" s="135"/>
      <c r="H168" s="135"/>
      <c r="I168" s="135"/>
      <c r="J168" s="135"/>
      <c r="K168" s="135"/>
      <c r="L168" s="135"/>
      <c r="M168" s="135"/>
      <c r="N168" s="135"/>
      <c r="O168" s="135"/>
      <c r="P168" s="135"/>
      <c r="Q168" s="135"/>
      <c r="R168" s="135"/>
      <c r="S168" s="135"/>
      <c r="T168" s="135"/>
    </row>
    <row r="169" spans="1:20">
      <c r="A169" s="135"/>
      <c r="B169" s="135"/>
      <c r="C169" s="135"/>
      <c r="D169" s="135"/>
      <c r="E169" s="135"/>
      <c r="F169" s="135"/>
      <c r="G169" s="135"/>
      <c r="H169" s="135"/>
      <c r="I169" s="135"/>
      <c r="J169" s="135"/>
      <c r="K169" s="135"/>
      <c r="L169" s="135"/>
      <c r="M169" s="135"/>
      <c r="N169" s="135"/>
      <c r="O169" s="135"/>
      <c r="P169" s="135"/>
      <c r="Q169" s="135"/>
      <c r="R169" s="135"/>
      <c r="S169" s="135"/>
      <c r="T169" s="135"/>
    </row>
    <row r="170" spans="1:20">
      <c r="A170" s="135"/>
      <c r="B170" s="135"/>
      <c r="C170" s="135"/>
      <c r="D170" s="135"/>
      <c r="E170" s="135"/>
      <c r="F170" s="135"/>
      <c r="G170" s="135"/>
      <c r="H170" s="135"/>
      <c r="I170" s="135"/>
      <c r="J170" s="135"/>
      <c r="K170" s="135"/>
      <c r="L170" s="135"/>
      <c r="M170" s="135"/>
      <c r="N170" s="135"/>
      <c r="O170" s="135"/>
      <c r="P170" s="135"/>
      <c r="Q170" s="135"/>
      <c r="R170" s="135"/>
      <c r="S170" s="135"/>
      <c r="T170" s="135"/>
    </row>
    <row r="171" spans="1:20">
      <c r="A171" s="135"/>
      <c r="B171" s="135"/>
      <c r="C171" s="135"/>
      <c r="D171" s="135"/>
      <c r="E171" s="135"/>
      <c r="F171" s="135"/>
      <c r="G171" s="135"/>
      <c r="H171" s="135"/>
      <c r="I171" s="135"/>
      <c r="J171" s="135"/>
      <c r="K171" s="135"/>
      <c r="L171" s="135"/>
      <c r="M171" s="135"/>
      <c r="N171" s="135"/>
      <c r="O171" s="135"/>
      <c r="P171" s="135"/>
      <c r="Q171" s="135"/>
      <c r="R171" s="135"/>
      <c r="S171" s="135"/>
      <c r="T171" s="135"/>
    </row>
    <row r="172" spans="1:20">
      <c r="A172" s="135"/>
      <c r="B172" s="135"/>
      <c r="C172" s="135"/>
      <c r="D172" s="135"/>
      <c r="E172" s="135"/>
      <c r="F172" s="135"/>
      <c r="G172" s="135"/>
      <c r="H172" s="135"/>
      <c r="I172" s="135"/>
      <c r="J172" s="135"/>
      <c r="K172" s="135"/>
      <c r="L172" s="135"/>
      <c r="M172" s="135"/>
      <c r="N172" s="135"/>
      <c r="O172" s="135"/>
      <c r="P172" s="135"/>
      <c r="Q172" s="135"/>
      <c r="R172" s="135"/>
      <c r="S172" s="135"/>
      <c r="T172" s="135"/>
    </row>
    <row r="173" spans="1:20">
      <c r="A173" s="135"/>
      <c r="B173" s="135"/>
      <c r="C173" s="135"/>
      <c r="D173" s="135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</row>
    <row r="174" spans="1:20">
      <c r="A174" s="135"/>
      <c r="B174" s="135"/>
      <c r="C174" s="135"/>
      <c r="D174" s="135"/>
      <c r="E174" s="135"/>
      <c r="F174" s="135"/>
      <c r="G174" s="135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5"/>
      <c r="S174" s="135"/>
      <c r="T174" s="135"/>
    </row>
    <row r="175" spans="1:20">
      <c r="A175" s="135"/>
      <c r="B175" s="135"/>
      <c r="C175" s="135"/>
      <c r="D175" s="135"/>
      <c r="E175" s="135"/>
      <c r="F175" s="135"/>
      <c r="G175" s="135"/>
      <c r="H175" s="135"/>
      <c r="I175" s="135"/>
      <c r="J175" s="135"/>
      <c r="K175" s="135"/>
      <c r="L175" s="135"/>
      <c r="M175" s="135"/>
      <c r="N175" s="135"/>
      <c r="O175" s="135"/>
      <c r="P175" s="135"/>
      <c r="Q175" s="135"/>
      <c r="R175" s="135"/>
      <c r="S175" s="135"/>
      <c r="T175" s="135"/>
    </row>
    <row r="176" spans="1:20">
      <c r="A176" s="135"/>
      <c r="B176" s="135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</row>
    <row r="177" spans="1:20">
      <c r="A177" s="135"/>
      <c r="B177" s="135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</row>
    <row r="178" spans="1:20">
      <c r="A178" s="135"/>
      <c r="B178" s="135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</row>
    <row r="179" spans="1:20">
      <c r="A179" s="135"/>
      <c r="B179" s="135"/>
      <c r="C179" s="135"/>
      <c r="D179" s="135"/>
      <c r="E179" s="135"/>
      <c r="F179" s="135"/>
      <c r="G179" s="135"/>
      <c r="H179" s="135"/>
      <c r="I179" s="135"/>
      <c r="J179" s="135"/>
      <c r="K179" s="135"/>
      <c r="L179" s="135"/>
      <c r="M179" s="135"/>
      <c r="N179" s="135"/>
      <c r="O179" s="135"/>
      <c r="P179" s="135"/>
      <c r="Q179" s="135"/>
      <c r="R179" s="135"/>
      <c r="S179" s="135"/>
      <c r="T179" s="135"/>
    </row>
    <row r="180" spans="1:20">
      <c r="A180" s="135"/>
      <c r="B180" s="135"/>
      <c r="C180" s="135"/>
      <c r="D180" s="135"/>
      <c r="E180" s="135"/>
      <c r="F180" s="135"/>
      <c r="G180" s="135"/>
      <c r="H180" s="135"/>
      <c r="I180" s="135"/>
      <c r="J180" s="135"/>
      <c r="K180" s="135"/>
      <c r="L180" s="135"/>
      <c r="M180" s="135"/>
      <c r="N180" s="135"/>
      <c r="O180" s="135"/>
      <c r="P180" s="135"/>
      <c r="Q180" s="135"/>
      <c r="R180" s="135"/>
      <c r="S180" s="135"/>
      <c r="T180" s="135"/>
    </row>
    <row r="181" spans="1:20">
      <c r="A181" s="135"/>
      <c r="B181" s="135"/>
      <c r="C181" s="135"/>
      <c r="D181" s="135"/>
      <c r="E181" s="135"/>
      <c r="F181" s="135"/>
      <c r="G181" s="135"/>
      <c r="H181" s="135"/>
      <c r="I181" s="135"/>
      <c r="J181" s="135"/>
      <c r="K181" s="135"/>
      <c r="L181" s="135"/>
      <c r="M181" s="135"/>
      <c r="N181" s="135"/>
      <c r="O181" s="135"/>
      <c r="P181" s="135"/>
      <c r="Q181" s="135"/>
      <c r="R181" s="135"/>
      <c r="S181" s="135"/>
      <c r="T181" s="135"/>
    </row>
    <row r="182" spans="1:20">
      <c r="A182" s="135"/>
      <c r="B182" s="135"/>
      <c r="C182" s="135"/>
      <c r="D182" s="135"/>
      <c r="E182" s="135"/>
      <c r="F182" s="135"/>
      <c r="G182" s="135"/>
      <c r="H182" s="135"/>
      <c r="I182" s="135"/>
      <c r="J182" s="135"/>
      <c r="K182" s="135"/>
      <c r="L182" s="135"/>
      <c r="M182" s="135"/>
      <c r="N182" s="135"/>
      <c r="O182" s="135"/>
      <c r="P182" s="135"/>
      <c r="Q182" s="135"/>
      <c r="R182" s="135"/>
      <c r="S182" s="135"/>
      <c r="T182" s="135"/>
    </row>
    <row r="183" spans="1:20">
      <c r="A183" s="135"/>
      <c r="B183" s="135"/>
      <c r="C183" s="135"/>
      <c r="D183" s="135"/>
      <c r="E183" s="135"/>
      <c r="F183" s="135"/>
      <c r="G183" s="135"/>
      <c r="H183" s="135"/>
      <c r="I183" s="135"/>
      <c r="J183" s="135"/>
      <c r="K183" s="135"/>
      <c r="L183" s="135"/>
      <c r="M183" s="135"/>
      <c r="N183" s="135"/>
      <c r="O183" s="135"/>
      <c r="P183" s="135"/>
      <c r="Q183" s="135"/>
      <c r="R183" s="135"/>
      <c r="S183" s="135"/>
      <c r="T183" s="135"/>
    </row>
    <row r="184" spans="1:20">
      <c r="A184" s="135"/>
      <c r="B184" s="135"/>
      <c r="C184" s="135"/>
      <c r="D184" s="135"/>
      <c r="E184" s="135"/>
      <c r="F184" s="135"/>
      <c r="G184" s="135"/>
      <c r="H184" s="135"/>
      <c r="I184" s="135"/>
      <c r="J184" s="135"/>
      <c r="K184" s="135"/>
      <c r="L184" s="135"/>
      <c r="M184" s="135"/>
      <c r="N184" s="135"/>
      <c r="O184" s="135"/>
      <c r="P184" s="135"/>
      <c r="Q184" s="135"/>
      <c r="R184" s="135"/>
      <c r="S184" s="135"/>
      <c r="T184" s="135"/>
    </row>
    <row r="185" spans="1:20">
      <c r="A185" s="135"/>
      <c r="B185" s="135"/>
      <c r="C185" s="135"/>
      <c r="D185" s="135"/>
      <c r="E185" s="135"/>
      <c r="F185" s="135"/>
      <c r="G185" s="135"/>
      <c r="H185" s="135"/>
      <c r="I185" s="135"/>
      <c r="J185" s="135"/>
      <c r="K185" s="135"/>
      <c r="L185" s="135"/>
      <c r="M185" s="135"/>
      <c r="N185" s="135"/>
      <c r="O185" s="135"/>
      <c r="P185" s="135"/>
      <c r="Q185" s="135"/>
      <c r="R185" s="135"/>
      <c r="S185" s="135"/>
      <c r="T185" s="135"/>
    </row>
    <row r="186" spans="1:20">
      <c r="A186" s="135"/>
      <c r="B186" s="135"/>
      <c r="C186" s="135"/>
      <c r="D186" s="135"/>
      <c r="E186" s="135"/>
      <c r="F186" s="135"/>
      <c r="G186" s="135"/>
      <c r="H186" s="135"/>
      <c r="I186" s="135"/>
      <c r="J186" s="135"/>
      <c r="K186" s="135"/>
      <c r="L186" s="135"/>
      <c r="M186" s="135"/>
      <c r="N186" s="135"/>
      <c r="O186" s="135"/>
      <c r="P186" s="135"/>
      <c r="Q186" s="135"/>
      <c r="R186" s="135"/>
      <c r="S186" s="135"/>
      <c r="T186" s="135"/>
    </row>
    <row r="187" spans="1:20">
      <c r="A187" s="135"/>
      <c r="B187" s="135"/>
      <c r="C187" s="135"/>
      <c r="D187" s="135"/>
      <c r="E187" s="135"/>
      <c r="F187" s="135"/>
      <c r="G187" s="135"/>
      <c r="H187" s="135"/>
      <c r="I187" s="135"/>
      <c r="J187" s="135"/>
      <c r="K187" s="135"/>
      <c r="L187" s="135"/>
      <c r="M187" s="135"/>
      <c r="N187" s="135"/>
      <c r="O187" s="135"/>
      <c r="P187" s="135"/>
      <c r="Q187" s="135"/>
      <c r="R187" s="135"/>
      <c r="S187" s="135"/>
      <c r="T187" s="135"/>
    </row>
    <row r="188" spans="1:20">
      <c r="A188" s="135"/>
      <c r="B188" s="135"/>
      <c r="C188" s="135"/>
      <c r="D188" s="135"/>
      <c r="E188" s="135"/>
      <c r="F188" s="135"/>
      <c r="G188" s="135"/>
      <c r="H188" s="135"/>
      <c r="I188" s="135"/>
      <c r="J188" s="135"/>
      <c r="K188" s="135"/>
      <c r="L188" s="135"/>
      <c r="M188" s="135"/>
      <c r="N188" s="135"/>
      <c r="O188" s="135"/>
      <c r="P188" s="135"/>
      <c r="Q188" s="135"/>
      <c r="R188" s="135"/>
      <c r="S188" s="135"/>
      <c r="T188" s="135"/>
    </row>
    <row r="189" spans="1:20">
      <c r="A189" s="135"/>
      <c r="B189" s="135"/>
      <c r="C189" s="135"/>
      <c r="D189" s="135"/>
      <c r="E189" s="135"/>
      <c r="F189" s="135"/>
      <c r="G189" s="135"/>
      <c r="H189" s="135"/>
      <c r="I189" s="135"/>
      <c r="J189" s="135"/>
      <c r="K189" s="135"/>
      <c r="L189" s="135"/>
      <c r="M189" s="135"/>
      <c r="N189" s="135"/>
      <c r="O189" s="135"/>
      <c r="P189" s="135"/>
      <c r="Q189" s="135"/>
      <c r="R189" s="135"/>
      <c r="S189" s="135"/>
      <c r="T189" s="135"/>
    </row>
    <row r="190" spans="1:20">
      <c r="A190" s="135"/>
      <c r="B190" s="135"/>
      <c r="C190" s="135"/>
      <c r="D190" s="135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</row>
    <row r="191" spans="1:20">
      <c r="A191" s="135"/>
      <c r="B191" s="135"/>
      <c r="C191" s="135"/>
      <c r="D191" s="135"/>
      <c r="E191" s="135"/>
      <c r="F191" s="135"/>
      <c r="G191" s="135"/>
      <c r="H191" s="135"/>
      <c r="I191" s="135"/>
      <c r="J191" s="135"/>
      <c r="K191" s="135"/>
      <c r="L191" s="135"/>
      <c r="M191" s="135"/>
      <c r="N191" s="135"/>
      <c r="O191" s="135"/>
      <c r="P191" s="135"/>
      <c r="Q191" s="135"/>
      <c r="R191" s="135"/>
      <c r="S191" s="135"/>
      <c r="T191" s="135"/>
    </row>
    <row r="192" spans="1:20">
      <c r="A192" s="135"/>
      <c r="B192" s="135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</row>
    <row r="193" spans="1:33">
      <c r="A193" s="135"/>
      <c r="B193" s="135"/>
      <c r="C193" s="135"/>
      <c r="D193" s="135"/>
      <c r="E193" s="135"/>
      <c r="F193" s="135"/>
      <c r="G193" s="135"/>
      <c r="H193" s="135"/>
      <c r="I193" s="135"/>
      <c r="J193" s="135"/>
      <c r="K193" s="135"/>
      <c r="L193" s="135"/>
      <c r="M193" s="135"/>
      <c r="N193" s="135"/>
      <c r="O193" s="135"/>
      <c r="P193" s="135"/>
      <c r="Q193" s="135"/>
      <c r="R193" s="135"/>
      <c r="S193" s="135"/>
      <c r="T193" s="135"/>
    </row>
    <row r="194" spans="1:33">
      <c r="A194" s="135"/>
      <c r="B194" s="135"/>
      <c r="C194" s="135"/>
      <c r="D194" s="135"/>
      <c r="E194" s="135"/>
      <c r="F194" s="135"/>
      <c r="G194" s="135"/>
      <c r="H194" s="135"/>
      <c r="I194" s="135"/>
      <c r="J194" s="135"/>
      <c r="K194" s="135"/>
      <c r="L194" s="135"/>
      <c r="M194" s="135"/>
      <c r="N194" s="135"/>
      <c r="O194" s="135"/>
      <c r="P194" s="135"/>
      <c r="Q194" s="135"/>
      <c r="R194" s="135"/>
      <c r="S194" s="135"/>
      <c r="T194" s="135"/>
    </row>
    <row r="195" spans="1:33">
      <c r="A195" s="135"/>
      <c r="B195" s="135"/>
      <c r="C195" s="135"/>
      <c r="D195" s="135"/>
      <c r="E195" s="135"/>
      <c r="F195" s="135"/>
      <c r="G195" s="135"/>
      <c r="H195" s="135"/>
      <c r="I195" s="135"/>
      <c r="J195" s="135"/>
      <c r="K195" s="135"/>
      <c r="L195" s="135"/>
      <c r="M195" s="135"/>
      <c r="N195" s="135"/>
      <c r="O195" s="135"/>
      <c r="P195" s="135"/>
      <c r="Q195" s="135"/>
      <c r="R195" s="135"/>
      <c r="S195" s="135"/>
      <c r="T195" s="135"/>
    </row>
    <row r="196" spans="1:33">
      <c r="A196" s="135"/>
      <c r="B196" s="135"/>
      <c r="C196" s="135"/>
      <c r="D196" s="135"/>
      <c r="E196" s="135"/>
      <c r="F196" s="135"/>
      <c r="G196" s="135"/>
      <c r="H196" s="135"/>
      <c r="I196" s="135"/>
      <c r="J196" s="135"/>
      <c r="K196" s="135"/>
      <c r="L196" s="135"/>
      <c r="M196" s="135"/>
      <c r="N196" s="135"/>
      <c r="O196" s="135"/>
      <c r="P196" s="135"/>
      <c r="Q196" s="135"/>
      <c r="R196" s="135"/>
      <c r="S196" s="135"/>
      <c r="T196" s="135"/>
    </row>
    <row r="197" spans="1:33">
      <c r="A197" s="135"/>
      <c r="B197" s="135"/>
      <c r="C197" s="135"/>
      <c r="D197" s="135"/>
      <c r="E197" s="135"/>
      <c r="F197" s="135"/>
      <c r="G197" s="135"/>
      <c r="H197" s="135"/>
      <c r="I197" s="135"/>
      <c r="J197" s="135"/>
      <c r="K197" s="135"/>
      <c r="L197" s="135"/>
      <c r="M197" s="135"/>
      <c r="N197" s="135"/>
      <c r="O197" s="135"/>
      <c r="P197" s="135"/>
      <c r="Q197" s="135"/>
      <c r="R197" s="135"/>
      <c r="S197" s="135"/>
      <c r="T197" s="135"/>
    </row>
    <row r="198" spans="1:33">
      <c r="A198" s="135"/>
      <c r="B198" s="135"/>
      <c r="C198" s="135"/>
      <c r="D198" s="135"/>
      <c r="E198" s="135"/>
      <c r="F198" s="135"/>
      <c r="G198" s="135"/>
      <c r="H198" s="135"/>
      <c r="I198" s="135"/>
      <c r="J198" s="135"/>
      <c r="K198" s="135"/>
      <c r="L198" s="135"/>
      <c r="M198" s="135"/>
      <c r="N198" s="135"/>
      <c r="O198" s="135"/>
      <c r="P198" s="135"/>
      <c r="Q198" s="135"/>
      <c r="R198" s="135"/>
      <c r="S198" s="135"/>
      <c r="T198" s="135"/>
    </row>
    <row r="199" spans="1:33">
      <c r="A199" s="135"/>
      <c r="B199" s="135"/>
      <c r="C199" s="135"/>
      <c r="D199" s="135"/>
      <c r="E199" s="135"/>
      <c r="F199" s="135"/>
      <c r="G199" s="135"/>
      <c r="H199" s="135"/>
      <c r="I199" s="135"/>
      <c r="J199" s="135"/>
      <c r="K199" s="135"/>
      <c r="L199" s="135"/>
      <c r="M199" s="135"/>
      <c r="N199" s="135"/>
      <c r="O199" s="135"/>
      <c r="P199" s="135"/>
      <c r="Q199" s="135"/>
      <c r="R199" s="135"/>
      <c r="S199" s="135"/>
      <c r="T199" s="135"/>
    </row>
    <row r="200" spans="1:33">
      <c r="A200" s="135"/>
      <c r="B200" s="135"/>
      <c r="C200" s="135"/>
      <c r="D200" s="135"/>
      <c r="E200" s="135"/>
      <c r="F200" s="135"/>
      <c r="G200" s="135"/>
      <c r="H200" s="135"/>
      <c r="I200" s="135"/>
      <c r="J200" s="135"/>
      <c r="K200" s="135"/>
      <c r="L200" s="135"/>
      <c r="M200" s="135"/>
      <c r="N200" s="135"/>
      <c r="O200" s="135"/>
      <c r="P200" s="135"/>
      <c r="Q200" s="135"/>
      <c r="R200" s="135"/>
      <c r="S200" s="135"/>
      <c r="T200" s="135"/>
      <c r="W200" t="s">
        <v>288</v>
      </c>
      <c r="X200" t="s">
        <v>291</v>
      </c>
      <c r="Y200" t="s">
        <v>295</v>
      </c>
      <c r="Z200" t="s">
        <v>296</v>
      </c>
      <c r="AA200" t="s">
        <v>302</v>
      </c>
      <c r="AB200" t="s">
        <v>305</v>
      </c>
      <c r="AC200" t="s">
        <v>314</v>
      </c>
      <c r="AD200" t="s">
        <v>316</v>
      </c>
      <c r="AE200" t="s">
        <v>336</v>
      </c>
      <c r="AF200" t="s">
        <v>345</v>
      </c>
      <c r="AG200" t="s">
        <v>486</v>
      </c>
    </row>
    <row r="201" spans="1:33">
      <c r="A201" s="135"/>
      <c r="B201" s="135"/>
      <c r="C201" s="135"/>
      <c r="D201" s="135"/>
      <c r="E201" s="135"/>
      <c r="F201" s="135"/>
      <c r="G201" s="135"/>
      <c r="H201" s="135"/>
      <c r="I201" s="135"/>
      <c r="J201" s="135"/>
      <c r="K201" s="135"/>
      <c r="L201" s="135"/>
      <c r="M201" s="135"/>
      <c r="N201" s="135"/>
      <c r="O201" s="135"/>
      <c r="P201" s="135"/>
      <c r="Q201" s="135"/>
      <c r="R201" s="135"/>
      <c r="S201" s="135"/>
      <c r="T201" s="135"/>
      <c r="W201" t="s">
        <v>289</v>
      </c>
      <c r="X201" t="s">
        <v>292</v>
      </c>
      <c r="Y201" t="s">
        <v>292</v>
      </c>
      <c r="Z201" t="s">
        <v>297</v>
      </c>
      <c r="AA201" t="s">
        <v>303</v>
      </c>
      <c r="AB201" t="s">
        <v>306</v>
      </c>
      <c r="AC201">
        <v>2</v>
      </c>
      <c r="AD201" t="s">
        <v>317</v>
      </c>
      <c r="AE201" t="s">
        <v>337</v>
      </c>
      <c r="AF201" t="s">
        <v>346</v>
      </c>
      <c r="AG201" t="s">
        <v>359</v>
      </c>
    </row>
    <row r="202" spans="1:33">
      <c r="A202" s="135"/>
      <c r="B202" s="135"/>
      <c r="C202" s="135"/>
      <c r="D202" s="135"/>
      <c r="E202" s="135"/>
      <c r="F202" s="135"/>
      <c r="G202" s="135"/>
      <c r="H202" s="135"/>
      <c r="I202" s="135"/>
      <c r="J202" s="135"/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W202" t="s">
        <v>290</v>
      </c>
      <c r="X202" t="s">
        <v>293</v>
      </c>
      <c r="Y202" t="s">
        <v>293</v>
      </c>
      <c r="Z202" t="s">
        <v>298</v>
      </c>
      <c r="AA202" t="s">
        <v>304</v>
      </c>
      <c r="AB202" t="s">
        <v>307</v>
      </c>
      <c r="AC202">
        <v>3</v>
      </c>
      <c r="AD202" t="s">
        <v>318</v>
      </c>
      <c r="AE202" t="s">
        <v>169</v>
      </c>
      <c r="AF202" t="s">
        <v>347</v>
      </c>
      <c r="AG202" t="s">
        <v>356</v>
      </c>
    </row>
    <row r="203" spans="1:33">
      <c r="A203" s="135"/>
      <c r="B203" s="135"/>
      <c r="C203" s="135"/>
      <c r="D203" s="135"/>
      <c r="E203" s="135"/>
      <c r="F203" s="135"/>
      <c r="G203" s="135"/>
      <c r="H203" s="135"/>
      <c r="I203" s="135"/>
      <c r="J203" s="135"/>
      <c r="K203" s="135"/>
      <c r="L203" s="135"/>
      <c r="M203" s="135"/>
      <c r="N203" s="135"/>
      <c r="O203" s="135"/>
      <c r="P203" s="135"/>
      <c r="Q203" s="135"/>
      <c r="R203" s="135"/>
      <c r="S203" s="135"/>
      <c r="T203" s="135"/>
      <c r="X203" t="s">
        <v>294</v>
      </c>
      <c r="Z203" t="s">
        <v>299</v>
      </c>
      <c r="AB203" t="s">
        <v>308</v>
      </c>
      <c r="AC203">
        <v>4</v>
      </c>
      <c r="AD203" t="s">
        <v>319</v>
      </c>
      <c r="AE203" t="s">
        <v>338</v>
      </c>
      <c r="AG203" t="s">
        <v>371</v>
      </c>
    </row>
    <row r="204" spans="1:33">
      <c r="A204" s="135"/>
      <c r="B204" s="135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135"/>
      <c r="S204" s="135"/>
      <c r="T204" s="135"/>
      <c r="Z204" t="s">
        <v>300</v>
      </c>
      <c r="AB204" t="s">
        <v>309</v>
      </c>
      <c r="AC204">
        <v>5</v>
      </c>
      <c r="AG204" t="s">
        <v>360</v>
      </c>
    </row>
    <row r="205" spans="1:33">
      <c r="A205" s="135"/>
      <c r="B205" s="135"/>
      <c r="C205" s="135"/>
      <c r="D205" s="135"/>
      <c r="E205" s="135"/>
      <c r="F205" s="135"/>
      <c r="G205" s="135"/>
      <c r="H205" s="135"/>
      <c r="I205" s="135"/>
      <c r="J205" s="135"/>
      <c r="K205" s="135"/>
      <c r="L205" s="135"/>
      <c r="M205" s="135"/>
      <c r="N205" s="135"/>
      <c r="O205" s="135"/>
      <c r="P205" s="135"/>
      <c r="Q205" s="135"/>
      <c r="R205" s="135"/>
      <c r="S205" s="135"/>
      <c r="T205" s="135"/>
      <c r="Z205" t="s">
        <v>301</v>
      </c>
      <c r="AB205" t="s">
        <v>310</v>
      </c>
      <c r="AC205">
        <v>6</v>
      </c>
      <c r="AG205" t="s">
        <v>358</v>
      </c>
    </row>
    <row r="206" spans="1:33">
      <c r="A206" s="135"/>
      <c r="B206" s="135"/>
      <c r="C206" s="135"/>
      <c r="D206" s="135"/>
      <c r="E206" s="135"/>
      <c r="F206" s="135"/>
      <c r="G206" s="135"/>
      <c r="H206" s="135"/>
      <c r="I206" s="135"/>
      <c r="J206" s="135"/>
      <c r="K206" s="135"/>
      <c r="L206" s="135"/>
      <c r="M206" s="135"/>
      <c r="N206" s="135"/>
      <c r="O206" s="135"/>
      <c r="P206" s="135"/>
      <c r="Q206" s="135"/>
      <c r="R206" s="135"/>
      <c r="S206" s="135"/>
      <c r="T206" s="135"/>
      <c r="AB206" t="s">
        <v>311</v>
      </c>
      <c r="AC206" t="s">
        <v>315</v>
      </c>
      <c r="AG206" t="s">
        <v>369</v>
      </c>
    </row>
    <row r="207" spans="1:33">
      <c r="A207" s="135"/>
      <c r="B207" s="135"/>
      <c r="C207" s="135"/>
      <c r="D207" s="135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AB207" t="s">
        <v>312</v>
      </c>
      <c r="AG207" t="s">
        <v>363</v>
      </c>
    </row>
    <row r="208" spans="1:33">
      <c r="A208" s="135"/>
      <c r="B208" s="135"/>
      <c r="C208" s="135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35"/>
      <c r="R208" s="135"/>
      <c r="S208" s="135"/>
      <c r="T208" s="135"/>
      <c r="AB208" t="s">
        <v>313</v>
      </c>
      <c r="AG208" t="s">
        <v>370</v>
      </c>
    </row>
    <row r="209" spans="1:33">
      <c r="A209" s="135"/>
      <c r="B209" s="135"/>
      <c r="C209" s="135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135"/>
      <c r="S209" s="135"/>
      <c r="T209" s="135"/>
      <c r="AB209" t="s">
        <v>482</v>
      </c>
      <c r="AG209" t="s">
        <v>362</v>
      </c>
    </row>
    <row r="210" spans="1:33">
      <c r="A210" s="135"/>
      <c r="B210" s="135"/>
      <c r="C210" s="135"/>
      <c r="D210" s="135"/>
      <c r="E210" s="135"/>
      <c r="F210" s="135"/>
      <c r="G210" s="135"/>
      <c r="H210" s="135"/>
      <c r="I210" s="135"/>
      <c r="J210" s="135"/>
      <c r="K210" s="135"/>
      <c r="L210" s="135"/>
      <c r="M210" s="135"/>
      <c r="N210" s="135"/>
      <c r="O210" s="135"/>
      <c r="P210" s="135"/>
      <c r="Q210" s="135"/>
      <c r="R210" s="135"/>
      <c r="S210" s="135"/>
      <c r="T210" s="135"/>
      <c r="AB210" t="s">
        <v>483</v>
      </c>
      <c r="AG210" t="s">
        <v>357</v>
      </c>
    </row>
    <row r="211" spans="1:33">
      <c r="A211" s="135"/>
      <c r="B211" s="135"/>
      <c r="C211" s="135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135"/>
      <c r="S211" s="135"/>
      <c r="T211" s="135"/>
      <c r="AB211" t="s">
        <v>484</v>
      </c>
      <c r="AG211" t="s">
        <v>382</v>
      </c>
    </row>
    <row r="212" spans="1:33">
      <c r="A212" s="135"/>
      <c r="B212" s="135"/>
      <c r="C212" s="135"/>
      <c r="D212" s="135"/>
      <c r="E212" s="135"/>
      <c r="F212" s="135"/>
      <c r="G212" s="135"/>
      <c r="H212" s="135"/>
      <c r="I212" s="135"/>
      <c r="J212" s="135"/>
      <c r="K212" s="135"/>
      <c r="L212" s="135"/>
      <c r="M212" s="135"/>
      <c r="N212" s="135"/>
      <c r="O212" s="135"/>
      <c r="P212" s="135"/>
      <c r="Q212" s="135"/>
      <c r="R212" s="135"/>
      <c r="S212" s="135"/>
      <c r="T212" s="135"/>
      <c r="AG212" t="s">
        <v>384</v>
      </c>
    </row>
    <row r="213" spans="1:33">
      <c r="A213" s="135"/>
      <c r="B213" s="135"/>
      <c r="C213" s="135"/>
      <c r="D213" s="135"/>
      <c r="E213" s="135"/>
      <c r="F213" s="135"/>
      <c r="G213" s="135"/>
      <c r="H213" s="135"/>
      <c r="I213" s="135"/>
      <c r="J213" s="135"/>
      <c r="K213" s="135"/>
      <c r="L213" s="135"/>
      <c r="M213" s="135"/>
      <c r="N213" s="135"/>
      <c r="O213" s="135"/>
      <c r="P213" s="135"/>
      <c r="Q213" s="135"/>
      <c r="R213" s="135"/>
      <c r="S213" s="135"/>
      <c r="T213" s="135"/>
      <c r="AG213" t="s">
        <v>366</v>
      </c>
    </row>
    <row r="214" spans="1:33">
      <c r="A214" s="135"/>
      <c r="B214" s="135"/>
      <c r="C214" s="135"/>
      <c r="D214" s="135"/>
      <c r="E214" s="135"/>
      <c r="F214" s="135"/>
      <c r="G214" s="135"/>
      <c r="H214" s="135"/>
      <c r="I214" s="135"/>
      <c r="J214" s="135"/>
      <c r="K214" s="135"/>
      <c r="L214" s="135"/>
      <c r="M214" s="135"/>
      <c r="N214" s="135"/>
      <c r="O214" s="135"/>
      <c r="P214" s="135"/>
      <c r="Q214" s="135"/>
      <c r="R214" s="135"/>
      <c r="S214" s="135"/>
      <c r="T214" s="135"/>
      <c r="AG214" t="s">
        <v>365</v>
      </c>
    </row>
    <row r="215" spans="1:33">
      <c r="A215" s="135"/>
      <c r="B215" s="135"/>
      <c r="C215" s="135"/>
      <c r="D215" s="135"/>
      <c r="E215" s="135"/>
      <c r="F215" s="135"/>
      <c r="G215" s="135"/>
      <c r="H215" s="135"/>
      <c r="I215" s="135"/>
      <c r="J215" s="135"/>
      <c r="K215" s="135"/>
      <c r="L215" s="135"/>
      <c r="M215" s="135"/>
      <c r="N215" s="135"/>
      <c r="O215" s="135"/>
      <c r="P215" s="135"/>
      <c r="Q215" s="135"/>
      <c r="R215" s="135"/>
      <c r="S215" s="135"/>
      <c r="T215" s="135"/>
      <c r="AG215" t="s">
        <v>364</v>
      </c>
    </row>
    <row r="216" spans="1:33">
      <c r="A216" s="135"/>
      <c r="B216" s="135"/>
      <c r="C216" s="135"/>
      <c r="D216" s="135"/>
      <c r="E216" s="135"/>
      <c r="F216" s="135"/>
      <c r="G216" s="135"/>
      <c r="H216" s="135"/>
      <c r="I216" s="135"/>
      <c r="J216" s="135"/>
      <c r="K216" s="135"/>
      <c r="L216" s="135"/>
      <c r="M216" s="135"/>
      <c r="N216" s="135"/>
      <c r="O216" s="135"/>
      <c r="P216" s="135"/>
      <c r="Q216" s="135"/>
      <c r="R216" s="135"/>
      <c r="S216" s="135"/>
      <c r="T216" s="135"/>
      <c r="AG216" t="s">
        <v>355</v>
      </c>
    </row>
    <row r="217" spans="1:33">
      <c r="A217" s="135"/>
      <c r="B217" s="135"/>
      <c r="C217" s="135"/>
      <c r="D217" s="135"/>
      <c r="E217" s="135"/>
      <c r="F217" s="135"/>
      <c r="G217" s="135"/>
      <c r="H217" s="135"/>
      <c r="I217" s="135"/>
      <c r="J217" s="135"/>
      <c r="K217" s="135"/>
      <c r="L217" s="135"/>
      <c r="M217" s="135"/>
      <c r="N217" s="135"/>
      <c r="O217" s="135"/>
      <c r="P217" s="135"/>
      <c r="Q217" s="135"/>
      <c r="R217" s="135"/>
      <c r="S217" s="135"/>
      <c r="T217" s="135"/>
      <c r="AG217" t="s">
        <v>361</v>
      </c>
    </row>
    <row r="218" spans="1:33">
      <c r="A218" s="135"/>
      <c r="B218" s="135"/>
      <c r="C218" s="135"/>
      <c r="D218" s="135"/>
      <c r="E218" s="135"/>
      <c r="F218" s="135"/>
      <c r="G218" s="135"/>
      <c r="H218" s="135"/>
      <c r="I218" s="135"/>
      <c r="J218" s="135"/>
      <c r="K218" s="135"/>
      <c r="L218" s="135"/>
      <c r="M218" s="135"/>
      <c r="N218" s="135"/>
      <c r="O218" s="135"/>
      <c r="P218" s="135"/>
      <c r="Q218" s="135"/>
      <c r="R218" s="135"/>
      <c r="S218" s="135"/>
      <c r="T218" s="135"/>
      <c r="AG218" t="s">
        <v>383</v>
      </c>
    </row>
    <row r="219" spans="1:33">
      <c r="A219" s="135"/>
      <c r="B219" s="135"/>
      <c r="C219" s="135"/>
      <c r="D219" s="135"/>
      <c r="E219" s="135"/>
      <c r="F219" s="135"/>
      <c r="G219" s="135"/>
      <c r="H219" s="135"/>
      <c r="I219" s="135"/>
      <c r="J219" s="135"/>
      <c r="K219" s="135"/>
      <c r="L219" s="135"/>
      <c r="M219" s="135"/>
      <c r="N219" s="135"/>
      <c r="O219" s="135"/>
      <c r="P219" s="135"/>
      <c r="Q219" s="135"/>
      <c r="R219" s="135"/>
      <c r="S219" s="135"/>
      <c r="T219" s="135"/>
      <c r="AG219" t="s">
        <v>368</v>
      </c>
    </row>
    <row r="220" spans="1:33">
      <c r="A220" s="135"/>
      <c r="B220" s="135"/>
      <c r="C220" s="135"/>
      <c r="D220" s="135"/>
      <c r="E220" s="135"/>
      <c r="F220" s="135"/>
      <c r="G220" s="135"/>
      <c r="H220" s="135"/>
      <c r="I220" s="135"/>
      <c r="J220" s="135"/>
      <c r="K220" s="135"/>
      <c r="L220" s="135"/>
      <c r="M220" s="135"/>
      <c r="N220" s="135"/>
      <c r="O220" s="135"/>
      <c r="P220" s="135"/>
      <c r="Q220" s="135"/>
      <c r="R220" s="135"/>
      <c r="S220" s="135"/>
      <c r="T220" s="135"/>
      <c r="AG220" t="s">
        <v>367</v>
      </c>
    </row>
    <row r="221" spans="1:33">
      <c r="A221" s="135"/>
      <c r="B221" s="135"/>
      <c r="C221" s="135"/>
      <c r="D221" s="135"/>
      <c r="E221" s="135"/>
      <c r="F221" s="135"/>
      <c r="G221" s="135"/>
      <c r="H221" s="135"/>
      <c r="I221" s="135"/>
      <c r="J221" s="135"/>
      <c r="K221" s="135"/>
      <c r="L221" s="135"/>
      <c r="M221" s="135"/>
      <c r="N221" s="135"/>
      <c r="O221" s="135"/>
      <c r="P221" s="135"/>
      <c r="Q221" s="135"/>
      <c r="R221" s="135"/>
      <c r="S221" s="135"/>
      <c r="T221" s="135"/>
      <c r="AG221" t="s">
        <v>386</v>
      </c>
    </row>
    <row r="222" spans="1:33">
      <c r="A222" s="135"/>
      <c r="B222" s="135"/>
      <c r="C222" s="135"/>
      <c r="D222" s="135"/>
      <c r="E222" s="135"/>
      <c r="F222" s="135"/>
      <c r="G222" s="135"/>
      <c r="H222" s="135"/>
      <c r="I222" s="135"/>
      <c r="J222" s="135"/>
      <c r="K222" s="135"/>
      <c r="L222" s="135"/>
      <c r="M222" s="135"/>
      <c r="N222" s="135"/>
      <c r="O222" s="135"/>
      <c r="P222" s="135"/>
      <c r="Q222" s="135"/>
      <c r="R222" s="135"/>
      <c r="S222" s="135"/>
      <c r="T222" s="135"/>
      <c r="AG222" t="s">
        <v>385</v>
      </c>
    </row>
    <row r="223" spans="1:33">
      <c r="A223" s="135"/>
      <c r="B223" s="135"/>
      <c r="C223" s="135"/>
      <c r="D223" s="135"/>
      <c r="E223" s="135"/>
      <c r="F223" s="135"/>
      <c r="G223" s="135"/>
      <c r="H223" s="135"/>
      <c r="I223" s="135"/>
      <c r="J223" s="135"/>
      <c r="K223" s="135"/>
      <c r="L223" s="135"/>
      <c r="M223" s="135"/>
      <c r="N223" s="135"/>
      <c r="O223" s="135"/>
      <c r="P223" s="135"/>
      <c r="Q223" s="135"/>
      <c r="R223" s="135"/>
      <c r="S223" s="135"/>
      <c r="T223" s="135"/>
      <c r="AG223" t="s">
        <v>42</v>
      </c>
    </row>
    <row r="224" spans="1:33">
      <c r="A224" s="135"/>
      <c r="B224" s="135"/>
      <c r="C224" s="135"/>
      <c r="D224" s="135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AG224" t="s">
        <v>32</v>
      </c>
    </row>
    <row r="225" spans="1:20">
      <c r="A225" s="135"/>
      <c r="B225" s="135"/>
      <c r="C225" s="135"/>
      <c r="D225" s="135"/>
      <c r="E225" s="135"/>
      <c r="F225" s="135"/>
      <c r="G225" s="135"/>
      <c r="H225" s="135"/>
      <c r="I225" s="135"/>
      <c r="J225" s="135"/>
      <c r="K225" s="135"/>
      <c r="L225" s="135"/>
      <c r="M225" s="135"/>
      <c r="N225" s="135"/>
      <c r="O225" s="135"/>
      <c r="P225" s="135"/>
      <c r="Q225" s="135"/>
      <c r="R225" s="135"/>
      <c r="S225" s="135"/>
      <c r="T225" s="135"/>
    </row>
    <row r="226" spans="1:20">
      <c r="A226" s="135"/>
      <c r="B226" s="135"/>
      <c r="C226" s="135"/>
      <c r="D226" s="135"/>
      <c r="E226" s="135"/>
      <c r="F226" s="135"/>
      <c r="G226" s="135"/>
      <c r="H226" s="135"/>
      <c r="I226" s="135"/>
      <c r="J226" s="135"/>
      <c r="K226" s="135"/>
      <c r="L226" s="135"/>
      <c r="M226" s="135"/>
      <c r="N226" s="135"/>
      <c r="O226" s="135"/>
      <c r="P226" s="135"/>
      <c r="Q226" s="135"/>
      <c r="R226" s="135"/>
      <c r="S226" s="135"/>
      <c r="T226" s="135"/>
    </row>
    <row r="227" spans="1:20">
      <c r="A227" s="135"/>
      <c r="B227" s="135"/>
      <c r="C227" s="135"/>
      <c r="D227" s="135"/>
      <c r="E227" s="135"/>
      <c r="F227" s="135"/>
      <c r="G227" s="135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5"/>
      <c r="S227" s="135"/>
      <c r="T227" s="135"/>
    </row>
    <row r="228" spans="1:20">
      <c r="A228" s="135"/>
      <c r="B228" s="135"/>
      <c r="C228" s="135"/>
      <c r="D228" s="135"/>
      <c r="E228" s="135"/>
      <c r="F228" s="135"/>
      <c r="G228" s="135"/>
      <c r="H228" s="135"/>
      <c r="I228" s="135"/>
      <c r="J228" s="135"/>
      <c r="K228" s="135"/>
      <c r="L228" s="135"/>
      <c r="M228" s="135"/>
      <c r="N228" s="135"/>
      <c r="O228" s="135"/>
      <c r="P228" s="135"/>
      <c r="Q228" s="135"/>
      <c r="R228" s="135"/>
      <c r="S228" s="135"/>
      <c r="T228" s="135"/>
    </row>
    <row r="229" spans="1:20">
      <c r="A229" s="135"/>
      <c r="B229" s="135"/>
      <c r="C229" s="135"/>
      <c r="D229" s="135"/>
      <c r="E229" s="135"/>
      <c r="F229" s="135"/>
      <c r="G229" s="135"/>
      <c r="H229" s="135"/>
      <c r="I229" s="135"/>
      <c r="J229" s="135"/>
      <c r="K229" s="135"/>
      <c r="L229" s="135"/>
      <c r="M229" s="135"/>
      <c r="N229" s="135"/>
      <c r="O229" s="135"/>
      <c r="P229" s="135"/>
      <c r="Q229" s="135"/>
      <c r="R229" s="135"/>
      <c r="S229" s="135"/>
      <c r="T229" s="135"/>
    </row>
    <row r="230" spans="1:20">
      <c r="A230" s="135"/>
      <c r="B230" s="135"/>
      <c r="C230" s="135"/>
      <c r="D230" s="135"/>
      <c r="E230" s="135"/>
      <c r="F230" s="135"/>
      <c r="G230" s="135"/>
      <c r="H230" s="135"/>
      <c r="I230" s="135"/>
      <c r="J230" s="135"/>
      <c r="K230" s="135"/>
      <c r="L230" s="135"/>
      <c r="M230" s="135"/>
      <c r="N230" s="135"/>
      <c r="O230" s="135"/>
      <c r="P230" s="135"/>
      <c r="Q230" s="135"/>
      <c r="R230" s="135"/>
      <c r="S230" s="135"/>
      <c r="T230" s="135"/>
    </row>
    <row r="231" spans="1:20">
      <c r="A231" s="135"/>
      <c r="B231" s="135"/>
      <c r="C231" s="135"/>
      <c r="D231" s="135"/>
      <c r="E231" s="135"/>
      <c r="F231" s="135"/>
      <c r="G231" s="135"/>
      <c r="H231" s="135"/>
      <c r="I231" s="135"/>
      <c r="J231" s="135"/>
      <c r="K231" s="135"/>
      <c r="L231" s="135"/>
      <c r="M231" s="135"/>
      <c r="N231" s="135"/>
      <c r="O231" s="135"/>
      <c r="P231" s="135"/>
      <c r="Q231" s="135"/>
      <c r="R231" s="135"/>
      <c r="S231" s="135"/>
      <c r="T231" s="135"/>
    </row>
    <row r="232" spans="1:20">
      <c r="A232" s="135"/>
      <c r="B232" s="135"/>
      <c r="C232" s="135"/>
      <c r="D232" s="135"/>
      <c r="E232" s="135"/>
      <c r="F232" s="135"/>
      <c r="G232" s="135"/>
      <c r="H232" s="135"/>
      <c r="I232" s="135"/>
      <c r="J232" s="135"/>
      <c r="K232" s="135"/>
      <c r="L232" s="135"/>
      <c r="M232" s="135"/>
      <c r="N232" s="135"/>
      <c r="O232" s="135"/>
      <c r="P232" s="135"/>
      <c r="Q232" s="135"/>
      <c r="R232" s="135"/>
      <c r="S232" s="135"/>
      <c r="T232" s="135"/>
    </row>
    <row r="233" spans="1:20">
      <c r="A233" s="135"/>
      <c r="B233" s="135"/>
      <c r="C233" s="135"/>
      <c r="D233" s="135"/>
      <c r="E233" s="135"/>
      <c r="F233" s="135"/>
      <c r="G233" s="135"/>
      <c r="H233" s="135"/>
      <c r="I233" s="135"/>
      <c r="J233" s="135"/>
      <c r="K233" s="135"/>
      <c r="L233" s="135"/>
      <c r="M233" s="135"/>
      <c r="N233" s="135"/>
      <c r="O233" s="135"/>
      <c r="P233" s="135"/>
      <c r="Q233" s="135"/>
      <c r="R233" s="135"/>
      <c r="S233" s="135"/>
      <c r="T233" s="135"/>
    </row>
    <row r="234" spans="1:20">
      <c r="A234" s="135"/>
      <c r="B234" s="135"/>
      <c r="C234" s="135"/>
      <c r="D234" s="135"/>
      <c r="E234" s="135"/>
      <c r="F234" s="135"/>
      <c r="G234" s="135"/>
      <c r="H234" s="135"/>
      <c r="I234" s="135"/>
      <c r="J234" s="135"/>
      <c r="K234" s="135"/>
      <c r="L234" s="135"/>
      <c r="M234" s="135"/>
      <c r="N234" s="135"/>
      <c r="O234" s="135"/>
      <c r="P234" s="135"/>
      <c r="Q234" s="135"/>
      <c r="R234" s="135"/>
      <c r="S234" s="135"/>
      <c r="T234" s="135"/>
    </row>
    <row r="235" spans="1:20">
      <c r="A235" s="135"/>
      <c r="B235" s="135"/>
      <c r="C235" s="135"/>
      <c r="D235" s="135"/>
      <c r="E235" s="135"/>
      <c r="F235" s="135"/>
      <c r="G235" s="135"/>
      <c r="H235" s="135"/>
      <c r="I235" s="135"/>
      <c r="J235" s="135"/>
      <c r="K235" s="135"/>
      <c r="L235" s="135"/>
      <c r="M235" s="135"/>
      <c r="N235" s="135"/>
      <c r="O235" s="135"/>
      <c r="P235" s="135"/>
      <c r="Q235" s="135"/>
      <c r="R235" s="135"/>
      <c r="S235" s="135"/>
      <c r="T235" s="135"/>
    </row>
    <row r="236" spans="1:20">
      <c r="A236" s="135"/>
      <c r="B236" s="135"/>
      <c r="C236" s="135"/>
      <c r="D236" s="135"/>
      <c r="E236" s="135"/>
      <c r="F236" s="135"/>
      <c r="G236" s="135"/>
      <c r="H236" s="135"/>
      <c r="I236" s="135"/>
      <c r="J236" s="135"/>
      <c r="K236" s="135"/>
      <c r="L236" s="135"/>
      <c r="M236" s="135"/>
      <c r="N236" s="135"/>
      <c r="O236" s="135"/>
      <c r="P236" s="135"/>
      <c r="Q236" s="135"/>
      <c r="R236" s="135"/>
      <c r="S236" s="135"/>
      <c r="T236" s="135"/>
    </row>
    <row r="237" spans="1:20">
      <c r="A237" s="135"/>
      <c r="B237" s="135"/>
      <c r="C237" s="135"/>
      <c r="D237" s="135"/>
      <c r="E237" s="135"/>
      <c r="F237" s="135"/>
      <c r="G237" s="135"/>
      <c r="H237" s="135"/>
      <c r="I237" s="135"/>
      <c r="J237" s="135"/>
      <c r="K237" s="135"/>
      <c r="L237" s="135"/>
      <c r="M237" s="135"/>
      <c r="N237" s="135"/>
      <c r="O237" s="135"/>
      <c r="P237" s="135"/>
      <c r="Q237" s="135"/>
      <c r="R237" s="135"/>
      <c r="S237" s="135"/>
      <c r="T237" s="135"/>
    </row>
    <row r="238" spans="1:20">
      <c r="A238" s="135"/>
      <c r="B238" s="135"/>
      <c r="C238" s="135"/>
      <c r="D238" s="135"/>
      <c r="E238" s="135"/>
      <c r="F238" s="135"/>
      <c r="G238" s="135"/>
      <c r="H238" s="135"/>
      <c r="I238" s="135"/>
      <c r="J238" s="135"/>
      <c r="K238" s="135"/>
      <c r="L238" s="135"/>
      <c r="M238" s="135"/>
      <c r="N238" s="135"/>
      <c r="O238" s="135"/>
      <c r="P238" s="135"/>
      <c r="Q238" s="135"/>
      <c r="R238" s="135"/>
      <c r="S238" s="135"/>
      <c r="T238" s="135"/>
    </row>
    <row r="239" spans="1:20">
      <c r="A239" s="135"/>
      <c r="B239" s="135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135"/>
      <c r="Q239" s="135"/>
      <c r="R239" s="135"/>
      <c r="S239" s="135"/>
      <c r="T239" s="135"/>
    </row>
    <row r="240" spans="1:20">
      <c r="A240" s="135"/>
      <c r="B240" s="135"/>
      <c r="C240" s="135"/>
      <c r="D240" s="135"/>
      <c r="E240" s="135"/>
      <c r="F240" s="135"/>
      <c r="G240" s="135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5"/>
      <c r="S240" s="135"/>
      <c r="T240" s="135"/>
    </row>
    <row r="241" spans="1:20">
      <c r="A241" s="135"/>
      <c r="B241" s="135"/>
      <c r="C241" s="135"/>
      <c r="D241" s="135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</row>
    <row r="242" spans="1:20">
      <c r="A242" s="135"/>
      <c r="B242" s="135"/>
      <c r="C242" s="135"/>
      <c r="D242" s="135"/>
      <c r="E242" s="135"/>
      <c r="F242" s="135"/>
      <c r="G242" s="135"/>
      <c r="H242" s="135"/>
      <c r="I242" s="135"/>
      <c r="J242" s="135"/>
      <c r="K242" s="135"/>
      <c r="L242" s="135"/>
      <c r="M242" s="135"/>
      <c r="N242" s="135"/>
      <c r="O242" s="135"/>
      <c r="P242" s="135"/>
      <c r="Q242" s="135"/>
      <c r="R242" s="135"/>
      <c r="S242" s="135"/>
      <c r="T242" s="135"/>
    </row>
    <row r="243" spans="1:20">
      <c r="A243" s="135"/>
      <c r="B243" s="135"/>
      <c r="C243" s="135"/>
      <c r="D243" s="135"/>
      <c r="E243" s="135"/>
      <c r="F243" s="135"/>
      <c r="G243" s="135"/>
      <c r="H243" s="135"/>
      <c r="I243" s="135"/>
      <c r="J243" s="135"/>
      <c r="K243" s="135"/>
      <c r="L243" s="135"/>
      <c r="M243" s="135"/>
      <c r="N243" s="135"/>
      <c r="O243" s="135"/>
      <c r="P243" s="135"/>
      <c r="Q243" s="135"/>
      <c r="R243" s="135"/>
      <c r="S243" s="135"/>
      <c r="T243" s="135"/>
    </row>
    <row r="244" spans="1:20">
      <c r="A244" s="135"/>
      <c r="B244" s="135"/>
      <c r="C244" s="135"/>
      <c r="D244" s="135"/>
      <c r="E244" s="135"/>
      <c r="F244" s="135"/>
      <c r="G244" s="135"/>
      <c r="H244" s="135"/>
      <c r="I244" s="135"/>
      <c r="J244" s="135"/>
      <c r="K244" s="135"/>
      <c r="L244" s="135"/>
      <c r="M244" s="135"/>
      <c r="N244" s="135"/>
      <c r="O244" s="135"/>
      <c r="P244" s="135"/>
      <c r="Q244" s="135"/>
      <c r="R244" s="135"/>
      <c r="S244" s="135"/>
      <c r="T244" s="135"/>
    </row>
    <row r="245" spans="1:20">
      <c r="A245" s="135"/>
      <c r="B245" s="135"/>
      <c r="C245" s="135"/>
      <c r="D245" s="135"/>
      <c r="E245" s="135"/>
      <c r="F245" s="135"/>
      <c r="G245" s="135"/>
      <c r="H245" s="135"/>
      <c r="I245" s="135"/>
      <c r="J245" s="135"/>
      <c r="K245" s="135"/>
      <c r="L245" s="135"/>
      <c r="M245" s="135"/>
      <c r="N245" s="135"/>
      <c r="O245" s="135"/>
      <c r="P245" s="135"/>
      <c r="Q245" s="135"/>
      <c r="R245" s="135"/>
      <c r="S245" s="135"/>
      <c r="T245" s="135"/>
    </row>
    <row r="246" spans="1:20">
      <c r="A246" s="135"/>
      <c r="B246" s="135"/>
      <c r="C246" s="135"/>
      <c r="D246" s="135"/>
      <c r="E246" s="135"/>
      <c r="F246" s="135"/>
      <c r="G246" s="135"/>
      <c r="H246" s="135"/>
      <c r="I246" s="135"/>
      <c r="J246" s="135"/>
      <c r="K246" s="135"/>
      <c r="L246" s="135"/>
      <c r="M246" s="135"/>
      <c r="N246" s="135"/>
      <c r="O246" s="135"/>
      <c r="P246" s="135"/>
      <c r="Q246" s="135"/>
      <c r="R246" s="135"/>
      <c r="S246" s="135"/>
      <c r="T246" s="135"/>
    </row>
    <row r="247" spans="1:20">
      <c r="A247" s="135"/>
      <c r="B247" s="135"/>
      <c r="C247" s="135"/>
      <c r="D247" s="135"/>
      <c r="E247" s="135"/>
      <c r="F247" s="135"/>
      <c r="G247" s="135"/>
      <c r="H247" s="135"/>
      <c r="I247" s="135"/>
      <c r="J247" s="135"/>
      <c r="K247" s="135"/>
      <c r="L247" s="135"/>
      <c r="M247" s="135"/>
      <c r="N247" s="135"/>
      <c r="O247" s="135"/>
      <c r="P247" s="135"/>
      <c r="Q247" s="135"/>
      <c r="R247" s="135"/>
      <c r="S247" s="135"/>
      <c r="T247" s="135"/>
    </row>
    <row r="248" spans="1:20">
      <c r="A248" s="135"/>
      <c r="B248" s="135"/>
      <c r="C248" s="135"/>
      <c r="D248" s="135"/>
      <c r="E248" s="135"/>
      <c r="F248" s="135"/>
      <c r="G248" s="135"/>
      <c r="H248" s="135"/>
      <c r="I248" s="135"/>
      <c r="J248" s="135"/>
      <c r="K248" s="135"/>
      <c r="L248" s="135"/>
      <c r="M248" s="135"/>
      <c r="N248" s="135"/>
      <c r="O248" s="135"/>
      <c r="P248" s="135"/>
      <c r="Q248" s="135"/>
      <c r="R248" s="135"/>
      <c r="S248" s="135"/>
      <c r="T248" s="135"/>
    </row>
    <row r="249" spans="1:20">
      <c r="A249" s="135"/>
      <c r="B249" s="135"/>
      <c r="C249" s="135"/>
      <c r="D249" s="135"/>
      <c r="E249" s="135"/>
      <c r="F249" s="135"/>
      <c r="G249" s="135"/>
      <c r="H249" s="135"/>
      <c r="I249" s="135"/>
      <c r="J249" s="135"/>
      <c r="K249" s="135"/>
      <c r="L249" s="135"/>
      <c r="M249" s="135"/>
      <c r="N249" s="135"/>
      <c r="O249" s="135"/>
      <c r="P249" s="135"/>
      <c r="Q249" s="135"/>
      <c r="R249" s="135"/>
      <c r="S249" s="135"/>
      <c r="T249" s="135"/>
    </row>
    <row r="250" spans="1:20">
      <c r="A250" s="135"/>
      <c r="B250" s="135"/>
      <c r="C250" s="135"/>
      <c r="D250" s="135"/>
      <c r="E250" s="135"/>
      <c r="F250" s="135"/>
      <c r="G250" s="135"/>
      <c r="H250" s="135"/>
      <c r="I250" s="135"/>
      <c r="J250" s="135"/>
      <c r="K250" s="135"/>
      <c r="L250" s="135"/>
      <c r="M250" s="135"/>
      <c r="N250" s="135"/>
      <c r="O250" s="135"/>
      <c r="P250" s="135"/>
      <c r="Q250" s="135"/>
      <c r="R250" s="135"/>
      <c r="S250" s="135"/>
      <c r="T250" s="135"/>
    </row>
    <row r="251" spans="1:20">
      <c r="A251" s="135"/>
      <c r="B251" s="135"/>
      <c r="C251" s="135"/>
      <c r="D251" s="135"/>
      <c r="E251" s="135"/>
      <c r="F251" s="135"/>
      <c r="G251" s="135"/>
      <c r="H251" s="135"/>
      <c r="I251" s="135"/>
      <c r="J251" s="135"/>
      <c r="K251" s="135"/>
      <c r="L251" s="135"/>
      <c r="M251" s="135"/>
      <c r="N251" s="135"/>
      <c r="O251" s="135"/>
      <c r="P251" s="135"/>
      <c r="Q251" s="135"/>
      <c r="R251" s="135"/>
      <c r="S251" s="135"/>
      <c r="T251" s="135"/>
    </row>
    <row r="252" spans="1:20">
      <c r="A252" s="135"/>
      <c r="B252" s="135"/>
      <c r="C252" s="135"/>
      <c r="D252" s="135"/>
      <c r="E252" s="135"/>
      <c r="F252" s="135"/>
      <c r="G252" s="135"/>
      <c r="H252" s="135"/>
      <c r="I252" s="135"/>
      <c r="J252" s="135"/>
      <c r="K252" s="135"/>
      <c r="L252" s="135"/>
      <c r="M252" s="135"/>
      <c r="N252" s="135"/>
      <c r="O252" s="135"/>
      <c r="P252" s="135"/>
      <c r="Q252" s="135"/>
      <c r="R252" s="135"/>
      <c r="S252" s="135"/>
      <c r="T252" s="135"/>
    </row>
    <row r="253" spans="1:20">
      <c r="A253" s="135"/>
      <c r="B253" s="135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135"/>
      <c r="Q253" s="135"/>
      <c r="R253" s="135"/>
      <c r="S253" s="135"/>
      <c r="T253" s="135"/>
    </row>
    <row r="254" spans="1:20">
      <c r="A254" s="135"/>
      <c r="B254" s="135"/>
      <c r="C254" s="135"/>
      <c r="D254" s="135"/>
      <c r="E254" s="135"/>
      <c r="F254" s="135"/>
      <c r="G254" s="135"/>
      <c r="H254" s="135"/>
      <c r="I254" s="135"/>
      <c r="J254" s="135"/>
      <c r="K254" s="135"/>
      <c r="L254" s="135"/>
      <c r="M254" s="135"/>
      <c r="N254" s="135"/>
      <c r="O254" s="135"/>
      <c r="P254" s="135"/>
      <c r="Q254" s="135"/>
      <c r="R254" s="135"/>
      <c r="S254" s="135"/>
      <c r="T254" s="135"/>
    </row>
    <row r="255" spans="1:20">
      <c r="A255" s="135"/>
      <c r="B255" s="135"/>
      <c r="C255" s="135"/>
      <c r="D255" s="135"/>
      <c r="E255" s="135"/>
      <c r="F255" s="135"/>
      <c r="G255" s="135"/>
      <c r="H255" s="135"/>
      <c r="I255" s="135"/>
      <c r="J255" s="135"/>
      <c r="K255" s="135"/>
      <c r="L255" s="135"/>
      <c r="M255" s="135"/>
      <c r="N255" s="135"/>
      <c r="O255" s="135"/>
      <c r="P255" s="135"/>
      <c r="Q255" s="135"/>
      <c r="R255" s="135"/>
      <c r="S255" s="135"/>
      <c r="T255" s="135"/>
    </row>
    <row r="256" spans="1:20">
      <c r="A256" s="135"/>
      <c r="B256" s="135"/>
      <c r="C256" s="135"/>
      <c r="D256" s="135"/>
      <c r="E256" s="135"/>
      <c r="F256" s="135"/>
      <c r="G256" s="135"/>
      <c r="H256" s="135"/>
      <c r="I256" s="135"/>
      <c r="J256" s="135"/>
      <c r="K256" s="135"/>
      <c r="L256" s="135"/>
      <c r="M256" s="135"/>
      <c r="N256" s="135"/>
      <c r="O256" s="135"/>
      <c r="P256" s="135"/>
      <c r="Q256" s="135"/>
      <c r="R256" s="135"/>
      <c r="S256" s="135"/>
      <c r="T256" s="135"/>
    </row>
    <row r="257" spans="1:20">
      <c r="A257" s="135"/>
      <c r="B257" s="135"/>
      <c r="C257" s="135"/>
      <c r="D257" s="135"/>
      <c r="E257" s="135"/>
      <c r="F257" s="135"/>
      <c r="G257" s="135"/>
      <c r="H257" s="135"/>
      <c r="I257" s="135"/>
      <c r="J257" s="135"/>
      <c r="K257" s="135"/>
      <c r="L257" s="135"/>
      <c r="M257" s="135"/>
      <c r="N257" s="135"/>
      <c r="O257" s="135"/>
      <c r="P257" s="135"/>
      <c r="Q257" s="135"/>
      <c r="R257" s="135"/>
      <c r="S257" s="135"/>
      <c r="T257" s="135"/>
    </row>
    <row r="258" spans="1:20">
      <c r="A258" s="135"/>
      <c r="B258" s="135"/>
      <c r="C258" s="135"/>
      <c r="D258" s="135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</row>
    <row r="259" spans="1:20">
      <c r="A259" s="135"/>
      <c r="B259" s="135"/>
      <c r="C259" s="135"/>
      <c r="D259" s="135"/>
      <c r="E259" s="135"/>
      <c r="F259" s="135"/>
      <c r="G259" s="135"/>
      <c r="H259" s="135"/>
      <c r="I259" s="135"/>
      <c r="J259" s="135"/>
      <c r="K259" s="135"/>
      <c r="L259" s="135"/>
      <c r="M259" s="135"/>
      <c r="N259" s="135"/>
      <c r="O259" s="135"/>
      <c r="P259" s="135"/>
      <c r="Q259" s="135"/>
      <c r="R259" s="135"/>
      <c r="S259" s="135"/>
      <c r="T259" s="135"/>
    </row>
    <row r="260" spans="1:20">
      <c r="A260" s="135"/>
      <c r="B260" s="135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135"/>
      <c r="Q260" s="135"/>
      <c r="R260" s="135"/>
      <c r="S260" s="135"/>
      <c r="T260" s="135"/>
    </row>
    <row r="261" spans="1:20">
      <c r="A261" s="135"/>
      <c r="B261" s="135"/>
      <c r="C261" s="135"/>
      <c r="D261" s="135"/>
      <c r="E261" s="135"/>
      <c r="F261" s="135"/>
      <c r="G261" s="135"/>
      <c r="H261" s="135"/>
      <c r="I261" s="135"/>
      <c r="J261" s="135"/>
      <c r="K261" s="135"/>
      <c r="L261" s="135"/>
      <c r="M261" s="135"/>
      <c r="N261" s="135"/>
      <c r="O261" s="135"/>
      <c r="P261" s="135"/>
      <c r="Q261" s="135"/>
      <c r="R261" s="135"/>
      <c r="S261" s="135"/>
      <c r="T261" s="135"/>
    </row>
    <row r="262" spans="1:20">
      <c r="A262" s="135"/>
      <c r="B262" s="135"/>
      <c r="C262" s="135"/>
      <c r="D262" s="135"/>
      <c r="E262" s="135"/>
      <c r="F262" s="135"/>
      <c r="G262" s="135"/>
      <c r="H262" s="135"/>
      <c r="I262" s="135"/>
      <c r="J262" s="135"/>
      <c r="K262" s="135"/>
      <c r="L262" s="135"/>
      <c r="M262" s="135"/>
      <c r="N262" s="135"/>
      <c r="O262" s="135"/>
      <c r="P262" s="135"/>
      <c r="Q262" s="135"/>
      <c r="R262" s="135"/>
      <c r="S262" s="135"/>
      <c r="T262" s="135"/>
    </row>
    <row r="263" spans="1:20">
      <c r="A263" s="135"/>
      <c r="B263" s="135"/>
      <c r="C263" s="135"/>
      <c r="D263" s="135"/>
      <c r="E263" s="135"/>
      <c r="F263" s="135"/>
      <c r="G263" s="135"/>
      <c r="H263" s="135"/>
      <c r="I263" s="135"/>
      <c r="J263" s="135"/>
      <c r="K263" s="135"/>
      <c r="L263" s="135"/>
      <c r="M263" s="135"/>
      <c r="N263" s="135"/>
      <c r="O263" s="135"/>
      <c r="P263" s="135"/>
      <c r="Q263" s="135"/>
      <c r="R263" s="135"/>
      <c r="S263" s="135"/>
      <c r="T263" s="135"/>
    </row>
    <row r="264" spans="1:20">
      <c r="A264" s="135"/>
      <c r="B264" s="135"/>
      <c r="C264" s="135"/>
      <c r="D264" s="135"/>
      <c r="E264" s="135"/>
      <c r="F264" s="135"/>
      <c r="G264" s="135"/>
      <c r="H264" s="135"/>
      <c r="I264" s="135"/>
      <c r="J264" s="135"/>
      <c r="K264" s="135"/>
      <c r="L264" s="135"/>
      <c r="M264" s="135"/>
      <c r="N264" s="135"/>
      <c r="O264" s="135"/>
      <c r="P264" s="135"/>
      <c r="Q264" s="135"/>
      <c r="R264" s="135"/>
      <c r="S264" s="135"/>
      <c r="T264" s="135"/>
    </row>
    <row r="265" spans="1:20">
      <c r="A265" s="135"/>
      <c r="B265" s="135"/>
      <c r="C265" s="135"/>
      <c r="D265" s="135"/>
      <c r="E265" s="135"/>
      <c r="F265" s="135"/>
      <c r="G265" s="135"/>
      <c r="H265" s="135"/>
      <c r="I265" s="135"/>
      <c r="J265" s="135"/>
      <c r="K265" s="135"/>
      <c r="L265" s="135"/>
      <c r="M265" s="135"/>
      <c r="N265" s="135"/>
      <c r="O265" s="135"/>
      <c r="P265" s="135"/>
      <c r="Q265" s="135"/>
      <c r="R265" s="135"/>
      <c r="S265" s="135"/>
      <c r="T265" s="135"/>
    </row>
    <row r="266" spans="1:20">
      <c r="A266" s="135"/>
      <c r="B266" s="135"/>
      <c r="C266" s="135"/>
      <c r="D266" s="135"/>
      <c r="E266" s="135"/>
      <c r="F266" s="135"/>
      <c r="G266" s="135"/>
      <c r="H266" s="135"/>
      <c r="I266" s="135"/>
      <c r="J266" s="135"/>
      <c r="K266" s="135"/>
      <c r="L266" s="135"/>
      <c r="M266" s="135"/>
      <c r="N266" s="135"/>
      <c r="O266" s="135"/>
      <c r="P266" s="135"/>
      <c r="Q266" s="135"/>
      <c r="R266" s="135"/>
      <c r="S266" s="135"/>
      <c r="T266" s="135"/>
    </row>
    <row r="267" spans="1:20">
      <c r="A267" s="135"/>
      <c r="B267" s="135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135"/>
      <c r="Q267" s="135"/>
      <c r="R267" s="135"/>
      <c r="S267" s="135"/>
      <c r="T267" s="135"/>
    </row>
    <row r="268" spans="1:20">
      <c r="A268" s="135"/>
      <c r="B268" s="135"/>
      <c r="C268" s="135"/>
      <c r="D268" s="135"/>
      <c r="E268" s="135"/>
      <c r="F268" s="135"/>
      <c r="G268" s="135"/>
      <c r="H268" s="135"/>
      <c r="I268" s="135"/>
      <c r="J268" s="135"/>
      <c r="K268" s="135"/>
      <c r="L268" s="135"/>
      <c r="M268" s="135"/>
      <c r="N268" s="135"/>
      <c r="O268" s="135"/>
      <c r="P268" s="135"/>
      <c r="Q268" s="135"/>
      <c r="R268" s="135"/>
      <c r="S268" s="135"/>
      <c r="T268" s="135"/>
    </row>
    <row r="269" spans="1:20">
      <c r="A269" s="135"/>
      <c r="B269" s="135"/>
      <c r="C269" s="135"/>
      <c r="D269" s="135"/>
      <c r="E269" s="135"/>
      <c r="F269" s="135"/>
      <c r="G269" s="135"/>
      <c r="H269" s="135"/>
      <c r="I269" s="135"/>
      <c r="J269" s="135"/>
      <c r="K269" s="135"/>
      <c r="L269" s="135"/>
      <c r="M269" s="135"/>
      <c r="N269" s="135"/>
      <c r="O269" s="135"/>
      <c r="P269" s="135"/>
      <c r="Q269" s="135"/>
      <c r="R269" s="135"/>
      <c r="S269" s="135"/>
      <c r="T269" s="135"/>
    </row>
    <row r="270" spans="1:20">
      <c r="A270" s="135"/>
      <c r="B270" s="135"/>
      <c r="C270" s="135"/>
      <c r="D270" s="135"/>
      <c r="E270" s="135"/>
      <c r="F270" s="135"/>
      <c r="G270" s="135"/>
      <c r="H270" s="135"/>
      <c r="I270" s="135"/>
      <c r="J270" s="135"/>
      <c r="K270" s="135"/>
      <c r="L270" s="135"/>
      <c r="M270" s="135"/>
      <c r="N270" s="135"/>
      <c r="O270" s="135"/>
      <c r="P270" s="135"/>
      <c r="Q270" s="135"/>
      <c r="R270" s="135"/>
      <c r="S270" s="135"/>
      <c r="T270" s="135"/>
    </row>
    <row r="271" spans="1:20">
      <c r="A271" s="135"/>
      <c r="B271" s="135"/>
      <c r="C271" s="135"/>
      <c r="D271" s="135"/>
      <c r="E271" s="135"/>
      <c r="F271" s="135"/>
      <c r="G271" s="135"/>
      <c r="H271" s="135"/>
      <c r="I271" s="135"/>
      <c r="J271" s="135"/>
      <c r="K271" s="135"/>
      <c r="L271" s="135"/>
      <c r="M271" s="135"/>
      <c r="N271" s="135"/>
      <c r="O271" s="135"/>
      <c r="P271" s="135"/>
      <c r="Q271" s="135"/>
      <c r="R271" s="135"/>
      <c r="S271" s="135"/>
      <c r="T271" s="135"/>
    </row>
    <row r="272" spans="1:20">
      <c r="A272" s="135"/>
      <c r="B272" s="135"/>
      <c r="C272" s="135"/>
      <c r="D272" s="135"/>
      <c r="E272" s="135"/>
      <c r="F272" s="135"/>
      <c r="G272" s="135"/>
      <c r="H272" s="135"/>
      <c r="I272" s="135"/>
      <c r="J272" s="135"/>
      <c r="K272" s="135"/>
      <c r="L272" s="135"/>
      <c r="M272" s="135"/>
      <c r="N272" s="135"/>
      <c r="O272" s="135"/>
      <c r="P272" s="135"/>
      <c r="Q272" s="135"/>
      <c r="R272" s="135"/>
      <c r="S272" s="135"/>
      <c r="T272" s="135"/>
    </row>
    <row r="273" spans="1:20">
      <c r="A273" s="135"/>
      <c r="B273" s="135"/>
      <c r="C273" s="135"/>
      <c r="D273" s="135"/>
      <c r="E273" s="135"/>
      <c r="F273" s="135"/>
      <c r="G273" s="135"/>
      <c r="H273" s="135"/>
      <c r="I273" s="135"/>
      <c r="J273" s="135"/>
      <c r="K273" s="135"/>
      <c r="L273" s="135"/>
      <c r="M273" s="135"/>
      <c r="N273" s="135"/>
      <c r="O273" s="135"/>
      <c r="P273" s="135"/>
      <c r="Q273" s="135"/>
      <c r="R273" s="135"/>
      <c r="S273" s="135"/>
      <c r="T273" s="135"/>
    </row>
    <row r="274" spans="1:20">
      <c r="A274" s="135"/>
      <c r="B274" s="135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135"/>
      <c r="Q274" s="135"/>
      <c r="R274" s="135"/>
      <c r="S274" s="135"/>
      <c r="T274" s="135"/>
    </row>
    <row r="275" spans="1:20">
      <c r="A275" s="135"/>
      <c r="B275" s="135"/>
      <c r="C275" s="135"/>
      <c r="D275" s="135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</row>
    <row r="276" spans="1:20">
      <c r="A276" s="135"/>
      <c r="B276" s="135"/>
      <c r="C276" s="135"/>
      <c r="D276" s="135"/>
      <c r="E276" s="135"/>
      <c r="F276" s="135"/>
      <c r="G276" s="135"/>
      <c r="H276" s="135"/>
      <c r="I276" s="135"/>
      <c r="J276" s="135"/>
      <c r="K276" s="135"/>
      <c r="L276" s="135"/>
      <c r="M276" s="135"/>
      <c r="N276" s="135"/>
      <c r="O276" s="135"/>
      <c r="P276" s="135"/>
      <c r="Q276" s="135"/>
      <c r="R276" s="135"/>
      <c r="S276" s="135"/>
      <c r="T276" s="135"/>
    </row>
    <row r="277" spans="1:20">
      <c r="A277" s="135"/>
      <c r="B277" s="135"/>
      <c r="C277" s="135"/>
      <c r="D277" s="135"/>
      <c r="E277" s="135"/>
      <c r="F277" s="135"/>
      <c r="G277" s="135"/>
      <c r="H277" s="135"/>
      <c r="I277" s="135"/>
      <c r="J277" s="135"/>
      <c r="K277" s="135"/>
      <c r="L277" s="135"/>
      <c r="M277" s="135"/>
      <c r="N277" s="135"/>
      <c r="O277" s="135"/>
      <c r="P277" s="135"/>
      <c r="Q277" s="135"/>
      <c r="R277" s="135"/>
      <c r="S277" s="135"/>
      <c r="T277" s="135"/>
    </row>
    <row r="278" spans="1:20">
      <c r="A278" s="135"/>
      <c r="B278" s="135"/>
      <c r="C278" s="135"/>
      <c r="D278" s="135"/>
      <c r="E278" s="135"/>
      <c r="F278" s="135"/>
      <c r="G278" s="135"/>
      <c r="H278" s="135"/>
      <c r="I278" s="135"/>
      <c r="J278" s="135"/>
      <c r="K278" s="135"/>
      <c r="L278" s="135"/>
      <c r="M278" s="135"/>
      <c r="N278" s="135"/>
      <c r="O278" s="135"/>
      <c r="P278" s="135"/>
      <c r="Q278" s="135"/>
      <c r="R278" s="135"/>
      <c r="S278" s="135"/>
      <c r="T278" s="135"/>
    </row>
    <row r="279" spans="1:20">
      <c r="A279" s="135"/>
      <c r="B279" s="135"/>
      <c r="C279" s="135"/>
      <c r="D279" s="135"/>
      <c r="E279" s="135"/>
      <c r="F279" s="135"/>
      <c r="G279" s="135"/>
      <c r="H279" s="135"/>
      <c r="I279" s="135"/>
      <c r="J279" s="135"/>
      <c r="K279" s="135"/>
      <c r="L279" s="135"/>
      <c r="M279" s="135"/>
      <c r="N279" s="135"/>
      <c r="O279" s="135"/>
      <c r="P279" s="135"/>
      <c r="Q279" s="135"/>
      <c r="R279" s="135"/>
      <c r="S279" s="135"/>
      <c r="T279" s="135"/>
    </row>
    <row r="280" spans="1:20">
      <c r="A280" s="135"/>
      <c r="B280" s="135"/>
      <c r="C280" s="135"/>
      <c r="D280" s="135"/>
      <c r="E280" s="135"/>
      <c r="F280" s="135"/>
      <c r="G280" s="135"/>
      <c r="H280" s="135"/>
      <c r="I280" s="135"/>
      <c r="J280" s="135"/>
      <c r="K280" s="135"/>
      <c r="L280" s="135"/>
      <c r="M280" s="135"/>
      <c r="N280" s="135"/>
      <c r="O280" s="135"/>
      <c r="P280" s="135"/>
      <c r="Q280" s="135"/>
      <c r="R280" s="135"/>
      <c r="S280" s="135"/>
      <c r="T280" s="135"/>
    </row>
    <row r="281" spans="1:20">
      <c r="A281" s="135"/>
      <c r="B281" s="135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135"/>
      <c r="Q281" s="135"/>
      <c r="R281" s="135"/>
      <c r="S281" s="135"/>
      <c r="T281" s="135"/>
    </row>
    <row r="282" spans="1:20">
      <c r="A282" s="135"/>
      <c r="B282" s="135"/>
      <c r="C282" s="135"/>
      <c r="D282" s="135"/>
      <c r="E282" s="135"/>
      <c r="F282" s="135"/>
      <c r="G282" s="135"/>
      <c r="H282" s="135"/>
      <c r="I282" s="135"/>
      <c r="J282" s="135"/>
      <c r="K282" s="135"/>
      <c r="L282" s="135"/>
      <c r="M282" s="135"/>
      <c r="N282" s="135"/>
      <c r="O282" s="135"/>
      <c r="P282" s="135"/>
      <c r="Q282" s="135"/>
      <c r="R282" s="135"/>
      <c r="S282" s="135"/>
      <c r="T282" s="135"/>
    </row>
    <row r="283" spans="1:20">
      <c r="A283" s="135"/>
      <c r="B283" s="135"/>
      <c r="C283" s="135"/>
      <c r="D283" s="135"/>
      <c r="E283" s="135"/>
      <c r="F283" s="135"/>
      <c r="G283" s="135"/>
      <c r="H283" s="135"/>
      <c r="I283" s="135"/>
      <c r="J283" s="135"/>
      <c r="K283" s="135"/>
      <c r="L283" s="135"/>
      <c r="M283" s="135"/>
      <c r="N283" s="135"/>
      <c r="O283" s="135"/>
      <c r="P283" s="135"/>
      <c r="Q283" s="135"/>
      <c r="R283" s="135"/>
      <c r="S283" s="135"/>
      <c r="T283" s="135"/>
    </row>
    <row r="284" spans="1:20">
      <c r="A284" s="135"/>
      <c r="B284" s="135"/>
      <c r="C284" s="135"/>
      <c r="D284" s="135"/>
      <c r="E284" s="135"/>
      <c r="F284" s="135"/>
      <c r="G284" s="135"/>
      <c r="H284" s="135"/>
      <c r="I284" s="135"/>
      <c r="J284" s="135"/>
      <c r="K284" s="135"/>
      <c r="L284" s="135"/>
      <c r="M284" s="135"/>
      <c r="N284" s="135"/>
      <c r="O284" s="135"/>
      <c r="P284" s="135"/>
      <c r="Q284" s="135"/>
      <c r="R284" s="135"/>
      <c r="S284" s="135"/>
      <c r="T284" s="135"/>
    </row>
    <row r="285" spans="1:20">
      <c r="A285" s="135"/>
      <c r="B285" s="135"/>
      <c r="C285" s="135"/>
      <c r="D285" s="135"/>
      <c r="E285" s="135"/>
      <c r="F285" s="135"/>
      <c r="G285" s="135"/>
      <c r="H285" s="135"/>
      <c r="I285" s="135"/>
      <c r="J285" s="135"/>
      <c r="K285" s="135"/>
      <c r="L285" s="135"/>
      <c r="M285" s="135"/>
      <c r="N285" s="135"/>
      <c r="O285" s="135"/>
      <c r="P285" s="135"/>
      <c r="Q285" s="135"/>
      <c r="R285" s="135"/>
      <c r="S285" s="135"/>
      <c r="T285" s="135"/>
    </row>
    <row r="286" spans="1:20">
      <c r="A286" s="135"/>
      <c r="B286" s="135"/>
      <c r="C286" s="135"/>
      <c r="D286" s="135"/>
      <c r="E286" s="135"/>
      <c r="F286" s="135"/>
      <c r="G286" s="135"/>
      <c r="H286" s="135"/>
      <c r="I286" s="135"/>
      <c r="J286" s="135"/>
      <c r="K286" s="135"/>
      <c r="L286" s="135"/>
      <c r="M286" s="135"/>
      <c r="N286" s="135"/>
      <c r="O286" s="135"/>
      <c r="P286" s="135"/>
      <c r="Q286" s="135"/>
      <c r="R286" s="135"/>
      <c r="S286" s="135"/>
      <c r="T286" s="135"/>
    </row>
    <row r="287" spans="1:20">
      <c r="A287" s="135"/>
      <c r="B287" s="135"/>
      <c r="C287" s="135"/>
      <c r="D287" s="135"/>
      <c r="E287" s="135"/>
      <c r="F287" s="135"/>
      <c r="G287" s="135"/>
      <c r="H287" s="135"/>
      <c r="I287" s="135"/>
      <c r="J287" s="135"/>
      <c r="K287" s="135"/>
      <c r="L287" s="135"/>
      <c r="M287" s="135"/>
      <c r="N287" s="135"/>
      <c r="O287" s="135"/>
      <c r="P287" s="135"/>
      <c r="Q287" s="135"/>
      <c r="R287" s="135"/>
      <c r="S287" s="135"/>
      <c r="T287" s="135"/>
    </row>
    <row r="288" spans="1:20">
      <c r="A288" s="135"/>
      <c r="B288" s="135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135"/>
      <c r="Q288" s="135"/>
      <c r="R288" s="135"/>
      <c r="S288" s="135"/>
      <c r="T288" s="135"/>
    </row>
    <row r="289" spans="1:20">
      <c r="A289" s="135"/>
      <c r="B289" s="135"/>
      <c r="C289" s="135"/>
      <c r="D289" s="135"/>
      <c r="E289" s="135"/>
      <c r="F289" s="135"/>
      <c r="G289" s="135"/>
      <c r="H289" s="135"/>
      <c r="I289" s="135"/>
      <c r="J289" s="135"/>
      <c r="K289" s="135"/>
      <c r="L289" s="135"/>
      <c r="M289" s="135"/>
      <c r="N289" s="135"/>
      <c r="O289" s="135"/>
      <c r="P289" s="135"/>
      <c r="Q289" s="135"/>
      <c r="R289" s="135"/>
      <c r="S289" s="135"/>
      <c r="T289" s="135"/>
    </row>
    <row r="290" spans="1:20">
      <c r="A290" s="135"/>
      <c r="B290" s="135"/>
      <c r="C290" s="135"/>
      <c r="D290" s="135"/>
      <c r="E290" s="135"/>
      <c r="F290" s="135"/>
      <c r="G290" s="135"/>
      <c r="H290" s="135"/>
      <c r="I290" s="135"/>
      <c r="J290" s="135"/>
      <c r="K290" s="135"/>
      <c r="L290" s="135"/>
      <c r="M290" s="135"/>
      <c r="N290" s="135"/>
      <c r="O290" s="135"/>
      <c r="P290" s="135"/>
      <c r="Q290" s="135"/>
      <c r="R290" s="135"/>
      <c r="S290" s="135"/>
      <c r="T290" s="135"/>
    </row>
    <row r="291" spans="1:20">
      <c r="A291" s="135"/>
      <c r="B291" s="135"/>
      <c r="C291" s="135"/>
      <c r="D291" s="135"/>
      <c r="E291" s="135"/>
      <c r="F291" s="135"/>
      <c r="G291" s="135"/>
      <c r="H291" s="135"/>
      <c r="I291" s="135"/>
      <c r="J291" s="135"/>
      <c r="K291" s="135"/>
      <c r="L291" s="135"/>
      <c r="M291" s="135"/>
      <c r="N291" s="135"/>
      <c r="O291" s="135"/>
      <c r="P291" s="135"/>
      <c r="Q291" s="135"/>
      <c r="R291" s="135"/>
      <c r="S291" s="135"/>
      <c r="T291" s="135"/>
    </row>
    <row r="292" spans="1:20">
      <c r="A292" s="135"/>
      <c r="B292" s="135"/>
      <c r="C292" s="135"/>
      <c r="D292" s="135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</row>
    <row r="293" spans="1:20">
      <c r="A293" s="135"/>
      <c r="B293" s="135"/>
      <c r="C293" s="135"/>
      <c r="D293" s="135"/>
      <c r="E293" s="135"/>
      <c r="F293" s="135"/>
      <c r="G293" s="135"/>
      <c r="H293" s="135"/>
      <c r="I293" s="135"/>
      <c r="J293" s="135"/>
      <c r="K293" s="135"/>
      <c r="L293" s="135"/>
      <c r="M293" s="135"/>
      <c r="N293" s="135"/>
      <c r="O293" s="135"/>
      <c r="P293" s="135"/>
      <c r="Q293" s="135"/>
      <c r="R293" s="135"/>
      <c r="S293" s="135"/>
      <c r="T293" s="135"/>
    </row>
    <row r="294" spans="1:20">
      <c r="A294" s="135"/>
      <c r="B294" s="135"/>
      <c r="C294" s="135"/>
      <c r="D294" s="135"/>
      <c r="E294" s="135"/>
      <c r="F294" s="135"/>
      <c r="G294" s="135"/>
      <c r="H294" s="135"/>
      <c r="I294" s="135"/>
      <c r="J294" s="135"/>
      <c r="K294" s="135"/>
      <c r="L294" s="135"/>
      <c r="M294" s="135"/>
      <c r="N294" s="135"/>
      <c r="O294" s="135"/>
      <c r="P294" s="135"/>
      <c r="Q294" s="135"/>
      <c r="R294" s="135"/>
      <c r="S294" s="135"/>
      <c r="T294" s="135"/>
    </row>
    <row r="295" spans="1:20">
      <c r="A295" s="135"/>
      <c r="B295" s="135"/>
      <c r="C295" s="135"/>
      <c r="D295" s="135"/>
      <c r="E295" s="135"/>
      <c r="F295" s="135"/>
      <c r="G295" s="135"/>
      <c r="H295" s="135"/>
      <c r="I295" s="135"/>
      <c r="J295" s="135"/>
      <c r="K295" s="135"/>
      <c r="L295" s="135"/>
      <c r="M295" s="135"/>
      <c r="N295" s="135"/>
      <c r="O295" s="135"/>
      <c r="P295" s="135"/>
      <c r="Q295" s="135"/>
      <c r="R295" s="135"/>
      <c r="S295" s="135"/>
      <c r="T295" s="135"/>
    </row>
    <row r="296" spans="1:20">
      <c r="A296" s="135"/>
      <c r="B296" s="135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135"/>
      <c r="Q296" s="135"/>
      <c r="R296" s="135"/>
      <c r="S296" s="135"/>
      <c r="T296" s="135"/>
    </row>
    <row r="297" spans="1:20">
      <c r="A297" s="135"/>
      <c r="B297" s="135"/>
      <c r="C297" s="135"/>
      <c r="D297" s="135"/>
      <c r="E297" s="135"/>
      <c r="F297" s="135"/>
      <c r="G297" s="135"/>
      <c r="H297" s="135"/>
      <c r="I297" s="135"/>
      <c r="J297" s="135"/>
      <c r="K297" s="135"/>
      <c r="L297" s="135"/>
      <c r="M297" s="135"/>
      <c r="N297" s="135"/>
      <c r="O297" s="135"/>
      <c r="P297" s="135"/>
      <c r="Q297" s="135"/>
      <c r="R297" s="135"/>
      <c r="S297" s="135"/>
      <c r="T297" s="135"/>
    </row>
    <row r="298" spans="1:20">
      <c r="A298" s="135"/>
      <c r="B298" s="135"/>
      <c r="C298" s="135"/>
      <c r="D298" s="135"/>
      <c r="E298" s="135"/>
      <c r="F298" s="135"/>
      <c r="G298" s="135"/>
      <c r="H298" s="135"/>
      <c r="I298" s="135"/>
      <c r="J298" s="135"/>
      <c r="K298" s="135"/>
      <c r="L298" s="135"/>
      <c r="M298" s="135"/>
      <c r="N298" s="135"/>
      <c r="O298" s="135"/>
      <c r="P298" s="135"/>
      <c r="Q298" s="135"/>
      <c r="R298" s="135"/>
      <c r="S298" s="135"/>
      <c r="T298" s="135"/>
    </row>
    <row r="299" spans="1:20">
      <c r="A299" s="135"/>
      <c r="B299" s="135"/>
      <c r="C299" s="135"/>
      <c r="D299" s="135"/>
      <c r="E299" s="135"/>
      <c r="F299" s="135"/>
      <c r="G299" s="135"/>
      <c r="H299" s="135"/>
      <c r="I299" s="135"/>
      <c r="J299" s="135"/>
      <c r="K299" s="135"/>
      <c r="L299" s="135"/>
      <c r="M299" s="135"/>
      <c r="N299" s="135"/>
      <c r="O299" s="135"/>
      <c r="P299" s="135"/>
      <c r="Q299" s="135"/>
      <c r="R299" s="135"/>
      <c r="S299" s="135"/>
      <c r="T299" s="135"/>
    </row>
    <row r="300" spans="1:20">
      <c r="K300" s="135"/>
      <c r="L300" s="135"/>
      <c r="M300" s="135"/>
      <c r="N300" s="135"/>
      <c r="O300" s="135"/>
      <c r="P300" s="135"/>
      <c r="Q300" s="135"/>
      <c r="R300" s="135"/>
      <c r="S300" s="135"/>
      <c r="T300" s="135"/>
    </row>
  </sheetData>
  <mergeCells count="1">
    <mergeCell ref="A18:B19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2">
    <cfRule type="expression" dxfId="3" priority="7" stopIfTrue="1">
      <formula>($C12&amp;$D12)="NP"</formula>
    </cfRule>
    <cfRule type="expression" dxfId="2" priority="8" stopIfTrue="1">
      <formula>($C12&amp;$D12)="EG"</formula>
    </cfRule>
  </conditionalFormatting>
  <conditionalFormatting sqref="A12:J12">
    <cfRule type="expression" dxfId="1" priority="9" stopIfTrue="1">
      <formula>$C12="N"</formula>
    </cfRule>
    <cfRule type="expression" dxfId="0" priority="10" stopIfTrue="1">
      <formula>$C12&lt;&gt;""</formula>
    </cfRule>
  </conditionalFormatting>
  <dataValidations count="13">
    <dataValidation type="list" allowBlank="1" showInputMessage="1" showErrorMessage="1" sqref="E35" xr:uid="{64A4C253-AEB6-0746-8088-408393901E28}">
      <formula1>$AB$2:$AB$9</formula1>
    </dataValidation>
    <dataValidation type="list" allowBlank="1" showInputMessage="1" showErrorMessage="1" sqref="F35" xr:uid="{5677D023-EFE8-D448-B8D6-30965607D817}">
      <formula1>$AD$2:$AD$4</formula1>
    </dataValidation>
    <dataValidation type="list" allowBlank="1" showInputMessage="1" showErrorMessage="1" sqref="E28" xr:uid="{4D513F7B-B505-BB45-82B3-1D68C8DA627E}">
      <formula1>$AB$192:$AB$202</formula1>
    </dataValidation>
    <dataValidation type="list" allowBlank="1" showInputMessage="1" showErrorMessage="1" sqref="F28" xr:uid="{1599686B-1E4F-2443-AA72-256F6BD806CB}">
      <formula1>$AD$192:$AD$194</formula1>
    </dataValidation>
    <dataValidation type="list" allowBlank="1" showInputMessage="1" showErrorMessage="1" sqref="C4 C3 C12" xr:uid="{160DAEE1-B35F-794E-8E89-9B3C5D261F9D}">
      <formula1>$W$201:$W$202</formula1>
    </dataValidation>
    <dataValidation type="list" allowBlank="1" showInputMessage="1" showErrorMessage="1" sqref="H3 H4:H5 E12" xr:uid="{DBEF4FDC-3988-BC45-97D1-6C72E0AAEDE7}">
      <formula1>$AB$201:$AB$211</formula1>
    </dataValidation>
    <dataValidation type="list" allowBlank="1" showInputMessage="1" showErrorMessage="1" sqref="D12" xr:uid="{440EAE97-A8C7-E549-B04D-A810FEF449D4}">
      <formula1>$Y$201:$Y$202</formula1>
    </dataValidation>
    <dataValidation type="list" allowBlank="1" showInputMessage="1" showErrorMessage="1" sqref="F12" xr:uid="{786ADD47-E37F-E846-AC64-2F44CD41B497}">
      <formula1>$AD$201:$AD$203</formula1>
    </dataValidation>
    <dataValidation type="list" allowBlank="1" showInputMessage="1" showErrorMessage="1" sqref="E4:E5 E3" xr:uid="{DCF8B176-769B-B74B-9FA0-AC1825394A14}">
      <formula1>$AG$201:$AG$224</formula1>
    </dataValidation>
    <dataValidation type="list" allowBlank="1" showInputMessage="1" showErrorMessage="1" sqref="D4 D3" xr:uid="{7B56866B-A433-5C40-8523-350E76ED41BF}">
      <formula1>$X$201:$X$203</formula1>
    </dataValidation>
    <dataValidation type="list" allowBlank="1" showInputMessage="1" showErrorMessage="1" sqref="F4:F5 F3" xr:uid="{E2D9A05D-2535-F848-87FD-DA190BC2A6A6}">
      <formula1>$Z$201:$Z$205</formula1>
    </dataValidation>
    <dataValidation type="list" allowBlank="1" showInputMessage="1" showErrorMessage="1" sqref="G4:G5 G3" xr:uid="{4B4E4EC1-3EA6-C944-B5F6-4670FB2366D4}">
      <formula1>$AA$201:$AA$202</formula1>
    </dataValidation>
    <dataValidation type="list" allowBlank="1" showInputMessage="1" showErrorMessage="1" sqref="I4:I5 I3" xr:uid="{07CD3060-D2EB-C741-AAEA-69684ABFC2BF}">
      <formula1>$AC$201:$AC$206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186</v>
      </c>
      <c r="D1" s="15"/>
      <c r="F1" s="22" t="s">
        <v>109</v>
      </c>
      <c r="G1" s="23" t="s">
        <v>110</v>
      </c>
      <c r="I1" s="24" t="s">
        <v>115</v>
      </c>
      <c r="K1" s="76" t="s">
        <v>113</v>
      </c>
      <c r="N1" t="s">
        <v>151</v>
      </c>
      <c r="Q1" s="24" t="s">
        <v>76</v>
      </c>
      <c r="R1" s="24" t="s">
        <v>116</v>
      </c>
      <c r="T1" t="s">
        <v>485</v>
      </c>
      <c r="V1" t="s">
        <v>487</v>
      </c>
      <c r="AA1" t="s">
        <v>42</v>
      </c>
    </row>
    <row r="2" spans="1:27" ht="30" customHeight="1">
      <c r="C2" s="19" t="s">
        <v>176</v>
      </c>
      <c r="D2" s="19"/>
      <c r="F2" s="17" t="s">
        <v>99</v>
      </c>
      <c r="G2" s="10"/>
      <c r="I2" s="18" t="s">
        <v>47</v>
      </c>
      <c r="K2" s="300" t="s">
        <v>42</v>
      </c>
      <c r="N2" t="s">
        <v>152</v>
      </c>
      <c r="Q2" s="18" t="s">
        <v>77</v>
      </c>
      <c r="R2" s="18" t="s">
        <v>8</v>
      </c>
      <c r="T2" t="s">
        <v>455</v>
      </c>
      <c r="AA2" t="s">
        <v>32</v>
      </c>
    </row>
    <row r="3" spans="1:27" ht="30" customHeight="1">
      <c r="C3" s="19" t="s">
        <v>185</v>
      </c>
      <c r="D3" s="19"/>
      <c r="F3" s="20" t="s">
        <v>100</v>
      </c>
      <c r="G3" s="4"/>
      <c r="I3" s="25" t="s">
        <v>112</v>
      </c>
      <c r="K3" s="300" t="s">
        <v>32</v>
      </c>
      <c r="N3" t="s">
        <v>168</v>
      </c>
      <c r="Q3" s="21" t="s">
        <v>78</v>
      </c>
      <c r="R3" s="21" t="s">
        <v>57</v>
      </c>
      <c r="T3" t="s">
        <v>456</v>
      </c>
    </row>
    <row r="4" spans="1:27" ht="30" customHeight="1">
      <c r="C4" s="19" t="s">
        <v>187</v>
      </c>
      <c r="D4" s="19"/>
      <c r="F4" s="17" t="s">
        <v>101</v>
      </c>
      <c r="G4" s="5"/>
      <c r="Q4" s="18" t="s">
        <v>79</v>
      </c>
      <c r="R4" s="18" t="s">
        <v>9</v>
      </c>
      <c r="T4" t="s">
        <v>457</v>
      </c>
    </row>
    <row r="5" spans="1:27" ht="30" customHeight="1">
      <c r="C5" s="19"/>
      <c r="D5" s="19"/>
      <c r="F5" s="20" t="s">
        <v>102</v>
      </c>
      <c r="G5" s="6"/>
      <c r="I5" s="24" t="s">
        <v>114</v>
      </c>
      <c r="K5" s="16" t="s">
        <v>285</v>
      </c>
      <c r="Q5" s="21" t="s">
        <v>80</v>
      </c>
      <c r="R5" s="21" t="s">
        <v>81</v>
      </c>
      <c r="T5" t="s">
        <v>458</v>
      </c>
    </row>
    <row r="6" spans="1:27" ht="30" customHeight="1">
      <c r="C6" s="19" t="s">
        <v>188</v>
      </c>
      <c r="D6" s="19"/>
      <c r="F6" s="17" t="s">
        <v>104</v>
      </c>
      <c r="G6" s="7"/>
      <c r="I6" s="18" t="s">
        <v>46</v>
      </c>
      <c r="K6" t="s">
        <v>286</v>
      </c>
      <c r="Q6" s="18" t="s">
        <v>82</v>
      </c>
      <c r="R6" s="18" t="s">
        <v>83</v>
      </c>
      <c r="T6" t="s">
        <v>459</v>
      </c>
    </row>
    <row r="7" spans="1:27" ht="30" customHeight="1">
      <c r="C7" s="19" t="s">
        <v>177</v>
      </c>
      <c r="D7" s="19"/>
      <c r="F7" s="20" t="s">
        <v>103</v>
      </c>
      <c r="G7" s="14"/>
      <c r="I7" s="25" t="s">
        <v>44</v>
      </c>
      <c r="K7" t="s">
        <v>287</v>
      </c>
      <c r="Q7" s="21" t="s">
        <v>84</v>
      </c>
      <c r="R7" s="21" t="s">
        <v>60</v>
      </c>
      <c r="T7" t="s">
        <v>460</v>
      </c>
    </row>
    <row r="8" spans="1:27" ht="30" customHeight="1">
      <c r="C8" s="19" t="s">
        <v>189</v>
      </c>
      <c r="D8" s="19"/>
      <c r="F8" s="17" t="s">
        <v>105</v>
      </c>
      <c r="G8" s="2"/>
      <c r="Q8" s="18" t="s">
        <v>85</v>
      </c>
      <c r="R8" s="18" t="s">
        <v>58</v>
      </c>
      <c r="T8" t="s">
        <v>461</v>
      </c>
    </row>
    <row r="9" spans="1:27" s="15" customFormat="1" ht="30" customHeight="1">
      <c r="C9" s="19" t="s">
        <v>190</v>
      </c>
      <c r="D9" s="19"/>
      <c r="F9" s="20" t="s">
        <v>106</v>
      </c>
      <c r="G9" s="8"/>
      <c r="K9"/>
      <c r="Q9" s="21" t="s">
        <v>86</v>
      </c>
      <c r="R9" s="21" t="s">
        <v>61</v>
      </c>
      <c r="T9" s="15" t="s">
        <v>462</v>
      </c>
    </row>
    <row r="10" spans="1:27" ht="30" customHeight="1">
      <c r="C10" s="19" t="s">
        <v>265</v>
      </c>
      <c r="D10" s="19"/>
      <c r="F10" s="17" t="s">
        <v>107</v>
      </c>
      <c r="G10" s="118"/>
      <c r="I10" s="45" t="s">
        <v>212</v>
      </c>
      <c r="Q10" s="18" t="s">
        <v>87</v>
      </c>
      <c r="R10" s="18" t="s">
        <v>59</v>
      </c>
      <c r="T10" t="s">
        <v>166</v>
      </c>
    </row>
    <row r="11" spans="1:27" s="15" customFormat="1" ht="30" customHeight="1">
      <c r="D11" s="19"/>
      <c r="F11" s="20" t="s">
        <v>242</v>
      </c>
      <c r="G11" s="83"/>
      <c r="K11"/>
      <c r="Q11" s="21" t="s">
        <v>88</v>
      </c>
      <c r="R11" s="21" t="s">
        <v>62</v>
      </c>
      <c r="T11" s="15" t="s">
        <v>32</v>
      </c>
    </row>
    <row r="12" spans="1:27" ht="30" customHeight="1">
      <c r="C12" s="19" t="s">
        <v>191</v>
      </c>
      <c r="D12" s="19"/>
      <c r="F12" s="17" t="s">
        <v>243</v>
      </c>
      <c r="G12" s="84"/>
      <c r="Q12" s="21" t="s">
        <v>218</v>
      </c>
      <c r="R12" s="21" t="s">
        <v>219</v>
      </c>
      <c r="T12" t="s">
        <v>463</v>
      </c>
    </row>
    <row r="13" spans="1:27" s="15" customFormat="1" ht="30" customHeight="1">
      <c r="C13" s="19" t="s">
        <v>178</v>
      </c>
      <c r="D13" s="19"/>
      <c r="F13" s="20" t="s">
        <v>244</v>
      </c>
      <c r="G13" s="119"/>
      <c r="K13"/>
      <c r="Q13" s="20" t="s">
        <v>173</v>
      </c>
      <c r="R13" s="65" t="s">
        <v>159</v>
      </c>
      <c r="T13" s="15" t="s">
        <v>464</v>
      </c>
    </row>
    <row r="14" spans="1:27" ht="30" customHeight="1">
      <c r="C14" s="19" t="s">
        <v>192</v>
      </c>
      <c r="D14" s="19"/>
      <c r="F14" s="20"/>
      <c r="G14" s="15"/>
      <c r="I14" s="16" t="s">
        <v>122</v>
      </c>
      <c r="Q14" s="20" t="s">
        <v>172</v>
      </c>
      <c r="R14" s="65" t="s">
        <v>160</v>
      </c>
      <c r="T14" t="s">
        <v>465</v>
      </c>
    </row>
    <row r="15" spans="1:27" s="15" customFormat="1" ht="30" customHeight="1">
      <c r="C15" s="19" t="s">
        <v>193</v>
      </c>
      <c r="D15" s="19"/>
      <c r="F15" s="17" t="s">
        <v>108</v>
      </c>
      <c r="G15" s="9"/>
      <c r="I15" s="15" t="s">
        <v>118</v>
      </c>
      <c r="K15"/>
      <c r="Q15" s="20" t="s">
        <v>89</v>
      </c>
      <c r="R15" s="65" t="s">
        <v>52</v>
      </c>
      <c r="T15" s="15" t="s">
        <v>466</v>
      </c>
    </row>
    <row r="16" spans="1:27" ht="30" customHeight="1">
      <c r="C16" s="19"/>
      <c r="D16" s="19"/>
      <c r="I16" s="15" t="s">
        <v>119</v>
      </c>
      <c r="Q16" s="20" t="s">
        <v>90</v>
      </c>
      <c r="R16" s="65" t="s">
        <v>63</v>
      </c>
      <c r="T16" t="s">
        <v>467</v>
      </c>
    </row>
    <row r="17" spans="3:20" s="15" customFormat="1" ht="30" customHeight="1">
      <c r="C17" s="19" t="s">
        <v>200</v>
      </c>
      <c r="D17" s="19"/>
      <c r="F17" s="15" t="s">
        <v>353</v>
      </c>
      <c r="G17" s="145"/>
      <c r="I17" s="15" t="s">
        <v>120</v>
      </c>
      <c r="K17"/>
      <c r="Q17" s="20" t="s">
        <v>91</v>
      </c>
      <c r="R17" s="65" t="s">
        <v>64</v>
      </c>
      <c r="T17" s="15" t="s">
        <v>468</v>
      </c>
    </row>
    <row r="18" spans="3:20" ht="30" customHeight="1">
      <c r="C18" s="19" t="s">
        <v>201</v>
      </c>
      <c r="D18" s="19"/>
      <c r="F18" s="15" t="s">
        <v>354</v>
      </c>
      <c r="G18" s="144"/>
      <c r="I18" s="15" t="s">
        <v>121</v>
      </c>
      <c r="Q18" s="20" t="s">
        <v>92</v>
      </c>
      <c r="R18" s="65" t="s">
        <v>65</v>
      </c>
      <c r="T18" t="s">
        <v>469</v>
      </c>
    </row>
    <row r="19" spans="3:20" ht="30" customHeight="1">
      <c r="C19" s="19" t="s">
        <v>202</v>
      </c>
      <c r="D19" s="19"/>
      <c r="F19" s="15"/>
      <c r="I19" s="15" t="s">
        <v>214</v>
      </c>
      <c r="Q19" s="20" t="s">
        <v>93</v>
      </c>
      <c r="R19" s="65" t="s">
        <v>56</v>
      </c>
      <c r="T19" t="s">
        <v>470</v>
      </c>
    </row>
    <row r="20" spans="3:20" ht="30" customHeight="1">
      <c r="C20" s="19" t="s">
        <v>203</v>
      </c>
      <c r="D20" s="19"/>
      <c r="I20" s="15" t="s">
        <v>215</v>
      </c>
      <c r="Q20" s="20" t="s">
        <v>94</v>
      </c>
      <c r="R20" s="65" t="s">
        <v>53</v>
      </c>
      <c r="T20" t="s">
        <v>471</v>
      </c>
    </row>
    <row r="21" spans="3:20" ht="30" customHeight="1">
      <c r="C21" s="19" t="s">
        <v>204</v>
      </c>
      <c r="D21" s="19"/>
      <c r="Q21" s="20" t="s">
        <v>95</v>
      </c>
      <c r="R21" s="65" t="s">
        <v>54</v>
      </c>
      <c r="T21" t="s">
        <v>472</v>
      </c>
    </row>
    <row r="22" spans="3:20" ht="30" customHeight="1">
      <c r="C22" s="19"/>
      <c r="D22" s="19"/>
      <c r="Q22" s="20" t="s">
        <v>96</v>
      </c>
      <c r="R22" s="65" t="s">
        <v>49</v>
      </c>
      <c r="T22" t="s">
        <v>473</v>
      </c>
    </row>
    <row r="23" spans="3:20" ht="30" customHeight="1">
      <c r="C23" s="19"/>
      <c r="D23" s="19"/>
      <c r="Q23" s="20" t="s">
        <v>97</v>
      </c>
      <c r="R23" s="65" t="s">
        <v>50</v>
      </c>
      <c r="T23" t="s">
        <v>474</v>
      </c>
    </row>
    <row r="24" spans="3:20" ht="30" customHeight="1">
      <c r="C24" s="19"/>
      <c r="D24" s="19"/>
      <c r="Q24" s="20" t="s">
        <v>98</v>
      </c>
      <c r="R24" s="65" t="s">
        <v>37</v>
      </c>
      <c r="T24" t="s">
        <v>475</v>
      </c>
    </row>
    <row r="25" spans="3:20" ht="30" customHeight="1">
      <c r="Q25" s="20" t="s">
        <v>129</v>
      </c>
      <c r="R25" s="65" t="s">
        <v>131</v>
      </c>
      <c r="T25" t="s">
        <v>476</v>
      </c>
    </row>
    <row r="26" spans="3:20" ht="30" customHeight="1">
      <c r="Q26" s="20" t="s">
        <v>130</v>
      </c>
      <c r="R26" s="65" t="s">
        <v>132</v>
      </c>
      <c r="T26" t="s">
        <v>477</v>
      </c>
    </row>
    <row r="27" spans="3:20" ht="30" customHeight="1">
      <c r="Q27" s="20" t="s">
        <v>133</v>
      </c>
      <c r="R27" s="65" t="s">
        <v>134</v>
      </c>
      <c r="T27" t="s">
        <v>478</v>
      </c>
    </row>
    <row r="28" spans="3:20" ht="30" customHeight="1">
      <c r="Q28" s="20" t="s">
        <v>135</v>
      </c>
      <c r="R28" s="65" t="s">
        <v>136</v>
      </c>
      <c r="T28" t="s">
        <v>479</v>
      </c>
    </row>
    <row r="29" spans="3:20" ht="30" customHeight="1">
      <c r="Q29" s="20" t="s">
        <v>137</v>
      </c>
      <c r="R29" s="65" t="s">
        <v>10</v>
      </c>
      <c r="T29" t="s">
        <v>480</v>
      </c>
    </row>
    <row r="30" spans="3:20" ht="30" customHeight="1">
      <c r="Q30" s="20" t="s">
        <v>138</v>
      </c>
      <c r="R30" s="65" t="s">
        <v>139</v>
      </c>
      <c r="T30" t="s">
        <v>388</v>
      </c>
    </row>
    <row r="31" spans="3:20" ht="30" customHeight="1">
      <c r="Q31" s="20" t="s">
        <v>158</v>
      </c>
      <c r="R31" s="65" t="s">
        <v>153</v>
      </c>
      <c r="T31" t="s">
        <v>155</v>
      </c>
    </row>
    <row r="32" spans="3:20" ht="30" customHeight="1">
      <c r="Q32" s="20" t="s">
        <v>161</v>
      </c>
      <c r="R32" s="65" t="s">
        <v>154</v>
      </c>
      <c r="T32" t="s">
        <v>481</v>
      </c>
    </row>
    <row r="33" spans="17:20" ht="30" customHeight="1">
      <c r="Q33" s="20" t="s">
        <v>162</v>
      </c>
      <c r="R33" s="65" t="s">
        <v>155</v>
      </c>
      <c r="T33" t="s">
        <v>411</v>
      </c>
    </row>
    <row r="34" spans="17:20" ht="30" customHeight="1">
      <c r="Q34" s="20" t="s">
        <v>163</v>
      </c>
      <c r="R34" s="65" t="s">
        <v>81</v>
      </c>
      <c r="T34" t="s">
        <v>412</v>
      </c>
    </row>
    <row r="35" spans="17:20" ht="30" customHeight="1">
      <c r="Q35" s="20" t="s">
        <v>164</v>
      </c>
      <c r="R35" s="65" t="s">
        <v>83</v>
      </c>
      <c r="T35" t="s">
        <v>413</v>
      </c>
    </row>
    <row r="36" spans="17:20" ht="30" customHeight="1">
      <c r="Q36" s="20" t="s">
        <v>167</v>
      </c>
      <c r="R36" s="65" t="s">
        <v>32</v>
      </c>
      <c r="T36" t="s">
        <v>414</v>
      </c>
    </row>
    <row r="37" spans="17:20" ht="30" customHeight="1">
      <c r="Q37" s="25" t="s">
        <v>216</v>
      </c>
      <c r="R37" s="25" t="s">
        <v>217</v>
      </c>
      <c r="T37" t="s">
        <v>415</v>
      </c>
    </row>
    <row r="38" spans="17:20" ht="30" customHeight="1">
      <c r="Q38" s="21" t="s">
        <v>222</v>
      </c>
      <c r="R38" s="21" t="s">
        <v>223</v>
      </c>
      <c r="T38" t="s">
        <v>416</v>
      </c>
    </row>
    <row r="39" spans="17:20" ht="30" customHeight="1">
      <c r="Q39" s="21" t="s">
        <v>224</v>
      </c>
      <c r="R39" s="21" t="s">
        <v>225</v>
      </c>
      <c r="T39" t="s">
        <v>417</v>
      </c>
    </row>
    <row r="40" spans="17:20" ht="30" customHeight="1">
      <c r="Q40" s="21" t="s">
        <v>226</v>
      </c>
      <c r="R40" s="21" t="s">
        <v>227</v>
      </c>
      <c r="T40" t="s">
        <v>418</v>
      </c>
    </row>
    <row r="41" spans="17:20" ht="30" customHeight="1">
      <c r="Q41" s="25" t="s">
        <v>228</v>
      </c>
      <c r="R41" s="25" t="s">
        <v>229</v>
      </c>
      <c r="T41" t="s">
        <v>419</v>
      </c>
    </row>
    <row r="42" spans="17:20" ht="30" customHeight="1">
      <c r="Q42" s="25" t="s">
        <v>245</v>
      </c>
      <c r="R42" s="25" t="s">
        <v>246</v>
      </c>
      <c r="T42" t="s">
        <v>420</v>
      </c>
    </row>
    <row r="43" spans="17:20" ht="30" customHeight="1">
      <c r="Q43" s="25" t="s">
        <v>247</v>
      </c>
      <c r="R43" s="25" t="s">
        <v>248</v>
      </c>
      <c r="T43" t="s">
        <v>421</v>
      </c>
    </row>
    <row r="44" spans="17:20" ht="30" customHeight="1">
      <c r="Q44" s="25" t="s">
        <v>249</v>
      </c>
      <c r="R44" s="25" t="s">
        <v>250</v>
      </c>
      <c r="T44" t="s">
        <v>422</v>
      </c>
    </row>
    <row r="45" spans="17:20" ht="30" customHeight="1">
      <c r="Q45" s="25" t="s">
        <v>251</v>
      </c>
      <c r="R45" s="25" t="s">
        <v>257</v>
      </c>
      <c r="T45" t="s">
        <v>423</v>
      </c>
    </row>
    <row r="46" spans="17:20" ht="30" customHeight="1">
      <c r="Q46" s="25" t="s">
        <v>252</v>
      </c>
      <c r="R46" s="25" t="s">
        <v>258</v>
      </c>
      <c r="T46" t="s">
        <v>424</v>
      </c>
    </row>
    <row r="47" spans="17:20" ht="30" customHeight="1">
      <c r="Q47" s="25" t="s">
        <v>253</v>
      </c>
      <c r="R47" s="25" t="s">
        <v>259</v>
      </c>
      <c r="T47" t="s">
        <v>425</v>
      </c>
    </row>
    <row r="48" spans="17:20" ht="30" customHeight="1">
      <c r="Q48" s="25" t="s">
        <v>254</v>
      </c>
      <c r="R48" s="25" t="s">
        <v>260</v>
      </c>
      <c r="T48" t="s">
        <v>426</v>
      </c>
    </row>
    <row r="49" spans="17:20" ht="30" customHeight="1">
      <c r="Q49" s="25" t="s">
        <v>255</v>
      </c>
      <c r="R49" s="25" t="s">
        <v>261</v>
      </c>
      <c r="T49" t="s">
        <v>427</v>
      </c>
    </row>
    <row r="50" spans="17:20" ht="30" customHeight="1">
      <c r="Q50" s="25" t="s">
        <v>256</v>
      </c>
      <c r="R50" s="25" t="s">
        <v>262</v>
      </c>
      <c r="T50" t="s">
        <v>428</v>
      </c>
    </row>
    <row r="51" spans="17:20" ht="30" customHeight="1">
      <c r="Q51" s="21" t="s">
        <v>273</v>
      </c>
      <c r="R51" s="21" t="s">
        <v>276</v>
      </c>
    </row>
    <row r="52" spans="17:20" ht="30" customHeight="1">
      <c r="Q52" s="25" t="s">
        <v>274</v>
      </c>
      <c r="R52" s="25" t="s">
        <v>275</v>
      </c>
    </row>
    <row r="53" spans="17:20" ht="30" customHeight="1">
      <c r="Q53" s="25" t="s">
        <v>280</v>
      </c>
      <c r="R53" s="25" t="s">
        <v>283</v>
      </c>
    </row>
    <row r="54" spans="17:20" ht="30" customHeight="1">
      <c r="Q54" s="25" t="s">
        <v>281</v>
      </c>
      <c r="R54" s="25" t="s">
        <v>282</v>
      </c>
    </row>
    <row r="55" spans="17:20" ht="30" customHeight="1">
      <c r="Q55" s="159" t="s">
        <v>376</v>
      </c>
      <c r="R55" s="159" t="s">
        <v>378</v>
      </c>
    </row>
    <row r="56" spans="17:20" ht="30" customHeight="1">
      <c r="Q56" s="160" t="s">
        <v>377</v>
      </c>
      <c r="R56" s="160" t="s">
        <v>379</v>
      </c>
    </row>
    <row r="57" spans="17:20" ht="30" customHeight="1">
      <c r="Q57" s="21" t="s">
        <v>390</v>
      </c>
      <c r="R57" s="21" t="s">
        <v>391</v>
      </c>
    </row>
    <row r="58" spans="17:20" ht="30" customHeight="1">
      <c r="Q58" s="21" t="s">
        <v>392</v>
      </c>
      <c r="R58" s="21" t="s">
        <v>393</v>
      </c>
    </row>
    <row r="59" spans="17:20" ht="30" customHeight="1">
      <c r="Q59" s="21" t="s">
        <v>394</v>
      </c>
      <c r="R59" s="21" t="s">
        <v>395</v>
      </c>
    </row>
    <row r="60" spans="17:20" ht="30" customHeight="1">
      <c r="Q60" s="21" t="s">
        <v>396</v>
      </c>
      <c r="R60" s="21" t="s">
        <v>397</v>
      </c>
    </row>
    <row r="61" spans="17:20" ht="30" customHeight="1">
      <c r="Q61" s="21" t="s">
        <v>398</v>
      </c>
      <c r="R61" s="21" t="s">
        <v>399</v>
      </c>
    </row>
    <row r="62" spans="17:20" ht="30" customHeight="1">
      <c r="Q62" s="21" t="s">
        <v>400</v>
      </c>
      <c r="R62" s="21" t="s">
        <v>401</v>
      </c>
    </row>
    <row r="63" spans="17:20" ht="30" customHeight="1">
      <c r="Q63" s="21" t="s">
        <v>402</v>
      </c>
      <c r="R63" s="21" t="s">
        <v>403</v>
      </c>
    </row>
    <row r="64" spans="17:20" ht="30" customHeight="1">
      <c r="Q64" s="25" t="s">
        <v>404</v>
      </c>
      <c r="R64" s="25" t="s">
        <v>405</v>
      </c>
    </row>
    <row r="65" spans="17:18" ht="30" customHeight="1">
      <c r="Q65" s="25" t="s">
        <v>441</v>
      </c>
      <c r="R65" s="25" t="s">
        <v>442</v>
      </c>
    </row>
    <row r="66" spans="17:18" ht="30" customHeight="1">
      <c r="Q66" s="25" t="s">
        <v>443</v>
      </c>
      <c r="R66" s="25" t="s">
        <v>444</v>
      </c>
    </row>
    <row r="67" spans="17:18" ht="30" customHeight="1">
      <c r="Q67" s="25" t="s">
        <v>445</v>
      </c>
      <c r="R67" s="25" t="s">
        <v>446</v>
      </c>
    </row>
    <row r="68" spans="17:18" ht="30" customHeight="1">
      <c r="Q68" s="25" t="s">
        <v>447</v>
      </c>
      <c r="R68" s="25" t="s">
        <v>448</v>
      </c>
    </row>
    <row r="69" spans="17:18" ht="30" customHeight="1">
      <c r="Q69" s="25" t="s">
        <v>449</v>
      </c>
      <c r="R69" s="25" t="s">
        <v>450</v>
      </c>
    </row>
    <row r="70" spans="17:18" ht="30" customHeight="1">
      <c r="Q70" s="25" t="s">
        <v>451</v>
      </c>
      <c r="R70" s="25" t="s">
        <v>452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6" t="s">
        <v>75</v>
      </c>
      <c r="D5" s="286"/>
      <c r="E5" s="286"/>
      <c r="F5" s="286"/>
      <c r="G5" s="286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73</v>
      </c>
      <c r="D9" s="95"/>
      <c r="G9" s="90"/>
    </row>
    <row r="10" spans="3:7">
      <c r="C10" s="91"/>
      <c r="G10" s="90"/>
    </row>
    <row r="11" spans="3:7">
      <c r="C11" s="91" t="s">
        <v>74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14" s="100" customFormat="1" ht="21">
      <c r="B2" s="99" t="s">
        <v>339</v>
      </c>
    </row>
    <row r="3" spans="2:14" s="100" customFormat="1"/>
    <row r="4" spans="2:14" s="100" customFormat="1" ht="20" customHeight="1">
      <c r="B4" s="101" t="s">
        <v>321</v>
      </c>
      <c r="C4" s="288"/>
      <c r="D4" s="288"/>
      <c r="E4" s="289" t="s">
        <v>11</v>
      </c>
      <c r="F4" s="289"/>
      <c r="G4" s="289"/>
    </row>
    <row r="5" spans="2:14" s="100" customFormat="1" ht="20" customHeight="1">
      <c r="B5" s="101" t="s">
        <v>7</v>
      </c>
      <c r="C5" s="288"/>
      <c r="D5" s="288"/>
      <c r="J5" s="290" t="s">
        <v>493</v>
      </c>
      <c r="K5" s="290"/>
      <c r="L5" s="290"/>
    </row>
    <row r="6" spans="2:14" s="100" customFormat="1" ht="20" customHeight="1">
      <c r="B6" s="101" t="s">
        <v>322</v>
      </c>
      <c r="C6" s="288"/>
      <c r="D6" s="288"/>
      <c r="J6" s="290"/>
      <c r="K6" s="290"/>
      <c r="L6" s="290"/>
    </row>
    <row r="7" spans="2:14" s="100" customFormat="1" ht="20" customHeight="1">
      <c r="B7" s="101" t="s">
        <v>323</v>
      </c>
      <c r="C7" s="288"/>
      <c r="D7" s="288"/>
    </row>
    <row r="8" spans="2:14" s="100" customFormat="1" ht="8" customHeight="1"/>
    <row r="9" spans="2:14" s="100" customFormat="1" ht="20" customHeight="1">
      <c r="B9" s="154" t="s">
        <v>324</v>
      </c>
      <c r="C9" s="293"/>
      <c r="D9" s="293"/>
      <c r="E9" s="293"/>
      <c r="F9" s="293"/>
    </row>
    <row r="10" spans="2:14" s="100" customFormat="1" ht="8" customHeight="1"/>
    <row r="11" spans="2:14" s="100" customFormat="1" ht="20" customHeight="1">
      <c r="B11" s="154" t="s">
        <v>328</v>
      </c>
      <c r="C11" s="287">
        <v>2</v>
      </c>
      <c r="D11" s="287"/>
      <c r="E11" s="287">
        <v>3</v>
      </c>
      <c r="F11" s="287"/>
      <c r="G11" s="287">
        <v>4</v>
      </c>
      <c r="H11" s="287"/>
      <c r="I11" s="287">
        <v>5</v>
      </c>
      <c r="J11" s="287"/>
      <c r="K11" s="287">
        <v>6</v>
      </c>
      <c r="L11" s="287"/>
      <c r="M11" s="287" t="s">
        <v>315</v>
      </c>
      <c r="N11" s="287"/>
    </row>
    <row r="12" spans="2:14" s="100" customFormat="1" ht="8" customHeight="1"/>
    <row r="13" spans="2:14" s="100" customFormat="1" ht="20" customHeight="1">
      <c r="B13" s="154" t="s">
        <v>340</v>
      </c>
      <c r="C13" s="287" t="s">
        <v>297</v>
      </c>
      <c r="D13" s="287"/>
      <c r="E13" s="287" t="s">
        <v>298</v>
      </c>
      <c r="F13" s="287"/>
      <c r="G13" s="287" t="s">
        <v>299</v>
      </c>
      <c r="H13" s="287"/>
      <c r="I13" s="287" t="s">
        <v>300</v>
      </c>
      <c r="J13" s="287"/>
      <c r="K13" s="287" t="s">
        <v>301</v>
      </c>
      <c r="L13" s="287"/>
    </row>
    <row r="14" spans="2:14" s="100" customFormat="1" ht="8" customHeight="1"/>
    <row r="15" spans="2:14" s="100" customFormat="1" ht="20" customHeight="1">
      <c r="B15" s="154" t="s">
        <v>326</v>
      </c>
      <c r="C15" s="287" t="s">
        <v>346</v>
      </c>
      <c r="D15" s="287"/>
      <c r="E15" s="287" t="s">
        <v>347</v>
      </c>
      <c r="F15" s="287"/>
    </row>
    <row r="16" spans="2:14" s="100" customFormat="1" ht="8" customHeight="1"/>
    <row r="17" spans="2:14" s="100" customFormat="1" ht="20" customHeight="1">
      <c r="B17" s="158" t="s">
        <v>429</v>
      </c>
      <c r="C17" s="294" t="s">
        <v>435</v>
      </c>
      <c r="D17" s="294"/>
      <c r="E17" s="294"/>
      <c r="F17" s="294"/>
      <c r="G17" s="294"/>
      <c r="I17" s="294" t="s">
        <v>436</v>
      </c>
      <c r="J17" s="294"/>
      <c r="K17" s="294"/>
      <c r="L17" s="294"/>
      <c r="M17" s="294"/>
    </row>
    <row r="18" spans="2:14" s="100" customFormat="1" ht="20" customHeight="1">
      <c r="C18" s="155" t="s">
        <v>430</v>
      </c>
      <c r="D18" s="155" t="s">
        <v>431</v>
      </c>
      <c r="E18" s="155" t="s">
        <v>432</v>
      </c>
      <c r="F18" s="155" t="s">
        <v>433</v>
      </c>
      <c r="G18" s="155" t="s">
        <v>434</v>
      </c>
      <c r="H18" s="155" t="s">
        <v>311</v>
      </c>
      <c r="I18" s="155" t="s">
        <v>434</v>
      </c>
      <c r="J18" s="155" t="s">
        <v>433</v>
      </c>
      <c r="K18" s="155" t="s">
        <v>432</v>
      </c>
      <c r="L18" s="155" t="s">
        <v>431</v>
      </c>
      <c r="M18" s="155" t="s">
        <v>430</v>
      </c>
    </row>
    <row r="19" spans="2:14" s="100" customFormat="1" ht="20" customHeight="1">
      <c r="B19" s="154" t="s">
        <v>438</v>
      </c>
      <c r="C19" s="156"/>
      <c r="D19" s="157"/>
      <c r="E19" s="157"/>
      <c r="F19" s="157"/>
      <c r="G19" s="157"/>
      <c r="H19" s="157"/>
      <c r="I19" s="157"/>
      <c r="J19" s="157"/>
      <c r="K19" s="157"/>
      <c r="L19" s="157"/>
      <c r="M19" s="156"/>
    </row>
    <row r="20" spans="2:14" s="100" customFormat="1" ht="8" customHeight="1"/>
    <row r="21" spans="2:14" s="100" customFormat="1" ht="20" customHeight="1">
      <c r="B21" s="154" t="s">
        <v>329</v>
      </c>
      <c r="C21" s="291"/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291"/>
    </row>
    <row r="22" spans="2:14" s="100" customFormat="1" ht="8" customHeight="1"/>
    <row r="23" spans="2:14" s="100" customFormat="1" ht="26" customHeight="1">
      <c r="C23" s="292" t="s">
        <v>342</v>
      </c>
      <c r="D23" s="292"/>
      <c r="F23" s="289" t="s">
        <v>352</v>
      </c>
      <c r="G23" s="289"/>
      <c r="H23" s="289"/>
      <c r="I23" s="289"/>
    </row>
    <row r="24" spans="2:14" s="100" customFormat="1" ht="26" customHeight="1"/>
    <row r="25" spans="2:14" s="100" customFormat="1" ht="8" customHeight="1"/>
    <row r="26" spans="2:14" s="100" customFormat="1" ht="26" customHeight="1"/>
  </sheetData>
  <mergeCells count="25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  <mergeCell ref="J5:L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70F077-9FC7-BC44-9E39-E7D310CDFB8A}">
          <x14:formula1>
            <xm:f>Paramètres!$AA$1:$AA$2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13" s="100" customFormat="1" ht="21">
      <c r="B2" s="99" t="s">
        <v>343</v>
      </c>
    </row>
    <row r="3" spans="2:13" s="100" customFormat="1"/>
    <row r="4" spans="2:13" s="100" customFormat="1" ht="20" customHeight="1">
      <c r="B4" s="101" t="s">
        <v>321</v>
      </c>
      <c r="C4" s="288"/>
      <c r="D4" s="288"/>
      <c r="E4" s="289" t="s">
        <v>11</v>
      </c>
      <c r="F4" s="289"/>
      <c r="G4" s="289"/>
    </row>
    <row r="5" spans="2:13" s="100" customFormat="1" ht="20" customHeight="1">
      <c r="B5" s="101" t="s">
        <v>7</v>
      </c>
      <c r="C5" s="288"/>
      <c r="D5" s="288"/>
      <c r="J5" s="290" t="s">
        <v>493</v>
      </c>
      <c r="K5" s="290"/>
      <c r="L5" s="290"/>
    </row>
    <row r="6" spans="2:13" s="100" customFormat="1" ht="20" customHeight="1">
      <c r="B6" s="101" t="s">
        <v>348</v>
      </c>
      <c r="C6" s="288"/>
      <c r="D6" s="288"/>
      <c r="J6" s="290"/>
      <c r="K6" s="290"/>
      <c r="L6" s="290"/>
    </row>
    <row r="7" spans="2:13" s="100" customFormat="1" ht="20" customHeight="1">
      <c r="B7" s="101" t="s">
        <v>323</v>
      </c>
      <c r="C7" s="288"/>
      <c r="D7" s="288"/>
    </row>
    <row r="8" spans="2:13" s="100" customFormat="1" ht="8" customHeight="1"/>
    <row r="9" spans="2:13" s="100" customFormat="1" ht="20" customHeight="1">
      <c r="B9" s="158" t="s">
        <v>437</v>
      </c>
      <c r="C9" s="294" t="s">
        <v>435</v>
      </c>
      <c r="D9" s="294"/>
      <c r="E9" s="294"/>
      <c r="F9" s="294"/>
      <c r="G9" s="294"/>
      <c r="I9" s="294" t="s">
        <v>436</v>
      </c>
      <c r="J9" s="294"/>
      <c r="K9" s="294"/>
      <c r="L9" s="294"/>
      <c r="M9" s="294"/>
    </row>
    <row r="10" spans="2:13" s="100" customFormat="1" ht="20" customHeight="1">
      <c r="C10" s="155" t="s">
        <v>430</v>
      </c>
      <c r="D10" s="155" t="s">
        <v>431</v>
      </c>
      <c r="E10" s="155" t="s">
        <v>432</v>
      </c>
      <c r="F10" s="155" t="s">
        <v>433</v>
      </c>
      <c r="G10" s="155" t="s">
        <v>434</v>
      </c>
      <c r="H10" s="155" t="s">
        <v>311</v>
      </c>
      <c r="I10" s="155" t="s">
        <v>434</v>
      </c>
      <c r="J10" s="155" t="s">
        <v>433</v>
      </c>
      <c r="K10" s="155" t="s">
        <v>432</v>
      </c>
      <c r="L10" s="155" t="s">
        <v>431</v>
      </c>
      <c r="M10" s="155" t="s">
        <v>430</v>
      </c>
    </row>
    <row r="11" spans="2:13" s="100" customFormat="1" ht="20" customHeight="1">
      <c r="B11" s="154" t="s">
        <v>317</v>
      </c>
      <c r="C11" s="156"/>
      <c r="D11" s="157"/>
      <c r="E11" s="157"/>
      <c r="F11" s="157"/>
      <c r="G11" s="157"/>
      <c r="H11" s="157"/>
      <c r="I11" s="157"/>
      <c r="J11" s="157"/>
      <c r="K11" s="157"/>
      <c r="L11" s="157"/>
      <c r="M11" s="156"/>
    </row>
    <row r="12" spans="2:13" s="100" customFormat="1" ht="20" customHeight="1">
      <c r="B12" s="154" t="s">
        <v>318</v>
      </c>
      <c r="C12" s="156"/>
      <c r="D12" s="157"/>
      <c r="E12" s="157"/>
      <c r="F12" s="157"/>
      <c r="G12" s="157"/>
      <c r="H12" s="157"/>
      <c r="I12" s="157"/>
      <c r="J12" s="157"/>
      <c r="K12" s="157"/>
      <c r="L12" s="157"/>
      <c r="M12" s="156"/>
    </row>
    <row r="13" spans="2:13" s="100" customFormat="1" ht="20" customHeight="1">
      <c r="B13" s="154" t="s">
        <v>319</v>
      </c>
      <c r="C13" s="156"/>
      <c r="D13" s="157"/>
      <c r="E13" s="157"/>
      <c r="F13" s="157"/>
      <c r="G13" s="157"/>
      <c r="H13" s="157"/>
      <c r="I13" s="157"/>
      <c r="J13" s="157"/>
      <c r="K13" s="157"/>
      <c r="L13" s="157"/>
      <c r="M13" s="156"/>
    </row>
    <row r="14" spans="2:13" s="100" customFormat="1" ht="8" customHeight="1"/>
    <row r="15" spans="2:13" s="100" customFormat="1" ht="20" customHeight="1">
      <c r="B15" s="154" t="s">
        <v>344</v>
      </c>
      <c r="C15" s="287" t="s">
        <v>337</v>
      </c>
      <c r="D15" s="287"/>
      <c r="E15" s="287" t="s">
        <v>169</v>
      </c>
      <c r="F15" s="287"/>
      <c r="G15" s="287" t="s">
        <v>338</v>
      </c>
      <c r="H15" s="287"/>
    </row>
    <row r="16" spans="2:13" s="100" customFormat="1" ht="8" customHeight="1"/>
    <row r="17" spans="2:14" s="100" customFormat="1" ht="20" customHeight="1">
      <c r="B17" s="154" t="s">
        <v>329</v>
      </c>
      <c r="C17" s="291"/>
      <c r="D17" s="291"/>
      <c r="E17" s="291"/>
      <c r="F17" s="291"/>
      <c r="G17" s="291"/>
      <c r="H17" s="291"/>
      <c r="I17" s="291"/>
      <c r="J17" s="291"/>
      <c r="K17" s="291"/>
      <c r="L17" s="291"/>
      <c r="M17" s="291"/>
      <c r="N17" s="291"/>
    </row>
    <row r="18" spans="2:14" s="100" customFormat="1" ht="8" customHeight="1"/>
    <row r="19" spans="2:14" s="100" customFormat="1" ht="26" customHeight="1">
      <c r="C19" s="292" t="s">
        <v>342</v>
      </c>
      <c r="D19" s="292"/>
      <c r="F19" s="289" t="s">
        <v>352</v>
      </c>
      <c r="G19" s="289"/>
      <c r="H19" s="289"/>
      <c r="I19" s="289"/>
    </row>
    <row r="20" spans="2:14" s="100" customFormat="1" ht="26" customHeight="1"/>
    <row r="21" spans="2:14" s="100" customFormat="1" ht="8" customHeight="1"/>
    <row r="22" spans="2:14" s="100" customFormat="1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s="100" customFormat="1" ht="21">
      <c r="B2" s="99" t="s">
        <v>454</v>
      </c>
    </row>
    <row r="4" spans="2:21" s="100" customFormat="1" ht="14" customHeight="1">
      <c r="B4" s="101" t="s">
        <v>321</v>
      </c>
      <c r="C4" s="288"/>
      <c r="D4" s="288"/>
      <c r="E4" s="289" t="s">
        <v>11</v>
      </c>
      <c r="F4" s="289"/>
      <c r="K4" s="295" t="s">
        <v>494</v>
      </c>
      <c r="L4" s="295"/>
      <c r="M4" s="295"/>
      <c r="N4" s="295"/>
      <c r="O4" s="295"/>
      <c r="P4" s="295"/>
      <c r="Q4" s="295"/>
      <c r="R4" s="295"/>
      <c r="S4" s="295"/>
      <c r="T4" s="295"/>
      <c r="U4" s="295"/>
    </row>
    <row r="5" spans="2:21" s="100" customFormat="1" ht="15" customHeight="1">
      <c r="B5" s="101" t="s">
        <v>7</v>
      </c>
      <c r="C5" s="288"/>
      <c r="D5" s="288"/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5"/>
    </row>
    <row r="6" spans="2:21" s="100" customFormat="1">
      <c r="B6" s="101" t="s">
        <v>351</v>
      </c>
      <c r="C6" s="288"/>
      <c r="D6" s="288"/>
    </row>
    <row r="7" spans="2:21" s="100" customFormat="1" ht="25" customHeight="1">
      <c r="K7" s="303">
        <v>1</v>
      </c>
      <c r="L7" s="304"/>
      <c r="M7" s="304"/>
      <c r="O7" s="303">
        <v>2</v>
      </c>
      <c r="P7" s="304"/>
      <c r="Q7" s="304"/>
      <c r="S7" s="303">
        <v>3</v>
      </c>
      <c r="T7" s="304"/>
      <c r="U7" s="304"/>
    </row>
    <row r="8" spans="2:21" s="100" customFormat="1" ht="10" customHeight="1"/>
    <row r="9" spans="2:21" s="100" customFormat="1" ht="25" customHeight="1">
      <c r="B9" s="305" t="s">
        <v>455</v>
      </c>
      <c r="C9" s="305"/>
      <c r="E9" s="305" t="s">
        <v>463</v>
      </c>
      <c r="F9" s="305"/>
      <c r="H9" s="305" t="s">
        <v>474</v>
      </c>
      <c r="I9" s="305"/>
      <c r="M9" s="303">
        <v>4</v>
      </c>
      <c r="N9" s="304"/>
      <c r="O9" s="304"/>
      <c r="Q9" s="303">
        <v>5</v>
      </c>
      <c r="R9" s="304"/>
      <c r="S9" s="304"/>
    </row>
    <row r="10" spans="2:21" s="100" customFormat="1" ht="10" customHeight="1"/>
    <row r="11" spans="2:21" s="100" customFormat="1" ht="25" customHeight="1">
      <c r="B11" s="305" t="s">
        <v>456</v>
      </c>
      <c r="C11" s="305"/>
      <c r="E11" s="305" t="s">
        <v>464</v>
      </c>
      <c r="F11" s="305"/>
      <c r="H11" s="305" t="s">
        <v>475</v>
      </c>
      <c r="I11" s="305"/>
      <c r="K11" s="303">
        <v>6</v>
      </c>
      <c r="L11" s="304"/>
      <c r="M11" s="304"/>
      <c r="O11" s="303">
        <v>8</v>
      </c>
      <c r="P11" s="304"/>
      <c r="Q11" s="304"/>
      <c r="S11" s="303">
        <v>7</v>
      </c>
      <c r="T11" s="304"/>
      <c r="U11" s="304"/>
    </row>
    <row r="12" spans="2:21" s="100" customFormat="1" ht="10" customHeight="1"/>
    <row r="13" spans="2:21" s="100" customFormat="1" ht="25" customHeight="1">
      <c r="B13" s="305" t="s">
        <v>457</v>
      </c>
      <c r="C13" s="305"/>
      <c r="E13" s="305" t="s">
        <v>465</v>
      </c>
      <c r="F13" s="305"/>
      <c r="H13" s="305" t="s">
        <v>476</v>
      </c>
      <c r="I13" s="305"/>
      <c r="M13" s="303">
        <v>9</v>
      </c>
      <c r="N13" s="304"/>
      <c r="O13" s="304"/>
    </row>
    <row r="14" spans="2:21" s="100" customFormat="1" ht="10" customHeight="1"/>
    <row r="15" spans="2:21" s="100" customFormat="1" ht="25" customHeight="1">
      <c r="B15" s="305" t="s">
        <v>458</v>
      </c>
      <c r="C15" s="305"/>
      <c r="E15" s="305" t="s">
        <v>466</v>
      </c>
      <c r="F15" s="305"/>
      <c r="H15" s="305" t="s">
        <v>477</v>
      </c>
      <c r="I15" s="305"/>
      <c r="P15" s="303">
        <v>10</v>
      </c>
      <c r="Q15" s="304"/>
      <c r="R15" s="304"/>
    </row>
    <row r="16" spans="2:21" s="100" customFormat="1" ht="10" customHeight="1"/>
    <row r="17" spans="2:21" s="100" customFormat="1" ht="25" customHeight="1">
      <c r="B17" s="305" t="s">
        <v>459</v>
      </c>
      <c r="C17" s="305"/>
      <c r="E17" s="305" t="s">
        <v>467</v>
      </c>
      <c r="F17" s="305"/>
      <c r="H17" s="305" t="s">
        <v>478</v>
      </c>
      <c r="I17" s="305"/>
      <c r="M17" s="303">
        <v>12</v>
      </c>
      <c r="N17" s="304"/>
      <c r="O17" s="304"/>
      <c r="Q17" s="303">
        <v>13</v>
      </c>
      <c r="R17" s="304"/>
      <c r="S17" s="304"/>
    </row>
    <row r="18" spans="2:21" s="100" customFormat="1" ht="10" customHeight="1"/>
    <row r="19" spans="2:21" s="100" customFormat="1" ht="25" customHeight="1">
      <c r="E19" s="305" t="s">
        <v>468</v>
      </c>
      <c r="F19" s="305"/>
      <c r="H19" s="305" t="s">
        <v>479</v>
      </c>
      <c r="I19" s="305"/>
      <c r="K19" s="303">
        <v>11</v>
      </c>
      <c r="L19" s="304"/>
      <c r="M19" s="304"/>
      <c r="O19" s="303">
        <v>15</v>
      </c>
      <c r="P19" s="304"/>
      <c r="Q19" s="304"/>
      <c r="S19" s="303">
        <v>14</v>
      </c>
      <c r="T19" s="304"/>
      <c r="U19" s="304"/>
    </row>
    <row r="20" spans="2:21" s="100" customFormat="1" ht="10" customHeight="1"/>
    <row r="21" spans="2:21" s="100" customFormat="1" ht="25" customHeight="1">
      <c r="B21" s="305" t="s">
        <v>460</v>
      </c>
      <c r="C21" s="305"/>
      <c r="E21" s="305" t="s">
        <v>469</v>
      </c>
      <c r="F21" s="305"/>
      <c r="H21" s="305" t="s">
        <v>480</v>
      </c>
      <c r="I21" s="305"/>
      <c r="K21" s="303" t="s">
        <v>42</v>
      </c>
      <c r="L21" s="304"/>
      <c r="M21" s="304"/>
      <c r="S21" s="303" t="s">
        <v>32</v>
      </c>
      <c r="T21" s="304"/>
      <c r="U21" s="304"/>
    </row>
    <row r="22" spans="2:21" s="100" customFormat="1" ht="10" customHeight="1"/>
    <row r="23" spans="2:21" s="100" customFormat="1" ht="25" customHeight="1">
      <c r="B23" s="305" t="s">
        <v>461</v>
      </c>
      <c r="C23" s="305"/>
      <c r="E23" s="305" t="s">
        <v>470</v>
      </c>
      <c r="F23" s="305"/>
      <c r="H23" s="305" t="s">
        <v>388</v>
      </c>
      <c r="I23" s="305"/>
      <c r="K23" s="303" t="s">
        <v>152</v>
      </c>
      <c r="L23" s="304"/>
      <c r="M23" s="304"/>
      <c r="S23" s="303" t="s">
        <v>168</v>
      </c>
      <c r="T23" s="304"/>
      <c r="U23" s="304"/>
    </row>
    <row r="24" spans="2:21" s="100" customFormat="1" ht="10" customHeight="1"/>
    <row r="25" spans="2:21" s="100" customFormat="1" ht="25" customHeight="1">
      <c r="B25" s="305" t="s">
        <v>462</v>
      </c>
      <c r="C25" s="305"/>
      <c r="E25" s="305" t="s">
        <v>471</v>
      </c>
      <c r="F25" s="305"/>
      <c r="H25" s="305" t="s">
        <v>155</v>
      </c>
      <c r="I25" s="305"/>
    </row>
    <row r="26" spans="2:21" s="100" customFormat="1" ht="10" customHeight="1"/>
    <row r="27" spans="2:21" s="100" customFormat="1" ht="25" customHeight="1">
      <c r="B27" s="305" t="s">
        <v>166</v>
      </c>
      <c r="C27" s="305"/>
      <c r="E27" s="305" t="s">
        <v>472</v>
      </c>
      <c r="F27" s="305"/>
      <c r="H27" s="305" t="s">
        <v>481</v>
      </c>
      <c r="I27" s="305"/>
    </row>
    <row r="28" spans="2:21" s="100" customFormat="1" ht="10" customHeight="1"/>
    <row r="29" spans="2:21" s="100" customFormat="1" ht="25" customHeight="1">
      <c r="B29" s="305" t="s">
        <v>32</v>
      </c>
      <c r="C29" s="305"/>
      <c r="E29" s="305" t="s">
        <v>473</v>
      </c>
      <c r="F29" s="305"/>
      <c r="H29" s="305" t="s">
        <v>411</v>
      </c>
      <c r="I29" s="305"/>
    </row>
    <row r="30" spans="2:21" s="100" customFormat="1" ht="10" customHeight="1"/>
    <row r="31" spans="2:21" s="100" customFormat="1" ht="9" customHeight="1"/>
    <row r="32" spans="2:21" s="100" customFormat="1" ht="26" customHeight="1">
      <c r="B32" s="292" t="s">
        <v>342</v>
      </c>
      <c r="C32" s="292"/>
      <c r="D32" s="120"/>
      <c r="E32" s="289" t="s">
        <v>352</v>
      </c>
      <c r="F32" s="289"/>
      <c r="G32" s="289"/>
      <c r="H32" s="289"/>
      <c r="I32" s="120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E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5" s="100" customFormat="1"/>
    <row r="2" spans="2:5" s="100" customFormat="1" ht="21">
      <c r="B2" s="99" t="s">
        <v>372</v>
      </c>
    </row>
    <row r="3" spans="2:5" s="100" customFormat="1"/>
    <row r="4" spans="2:5" s="100" customFormat="1">
      <c r="B4" s="101" t="s">
        <v>321</v>
      </c>
      <c r="D4" s="177"/>
      <c r="E4" s="103" t="s">
        <v>11</v>
      </c>
    </row>
    <row r="5" spans="2:5" s="100" customFormat="1">
      <c r="B5" s="117" t="s">
        <v>375</v>
      </c>
      <c r="D5" s="121"/>
    </row>
    <row r="6" spans="2:5" s="100" customFormat="1"/>
    <row r="7" spans="2:5" s="100" customFormat="1">
      <c r="B7" s="117" t="s">
        <v>373</v>
      </c>
      <c r="D7" s="117" t="s">
        <v>374</v>
      </c>
    </row>
    <row r="8" spans="2:5" s="100" customFormat="1">
      <c r="B8" s="122"/>
      <c r="D8" s="122"/>
    </row>
    <row r="9" spans="2:5" s="100" customFormat="1">
      <c r="B9" s="122"/>
      <c r="D9" s="122"/>
    </row>
    <row r="10" spans="2:5" s="100" customFormat="1">
      <c r="B10" s="122"/>
      <c r="D10" s="122"/>
    </row>
    <row r="11" spans="2:5" s="100" customFormat="1">
      <c r="B11" s="122"/>
      <c r="D11" s="122"/>
    </row>
    <row r="12" spans="2:5" s="100" customFormat="1">
      <c r="B12" s="122"/>
      <c r="D12" s="122"/>
    </row>
    <row r="13" spans="2:5" s="100" customFormat="1"/>
    <row r="14" spans="2:5" s="100" customFormat="1" ht="26" customHeight="1">
      <c r="B14" s="102" t="s">
        <v>342</v>
      </c>
      <c r="C14" s="120"/>
      <c r="D14" s="103" t="s">
        <v>341</v>
      </c>
    </row>
    <row r="15" spans="2:5" s="100" customFormat="1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s="100" customFormat="1" ht="21">
      <c r="B2" s="99" t="s">
        <v>406</v>
      </c>
    </row>
    <row r="4" spans="2:8" s="100" customFormat="1">
      <c r="B4" s="101" t="s">
        <v>407</v>
      </c>
      <c r="C4" s="288"/>
      <c r="D4" s="288"/>
      <c r="G4" s="289" t="s">
        <v>11</v>
      </c>
      <c r="H4" s="289"/>
    </row>
    <row r="5" spans="2:8" s="100" customFormat="1">
      <c r="B5" s="101" t="s">
        <v>7</v>
      </c>
      <c r="C5" s="288"/>
      <c r="D5" s="288"/>
    </row>
    <row r="7" spans="2:8" s="100" customFormat="1" ht="22" customHeight="1">
      <c r="B7" s="295" t="s">
        <v>408</v>
      </c>
      <c r="C7" s="295"/>
      <c r="D7" s="295"/>
      <c r="E7" s="295"/>
      <c r="F7" s="295"/>
      <c r="G7" s="295"/>
      <c r="H7" s="295"/>
    </row>
    <row r="9" spans="2:8" s="100" customFormat="1" ht="22" customHeight="1">
      <c r="B9" s="296"/>
      <c r="C9" s="296"/>
      <c r="D9" s="296"/>
      <c r="E9" s="296"/>
      <c r="F9" s="296"/>
      <c r="G9" s="296"/>
      <c r="H9" s="296"/>
    </row>
    <row r="10" spans="2:8" s="100" customFormat="1" ht="8" customHeight="1"/>
    <row r="11" spans="2:8" s="100" customFormat="1" ht="22" customHeight="1">
      <c r="B11" s="296"/>
      <c r="C11" s="296"/>
      <c r="D11" s="296"/>
      <c r="E11" s="296"/>
      <c r="F11" s="296"/>
      <c r="G11" s="296"/>
      <c r="H11" s="296"/>
    </row>
    <row r="12" spans="2:8" s="100" customFormat="1" ht="8" customHeight="1"/>
    <row r="13" spans="2:8" s="100" customFormat="1" ht="22" customHeight="1">
      <c r="B13" s="296"/>
      <c r="C13" s="296"/>
      <c r="D13" s="296"/>
      <c r="E13" s="296"/>
      <c r="F13" s="296"/>
      <c r="G13" s="296"/>
      <c r="H13" s="296"/>
    </row>
    <row r="14" spans="2:8" s="100" customFormat="1" ht="8" customHeight="1"/>
    <row r="15" spans="2:8" s="100" customFormat="1" ht="22" customHeight="1">
      <c r="B15" s="296"/>
      <c r="C15" s="296"/>
      <c r="D15" s="296"/>
      <c r="E15" s="296"/>
      <c r="F15" s="296"/>
      <c r="G15" s="296"/>
      <c r="H15" s="296"/>
    </row>
    <row r="16" spans="2:8" s="100" customFormat="1" ht="8" customHeight="1"/>
    <row r="17" spans="2:8" s="100" customFormat="1" ht="22" customHeight="1">
      <c r="B17" s="296"/>
      <c r="C17" s="296"/>
      <c r="D17" s="296"/>
      <c r="E17" s="296"/>
      <c r="F17" s="296"/>
      <c r="G17" s="296"/>
      <c r="H17" s="296"/>
    </row>
    <row r="18" spans="2:8" s="100" customFormat="1" ht="8" customHeight="1"/>
    <row r="19" spans="2:8" s="100" customFormat="1" ht="22" customHeight="1">
      <c r="B19" s="296"/>
      <c r="C19" s="296"/>
      <c r="D19" s="296"/>
      <c r="E19" s="296"/>
      <c r="F19" s="296"/>
      <c r="G19" s="296"/>
      <c r="H19" s="296"/>
    </row>
    <row r="20" spans="2:8" s="100" customFormat="1" ht="8" customHeight="1"/>
    <row r="21" spans="2:8" s="100" customFormat="1" ht="22" customHeight="1">
      <c r="B21" s="296"/>
      <c r="C21" s="296"/>
      <c r="D21" s="296"/>
      <c r="E21" s="296"/>
      <c r="F21" s="296"/>
      <c r="G21" s="296"/>
      <c r="H21" s="296"/>
    </row>
    <row r="22" spans="2:8" s="100" customFormat="1" ht="8" customHeight="1"/>
    <row r="23" spans="2:8" s="100" customFormat="1" ht="22" customHeight="1">
      <c r="B23" s="296"/>
      <c r="C23" s="296"/>
      <c r="D23" s="296"/>
      <c r="E23" s="296"/>
      <c r="F23" s="296"/>
      <c r="G23" s="296"/>
      <c r="H23" s="296"/>
    </row>
    <row r="24" spans="2:8" s="100" customFormat="1" ht="8" customHeight="1"/>
    <row r="25" spans="2:8" s="100" customFormat="1" ht="22" customHeight="1">
      <c r="B25" s="296"/>
      <c r="C25" s="296"/>
      <c r="D25" s="296"/>
      <c r="E25" s="296"/>
      <c r="F25" s="296"/>
      <c r="G25" s="296"/>
      <c r="H25" s="296"/>
    </row>
    <row r="26" spans="2:8" s="100" customFormat="1" ht="8" customHeight="1"/>
    <row r="27" spans="2:8" s="100" customFormat="1" ht="22" customHeight="1">
      <c r="B27" s="296"/>
      <c r="C27" s="296"/>
      <c r="D27" s="296"/>
      <c r="E27" s="296"/>
      <c r="F27" s="296"/>
      <c r="G27" s="296"/>
      <c r="H27" s="296"/>
    </row>
    <row r="28" spans="2:8" s="100" customFormat="1" ht="8" customHeight="1"/>
    <row r="29" spans="2:8" s="100" customFormat="1" ht="26" customHeight="1">
      <c r="B29" s="292" t="s">
        <v>342</v>
      </c>
      <c r="C29" s="292"/>
      <c r="D29" s="120"/>
      <c r="E29" s="289" t="s">
        <v>352</v>
      </c>
      <c r="F29" s="289"/>
      <c r="G29" s="289"/>
      <c r="H29" s="289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5" customWidth="1"/>
    <col min="2" max="9" width="11.83203125" style="135" customWidth="1"/>
    <col min="10" max="16384" width="10.83203125" style="135"/>
  </cols>
  <sheetData>
    <row r="2" spans="2:9" ht="18">
      <c r="B2" s="171" t="s">
        <v>489</v>
      </c>
    </row>
    <row r="4" spans="2:9">
      <c r="B4" s="297" t="s">
        <v>492</v>
      </c>
      <c r="C4" s="297"/>
      <c r="D4" s="297"/>
      <c r="E4" s="297"/>
      <c r="F4" s="297"/>
      <c r="G4" s="297"/>
      <c r="H4" s="297"/>
      <c r="I4" s="297"/>
    </row>
    <row r="5" spans="2:9">
      <c r="B5" s="297"/>
      <c r="C5" s="297"/>
      <c r="D5" s="297"/>
      <c r="E5" s="297"/>
      <c r="F5" s="297"/>
      <c r="G5" s="297"/>
      <c r="H5" s="297"/>
      <c r="I5" s="297"/>
    </row>
    <row r="7" spans="2:9" ht="22" customHeight="1">
      <c r="B7" s="298" t="s">
        <v>490</v>
      </c>
      <c r="C7" s="298"/>
      <c r="D7" s="298"/>
      <c r="F7" s="299" t="s">
        <v>491</v>
      </c>
      <c r="G7" s="299"/>
      <c r="H7" s="299"/>
      <c r="I7" s="299"/>
    </row>
    <row r="8" spans="2:9" ht="22" customHeight="1">
      <c r="B8" s="298"/>
      <c r="C8" s="298"/>
      <c r="D8" s="298"/>
      <c r="F8" s="299"/>
      <c r="G8" s="299"/>
      <c r="H8" s="299"/>
      <c r="I8" s="299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274</vt:i4>
      </vt:variant>
    </vt:vector>
  </HeadingPairs>
  <TitlesOfParts>
    <vt:vector size="288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2026-10-21T13:56:16Z</dcterms:modified>
</cp:coreProperties>
</file>