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2.xml" ContentType="application/vnd.openxmlformats-officedocument.drawing+xml"/>
  <Override PartName="/xl/tables/table3.xml" ContentType="application/vnd.openxmlformats-officedocument.spreadsheetml.table+xml"/>
  <Override PartName="/xl/drawings/drawing3.xml" ContentType="application/vnd.openxmlformats-officedocument.drawing+xml"/>
  <Override PartName="/xl/tables/table4.xml" ContentType="application/vnd.openxmlformats-officedocument.spreadsheetml.table+xml"/>
  <Override PartName="/xl/drawings/drawing4.xml" ContentType="application/vnd.openxmlformats-officedocument.drawing+xml"/>
  <Override PartName="/xl/charts/chart1.xml" ContentType="application/vnd.openxmlformats-officedocument.drawingml.chart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802" codeName="{F3310B89-0DAA-6C43-5919-0D5897632BE8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/Users/bastiendallago/Library/Mobile Documents/com~apple~CloudDocs/Documents/DD/1- PERSO/12- AUTRES/1- RUGBY/2026-2027 MXV/STAT_VEO/"/>
    </mc:Choice>
  </mc:AlternateContent>
  <xr:revisionPtr revIDLastSave="0" documentId="13_ncr:1_{36FC4F75-0160-0E4A-820F-41A7C693F25F}" xr6:coauthVersionLast="47" xr6:coauthVersionMax="47" xr10:uidLastSave="{00000000-0000-0000-0000-000000000000}"/>
  <bookViews>
    <workbookView xWindow="10740" yWindow="660" windowWidth="23820" windowHeight="17660" activeTab="1" xr2:uid="{1E5C896C-F332-E148-BC32-5F8B49356FF5}"/>
    <workbookView xWindow="10920" yWindow="14500" windowWidth="23640" windowHeight="7840" activeTab="3" xr2:uid="{F1B9606C-296E-034A-B033-0A5934677F42}"/>
  </bookViews>
  <sheets>
    <sheet name="Listes" sheetId="3" r:id="rId1"/>
    <sheet name="Compo" sheetId="7" r:id="rId2"/>
    <sheet name="Saisie vidéo" sheetId="2" r:id="rId3"/>
    <sheet name="Journal actions" sheetId="10" r:id="rId4"/>
    <sheet name="Stats match" sheetId="12" r:id="rId5"/>
    <sheet name="Touches Melees" sheetId="18" r:id="rId6"/>
    <sheet name="Paramètres" sheetId="6" state="hidden" r:id="rId7"/>
    <sheet name="Popup" sheetId="8" state="hidden" r:id="rId8"/>
    <sheet name="Popup touche" sheetId="19" state="hidden" r:id="rId9"/>
    <sheet name="Popup melee" sheetId="20" state="hidden" r:id="rId10"/>
    <sheet name="Popup penalite" sheetId="21" state="hidden" r:id="rId11"/>
    <sheet name="Popup remplacement" sheetId="26" state="hidden" r:id="rId12"/>
    <sheet name="Popup retour carton" sheetId="27" state="hidden" r:id="rId13"/>
  </sheets>
  <functionGroups builtInGroupCount="19"/>
  <definedNames>
    <definedName name="_xleta.T" hidden="1" xlm="1">#NAME?</definedName>
    <definedName name="ACT_ARRACHAGE">Paramètres!$R$37</definedName>
    <definedName name="ACT_ARRACHAGE_ADV">Paramètres!$R$70</definedName>
    <definedName name="ACT_ARRACHAGE_NS">Paramètres!$R$69</definedName>
    <definedName name="ACT_ARRET_DU_JEU">Paramètres!$R$24</definedName>
    <definedName name="ACT_ATT_NULLE">Paramètres!$R$53</definedName>
    <definedName name="ACT_AVANCEE">Paramètres!$R$54</definedName>
    <definedName name="ACT_CARTON_BLANC_ADV">Paramètres!$R$48</definedName>
    <definedName name="ACT_CARTON_BLANC_NS">Paramètres!$R$47</definedName>
    <definedName name="ACT_CARTON_BLEU_ADV">Paramètres!$R$50</definedName>
    <definedName name="ACT_CARTON_BLEU_NS">Paramètres!$R$49</definedName>
    <definedName name="ACT_CARTON_JAUNE_ADV">Paramètres!$R$46</definedName>
    <definedName name="ACT_CARTON_JAUNE_NS">Paramètres!$R$45</definedName>
    <definedName name="ACT_CARTON_ROUGE_ADV">Paramètres!$R$44</definedName>
    <definedName name="ACT_CARTON_ROUGE_NS">Paramètres!$R$43</definedName>
    <definedName name="ACT_CF_CONTRE_ADV">Paramètres!$R$55</definedName>
    <definedName name="ACT_CF_CONTRE_NOUS">Paramètres!$R$56</definedName>
    <definedName name="ACT_CONTRE_RUCK">Paramètres!$R$30</definedName>
    <definedName name="ACT_CONTRE_RUCK_ADV">Paramètres!$R$68</definedName>
    <definedName name="ACT_CONTRE_RUCK_NS">Paramètres!$R$67</definedName>
    <definedName name="ACT_EN_AVANT">Paramètres!$R$25</definedName>
    <definedName name="ACT_FRANCHISSEMENT">Paramètres!$R$42</definedName>
    <definedName name="ACT_GRATTAGE" localSheetId="4">Paramètres!$R$29</definedName>
    <definedName name="ACT_GRATTAGE">Paramètres!$R$29</definedName>
    <definedName name="ACT_GRATTAGE_ADV">Paramètres!$R$66</definedName>
    <definedName name="ACT_GRATTAGE_NS">Paramètres!$R$65</definedName>
    <definedName name="ACT_JEU_AU_PIED">Paramètres!$R$26</definedName>
    <definedName name="ACT_ME_ADV_G">Paramètres!$R$40</definedName>
    <definedName name="ACT_ME_ADV_P">Paramètres!$R$41</definedName>
    <definedName name="ACT_ME_NS_G">Paramètres!$R$38</definedName>
    <definedName name="ACT_ME_NS_P">Paramètres!$R$39</definedName>
    <definedName name="ACT_PEN_CONTRE_ADV">Paramètres!$R$13</definedName>
    <definedName name="ACT_PEN_CONTRE_NOUS">Paramètres!$R$14</definedName>
    <definedName name="ACT_PEN_HORS_JEU">Paramètres!$R$33</definedName>
    <definedName name="ACT_PEN_MAUL">Paramètres!$R$31</definedName>
    <definedName name="ACT_PEN_PL_A_2">Paramètres!$R$34</definedName>
    <definedName name="ACT_PEN_PL_HAUT">Paramètres!$R$35</definedName>
    <definedName name="ACT_PEN_RUCK">Paramètres!$R$32</definedName>
    <definedName name="ACT_PEN_UNKNOWN">Paramètres!$R$36</definedName>
    <definedName name="ACT_PL_A2">Paramètres!$R$5</definedName>
    <definedName name="ACT_PL_HAUT">Paramètres!$R$6</definedName>
    <definedName name="ACT_PL_NORMAL">Paramètres!$R$3</definedName>
    <definedName name="ACT_PL_OFF">Paramètres!$R$2</definedName>
    <definedName name="ACT_PL_RATE">Paramètres!$R$4</definedName>
    <definedName name="ACT_PTS_DROP">Paramètres!$R$19</definedName>
    <definedName name="ACT_PTS_ESSAI">Paramètres!$R$15</definedName>
    <definedName name="ACT_PTS_ESSAI_PEN">Paramètres!$R$16</definedName>
    <definedName name="ACT_PTS_PENALITE">Paramètres!$R$18</definedName>
    <definedName name="ACT_PTS_TRANSFO">Paramètres!$R$17</definedName>
    <definedName name="ACT_RECEPTION_ADV">Paramètres!$R$28</definedName>
    <definedName name="ACT_RECEPTION_NOUS">Paramètres!$R$27</definedName>
    <definedName name="ACT_REPRISE_A_LA_MAIN">Paramètres!$R$23</definedName>
    <definedName name="ACT_REPRISE_MELEE">Paramètres!$R$21</definedName>
    <definedName name="ACT_REPRISE_RENVOI">Paramètres!$R$22</definedName>
    <definedName name="ACT_REPRISE_TOUCHE">Paramètres!$R$20</definedName>
    <definedName name="ACT_RETOUR_CARTON_BLANC_ADV">Paramètres!$R$62</definedName>
    <definedName name="ACT_RETOUR_CARTON_BLANC_NS">Paramètres!$R$61</definedName>
    <definedName name="ACT_RETOUR_CARTON_BLEU_ADV">Paramètres!$R$64</definedName>
    <definedName name="ACT_RETOUR_CARTON_BLEU_NS">Paramètres!$R$63</definedName>
    <definedName name="ACT_RETOUR_CARTON_JAUNE_ADV">Paramètres!$R$60</definedName>
    <definedName name="ACT_RETOUR_CARTON_JAUNE_NS">Paramètres!$R$59</definedName>
    <definedName name="ACT_RETOUR_CARTON_ROUGE_ADV">Paramètres!$R$58</definedName>
    <definedName name="ACT_RETOUR_CARTON_ROUGE_NS">Paramètres!$R$57</definedName>
    <definedName name="ACT_TO_ADV_PAS_DROIT">Paramètres!$R$12</definedName>
    <definedName name="ACT_TO_ADV_PERDUE">Paramètres!$R$11</definedName>
    <definedName name="ACT_TO_ADV_VOLEE">Paramètres!$R$10</definedName>
    <definedName name="ACT_TO_NS_G">Paramètres!$R$7</definedName>
    <definedName name="ACT_TO_NS_P">Paramètres!$R$8</definedName>
    <definedName name="ACT_TO_NS_PAS_DROIT">Paramètres!$R$9</definedName>
    <definedName name="ACT_TURNOVER_ADV">Paramètres!$R$52</definedName>
    <definedName name="ACT_TURNOVER_NS">Paramètres!$R$51</definedName>
    <definedName name="AVANT_OU_ARRIERE">LstLignePoste[AVANT_OU_ARRIERE]</definedName>
    <definedName name="BTN_ADV">'Saisie vidéo'!$T$4</definedName>
    <definedName name="BTN_ARRACHAGE">'Saisie vidéo'!$BP$18</definedName>
    <definedName name="BTN_ARRET_DU_JEU">'Saisie vidéo'!$BL$8</definedName>
    <definedName name="BTN_ATT_NULLE">'Saisie vidéo'!$BR$16</definedName>
    <definedName name="BTN_AVANCEE">'Saisie vidéo'!$BP$16</definedName>
    <definedName name="BTN_CARTON_BLANC">'Saisie vidéo'!$AA$8</definedName>
    <definedName name="BTN_CARTON_BLEU">'Saisie vidéo'!$AI$8</definedName>
    <definedName name="BTN_CARTON_JAUNE">'Saisie vidéo'!$S$8</definedName>
    <definedName name="BTN_CARTON_ROUGE">'Saisie vidéo'!$K$8</definedName>
    <definedName name="BTN_CF_CONTRE_ADV">'Saisie vidéo'!$BL$20</definedName>
    <definedName name="BTN_CF_CONTRE_NOUS">'Saisie vidéo'!$BN$20</definedName>
    <definedName name="BTN_CHRONO_MINUS_5_SEC">'Saisie vidéo'!$R$28</definedName>
    <definedName name="BTN_CHRONO_PLAY_PAUSE">'Saisie vidéo'!$Z$28</definedName>
    <definedName name="BTN_CHRONO_PLUS_5_SEC">'Saisie vidéo'!$AH$28</definedName>
    <definedName name="BTN_CHRONO_RESET">'Saisie vidéo'!$AP$28</definedName>
    <definedName name="BTN_CONTRE_RUCK">'Saisie vidéo'!$BN$18</definedName>
    <definedName name="BTN_EN_AVANT">'Saisie vidéo'!$BD$18</definedName>
    <definedName name="BTN_FRANCHISSEMENT">'Saisie vidéo'!$BN$16</definedName>
    <definedName name="BTN_GRATTAGE">'Saisie vidéo'!$BL$18</definedName>
    <definedName name="BTN_JEU_AU_PIED">'Saisie vidéo'!$BF$18</definedName>
    <definedName name="BTN_JO_1">'Saisie vidéo'!$C$14</definedName>
    <definedName name="BTN_JO_10">'Saisie vidéo'!$AP$14</definedName>
    <definedName name="BTN_JO_11">'Saisie vidéo'!$AB$18</definedName>
    <definedName name="BTN_JO_12">'Saisie vidéo'!$AF$16</definedName>
    <definedName name="BTN_JO_13">'Saisie vidéo'!$AN$16</definedName>
    <definedName name="BTN_JO_14">'Saisie vidéo'!$AR$18</definedName>
    <definedName name="BTN_JO_15">'Saisie vidéo'!$AJ$18</definedName>
    <definedName name="BTN_JO_16">'Saisie vidéo'!$J$18</definedName>
    <definedName name="BTN_JO_17">'Saisie vidéo'!$L$18</definedName>
    <definedName name="BTN_JO_18">'Saisie vidéo'!$N$18</definedName>
    <definedName name="BTN_JO_19">'Saisie vidéo'!$D$20</definedName>
    <definedName name="BTN_JO_2">'Saisie vidéo'!$K$14</definedName>
    <definedName name="BTN_JO_20">'Saisie vidéo'!$F$20</definedName>
    <definedName name="BTN_JO_21">'Saisie vidéo'!$H$20</definedName>
    <definedName name="BTN_JO_22">'Saisie vidéo'!$J$20</definedName>
    <definedName name="BTN_JO_3">'Saisie vidéo'!$S$14</definedName>
    <definedName name="BTN_JO_4">'Saisie vidéo'!$G$16</definedName>
    <definedName name="BTN_JO_5">'Saisie vidéo'!$O$16</definedName>
    <definedName name="BTN_JO_6">'Saisie vidéo'!$C$18</definedName>
    <definedName name="BTN_JO_7">'Saisie vidéo'!$S$18</definedName>
    <definedName name="BTN_JO_8">'Saisie vidéo'!$K$18</definedName>
    <definedName name="BTN_JO_9">'Saisie vidéo'!$AD$14</definedName>
    <definedName name="BTN_JO_AVANT">'Saisie vidéo'!$S$20</definedName>
    <definedName name="BTN_JO_COLLECTIF">'Saisie vidéo'!$K$20</definedName>
    <definedName name="BTN_JO_NON_IDENTIFIE">'Saisie vidéo'!$AJ$20</definedName>
    <definedName name="BTN_JO_TROIS_QUARTS">'Saisie vidéo'!$AB$20</definedName>
    <definedName name="BTN_ME_G">'Saisie vidéo'!$BP$14</definedName>
    <definedName name="BTN_ME_P">'Saisie vidéo'!$BR$14</definedName>
    <definedName name="BTN_MT1">'Saisie vidéo'!$AJ$4</definedName>
    <definedName name="BTN_MT2">'Saisie vidéo'!$AR$4</definedName>
    <definedName name="BTN_NOUS">'Saisie vidéo'!$L$4</definedName>
    <definedName name="BTN_PARKING">'Saisie vidéo'!$A$1</definedName>
    <definedName name="BTN_PEN_CONTRE_ADV">'Saisie vidéo'!$BD$20</definedName>
    <definedName name="BTN_PEN_CONTRE_NOUS">'Saisie vidéo'!$BF$20</definedName>
    <definedName name="BTN_PL_A2">'Saisie vidéo'!$BJ$14</definedName>
    <definedName name="BTN_PL_HAUT">'Saisie vidéo'!$BL$14</definedName>
    <definedName name="BTN_PL_NORMAL">'Saisie vidéo'!$BF$14</definedName>
    <definedName name="BTN_PL_OFF">'Saisie vidéo'!$BD$14</definedName>
    <definedName name="BTN_PL_RATE">'Saisie vidéo'!$BH$14</definedName>
    <definedName name="BTN_PTS_DROP">'Saisie vidéo'!$BL$4</definedName>
    <definedName name="BTN_PTS_ESSAI">'Saisie vidéo'!$BD$4</definedName>
    <definedName name="BTN_PTS_ESSAI_PEN">'Saisie vidéo'!$BF$4</definedName>
    <definedName name="BTN_PTS_PENALITE">'Saisie vidéo'!$BJ$4</definedName>
    <definedName name="BTN_PTS_TRANSFO">'Saisie vidéo'!$BH$4</definedName>
    <definedName name="BTN_RECEPTION_ADV">'Saisie vidéo'!$BJ$18</definedName>
    <definedName name="BTN_RECEPTION_NOUS">'Saisie vidéo'!$BH$18</definedName>
    <definedName name="BTN_REMPLACEMENT">'Saisie vidéo'!$BO$7</definedName>
    <definedName name="BTN_REPRISE_A_LA_MAIN">'Saisie vidéo'!$BJ$8</definedName>
    <definedName name="BTN_REPRISE_MELEE">'Saisie vidéo'!$BF$8</definedName>
    <definedName name="BTN_REPRISE_RENVOI">'Saisie vidéo'!$BH$8</definedName>
    <definedName name="BTN_REPRISE_TOUCHE">'Saisie vidéo'!$BD$8</definedName>
    <definedName name="BTN_RETOUR_CARTON">'Saisie vidéo'!$AQ$8</definedName>
    <definedName name="BTN_TO_G">'Saisie vidéo'!$BD$16</definedName>
    <definedName name="BTN_TO_P">'Saisie vidéo'!$BF$16</definedName>
    <definedName name="BTN_TO_PAS_DROIT">'Saisie vidéo'!$BH$16</definedName>
    <definedName name="BTN_TURNOVER">'Saisie vidéo'!$BR$18</definedName>
    <definedName name="BTNS_JOUEURS">'Saisie vidéo'!$D$14,'Saisie vidéo'!$F$14,'Saisie vidéo'!$H$14,'Saisie vidéo'!$J$14,'Saisie vidéo'!$L$14,'Saisie vidéo'!$N$14,'Saisie vidéo'!$N$16,'Saisie vidéo'!$L$16,'Saisie vidéo'!$J$16,'Saisie vidéo'!$H$16,'Saisie vidéo'!$F$16</definedName>
    <definedName name="CELL_CHRONO_VIDEO">'Saisie vidéo'!$C$28</definedName>
    <definedName name="EQUIPE_NIV">LstEquipesClub[EQUIPE_NIV]</definedName>
    <definedName name="EQUIPES_POULE">LstEquipesPoule[EQUIPES_A_AFFRONTER]</definedName>
    <definedName name="LBL_ATTITUDES">'Saisie vidéo'!$BL$16</definedName>
    <definedName name="LBL_CARTONS">'Saisie vidéo'!$C$8</definedName>
    <definedName name="LBL_CHGT_POSS_1">'Saisie vidéo'!$BB$18</definedName>
    <definedName name="LBL_CHGT_POSS_2">'Saisie vidéo'!$C$26</definedName>
    <definedName name="LBL_COUP_FRANC">'Saisie vidéo'!$BJ$20</definedName>
    <definedName name="LBL_MELEES">'Saisie vidéo'!$BN$14</definedName>
    <definedName name="LBL_MI_TEMPS">'Saisie vidéo'!$AB$4</definedName>
    <definedName name="LBL_PENALITE">'Saisie vidéo'!$BB$20</definedName>
    <definedName name="LBL_PLAQUAGES">'Saisie vidéo'!$BB$14</definedName>
    <definedName name="LBL_POINTS">'Saisie vidéo'!$BB$4</definedName>
    <definedName name="LBL_POSITION_VIDEO">'Saisie vidéo'!$C$26</definedName>
    <definedName name="LBL_POSSESSION">'Saisie vidéo'!$C$4</definedName>
    <definedName name="LBL_REPRISE_JEU">'Saisie vidéo'!$BB$8</definedName>
    <definedName name="LBL_TOUCHES">'Saisie vidéo'!$BB$16</definedName>
    <definedName name="LIEU_MATCH">LstLieuxMatch[LIEU_MATCH]</definedName>
    <definedName name="LISTE_ACTIONS_JOURNAL">TblActionsJournal[Libellé]</definedName>
    <definedName name="LISTE_EQUIPES_JOURNAL">TblEquipesJournal[LISTE_EQUIPES_JOURNAL]</definedName>
    <definedName name="LISTE_GROUPES_FAUTIFS">LstLignePoste[AVANT_OU_ARRIERE]</definedName>
    <definedName name="LISTE_JOUEURS">LstEffectif[prenom NOM]</definedName>
    <definedName name="LISTE_JOUEURS_JOURNAL">LstJoueursJournal[LISTE_JOUEURS_JOURNAL]</definedName>
    <definedName name="LISTE_LECTEURS_VIDEO">TblLecteurVideo[LISTE_LECTEUR_VIDEO]</definedName>
    <definedName name="LISTE_MOTIFS_PENALITE">Paramètres!$R$31:$R$36</definedName>
    <definedName name="LISTE_MT_JOURNAL">Paramètres!$I$6:$I$7</definedName>
    <definedName name="LST_JOUEURS">LstEffectif[NOM Prénom]</definedName>
    <definedName name="LST_TM_ALIGNEMENT">'Touches Melees'!$AC$2:$AC$7</definedName>
    <definedName name="LST_TM_BALLON">'Touches Melees'!$AA$2:$AA$3</definedName>
    <definedName name="LST_TM_BALLON_LONG">'Touches Melees'!$AF$2:$AF$3</definedName>
    <definedName name="LST_TM_ISSUE_MELEE">'Touches Melees'!$Y$2:$Y$3</definedName>
    <definedName name="LST_TM_ISSUE_TOUCHE">'Touches Melees'!$X$2:$X$4</definedName>
    <definedName name="LST_TM_LANCE_POUR">'Touches Melees'!$W$2:$W$3</definedName>
    <definedName name="LST_TM_UTILISATION">'Touches Melees'!$AE$2:$AE$4</definedName>
    <definedName name="LST_TM_ZONE_LARGEUR">'Touches Melees'!$AD$2:$AD$4</definedName>
    <definedName name="LST_TM_ZONE_LONGUEUR">'Touches Melees'!$AB$2:$AB$9</definedName>
    <definedName name="LST_TM_ZONE_SAUT">'Touches Melees'!$Z$2:$Z$6</definedName>
    <definedName name="LSTResultat">Tableau14[[#All],[RESULTAT]]</definedName>
    <definedName name="MATCH_ADV">'Compo'!$C$12</definedName>
    <definedName name="MATCH_ADVERSAIRE">'Compo'!$C$12</definedName>
    <definedName name="MATCH_CAT">'Compo'!$C$22</definedName>
    <definedName name="MATCH_DATE">'Compo'!$C$8</definedName>
    <definedName name="MATCH_ID">'Compo'!$C$59</definedName>
    <definedName name="MATCH_JOURNEE">'Compo'!$C$18</definedName>
    <definedName name="MATCH_LIEU">'Compo'!$C$14</definedName>
    <definedName name="MATCH_NOUS">'Compo'!$C$10</definedName>
    <definedName name="MATCH_PHASE">'Compo'!$C$16</definedName>
    <definedName name="MATCH_RESULTAT">'Compo'!$C$20</definedName>
    <definedName name="MATCH_SAISON">'Compo'!$C$6</definedName>
    <definedName name="OUI_NON">Tableau15[OUI_NON]</definedName>
    <definedName name="PALETTE_JOUEURS">'Saisie vidéo'!$C$13:$AX$21</definedName>
    <definedName name="PEN_ANNULER">'Popup penalite'!$B$32</definedName>
    <definedName name="PEN_CONTEXTE">'Popup penalite'!$C$4:$C$6</definedName>
    <definedName name="PEN_JOUEURS">'Popup penalite'!$K$7:$U$31</definedName>
    <definedName name="PEN_MOTIFS">'Popup penalite'!$B$7:$I$31</definedName>
    <definedName name="PEN_PLAY_PAUSE">'Popup penalite'!$E$4</definedName>
    <definedName name="PEN_VALIDER">'Popup penalite'!$E$32</definedName>
    <definedName name="PHASE">LstPhases[PHASE]</definedName>
    <definedName name="POPUP_ADD_PLAYER">Popup!$C$7:$F$13</definedName>
    <definedName name="POPUP_ME_ANNULER">'Popup melee'!$C$19</definedName>
    <definedName name="POPUP_ME_CHAMPS">'Popup melee'!$AD$2:$AD$4,'Popup melee'!$C$17:$N$17</definedName>
    <definedName name="POPUP_ME_CONTEXTE">'Popup melee'!$C$4:$C$7</definedName>
    <definedName name="POPUP_ME_OBS">'Popup melee'!$C$17:$N$17</definedName>
    <definedName name="POPUP_ME_PLAY_PAUSE">'Popup melee'!$E$4</definedName>
    <definedName name="POPUP_ME_UTILISATION">'Popup melee'!$AD$4</definedName>
    <definedName name="POPUP_ME_VALIDER">'Popup melee'!$F$19</definedName>
    <definedName name="POPUP_ME_ZONE_LARGEUR">'Popup melee'!$AD$3</definedName>
    <definedName name="POPUP_ME_ZONE_LONGUEUR">'Popup melee'!$AD$2</definedName>
    <definedName name="POPUP_NOM">Popup!$D$9</definedName>
    <definedName name="POPUP_PRENOM">Popup!$D$11</definedName>
    <definedName name="POPUP_TO_ALIGNEMENT">'Popup touche'!$AD$5</definedName>
    <definedName name="POPUP_TO_ANNULER">'Popup touche'!$C$23</definedName>
    <definedName name="POPUP_TO_BALLON">'Popup touche'!$AD$3</definedName>
    <definedName name="POPUP_TO_CHAMPS">'Popup touche'!$C$9:$F$9,'Popup touche'!$AD$2:$AD$5,'Popup touche'!$C$21:$N$21</definedName>
    <definedName name="POPUP_TO_CONTEXTE">'Popup touche'!$C$4:$C$7</definedName>
    <definedName name="POPUP_TO_OBS">'Popup touche'!$C$21:$N$21</definedName>
    <definedName name="POPUP_TO_PLAY_PAUSE">'Popup touche'!$E$4</definedName>
    <definedName name="POPUP_TO_SAUTEUR">'Popup touche'!$C$9:$F$9</definedName>
    <definedName name="POPUP_TO_VALIDER">'Popup touche'!$F$23</definedName>
    <definedName name="POPUP_TO_ZONE_SAUT">'Popup touche'!$AD$2</definedName>
    <definedName name="POPUP_TO_ZONE_TERRAIN">'Popup touche'!$AD$4</definedName>
    <definedName name="REMP_ANNULER">'Popup remplacement'!$B$14</definedName>
    <definedName name="REMP_ENTRANTS">'Popup remplacement'!$D$8:$D$12</definedName>
    <definedName name="REMP_MINUTE">'Popup remplacement'!$D$5</definedName>
    <definedName name="REMP_PLAY_PAUSE">'Popup remplacement'!$E$4</definedName>
    <definedName name="REMP_SORTANTS">'Popup remplacement'!$B$8:$B$12</definedName>
    <definedName name="REMP_TEMPS">'Popup remplacement'!$D$4</definedName>
    <definedName name="REMP_VALIDER">'Popup remplacement'!$D$14</definedName>
    <definedName name="RESULTAT">Tableau14[RESULTAT]</definedName>
    <definedName name="RET_ANNULER">'Popup retour carton'!$B$29</definedName>
    <definedName name="RET_CONTEXTE">'Popup retour carton'!$C$4:$C$5</definedName>
    <definedName name="RET_LISTE">'Popup retour carton'!$B$9:$H$27</definedName>
    <definedName name="RET_PLAY_PAUSE">'Popup retour carton'!$G$4</definedName>
    <definedName name="RET_VALIDER">'Popup retour carton'!$E$29</definedName>
    <definedName name="STAT_TEMPS_EFFECTIF_MT1">'Stats match'!$J$45</definedName>
    <definedName name="STAT_TEMPS_EFFECTIF_MT2">'Stats match'!$J$46</definedName>
    <definedName name="STAT_TEMPS_EFFECTIF_TOTAL">'Stats match'!$J$47</definedName>
    <definedName name="STATS_RUGBY">Paramètres!$I$10</definedName>
    <definedName name="STYLE_BTN_ACTIF">Paramètres!$G$15</definedName>
    <definedName name="STYLE_BTN_ARRET_JEU">Paramètres!$G$8</definedName>
    <definedName name="STYLE_BTN_CHRONO_RESET">Paramètres!$G$10</definedName>
    <definedName name="STYLE_BTN_CHRONO_TMP">Paramètres!$G$9</definedName>
    <definedName name="STYLE_BTN_JOUEUR_ACTIF">Paramètres!$G$17</definedName>
    <definedName name="STYLE_BTN_JOUEUR_INACTIF">Paramètres!$G$18</definedName>
    <definedName name="STYLE_BTN_MT">Paramètres!$G$3</definedName>
    <definedName name="STYLE_BTN_PEN">Paramètres!$G$5</definedName>
    <definedName name="STYLE_BTN_PL_TOUCHES">Paramètres!$G$4</definedName>
    <definedName name="STYLE_BTN_POSSESSION">Paramètres!$G$2</definedName>
    <definedName name="STYLE_BTN_PTS">Paramètres!$G$7</definedName>
    <definedName name="STYLE_BTN_REPRISE">Paramètres!$G$6</definedName>
    <definedName name="STYLE_CARTON_BLANC">Paramètres!$G$12</definedName>
    <definedName name="STYLE_CARTON_BLEU">Paramètres!$G$13</definedName>
    <definedName name="STYLE_CARTON_JAUNE">Paramètres!$G$11</definedName>
    <definedName name="TITRE_CHRONO_VIDEO">'Saisie vidéo'!$C$24</definedName>
    <definedName name="TITRE_PALETTE_ACTIONS">'Saisie vidéo'!$BB$12</definedName>
    <definedName name="TITRE_PALETTE_JOUEURS">'Saisie vidéo'!$C$12</definedName>
    <definedName name="TM_BTN_EXPORT">'Touches Melees'!$A$25</definedName>
    <definedName name="TM_RECAP_MELEES">'Touches Melees'!$A$21</definedName>
    <definedName name="TM_RECAP_TOUCHES">'Touches Melees'!$A$5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I38" i="12" l="1"/>
  <c r="I37" i="12"/>
  <c r="N31" i="12"/>
  <c r="M31" i="12"/>
  <c r="N30" i="12"/>
  <c r="M30" i="12"/>
  <c r="N29" i="12"/>
  <c r="M29" i="12"/>
  <c r="N28" i="12"/>
  <c r="M28" i="12"/>
  <c r="N27" i="12"/>
  <c r="M27" i="12"/>
  <c r="N26" i="12"/>
  <c r="M26" i="12"/>
  <c r="N25" i="12"/>
  <c r="M25" i="12"/>
  <c r="N24" i="12"/>
  <c r="M24" i="12"/>
  <c r="N23" i="12"/>
  <c r="M23" i="12"/>
  <c r="N22" i="12"/>
  <c r="M22" i="12"/>
  <c r="N21" i="12"/>
  <c r="M21" i="12"/>
  <c r="N20" i="12"/>
  <c r="M20" i="12"/>
  <c r="N19" i="12"/>
  <c r="M19" i="12"/>
  <c r="N18" i="12"/>
  <c r="M18" i="12"/>
  <c r="N17" i="12"/>
  <c r="M17" i="12"/>
  <c r="N16" i="12"/>
  <c r="M16" i="12"/>
  <c r="N15" i="12"/>
  <c r="M15" i="12"/>
  <c r="N14" i="12"/>
  <c r="M14" i="12"/>
  <c r="N13" i="12"/>
  <c r="M13" i="12"/>
  <c r="N12" i="12"/>
  <c r="M12" i="12"/>
  <c r="N11" i="12"/>
  <c r="M11" i="12"/>
  <c r="N10" i="12"/>
  <c r="M10" i="12"/>
  <c r="N9" i="12"/>
  <c r="M9" i="12"/>
  <c r="N8" i="12"/>
  <c r="M8" i="12"/>
  <c r="C23" i="18"/>
  <c r="B23" i="18"/>
  <c r="C22" i="18"/>
  <c r="B22" i="18"/>
  <c r="D7" i="18"/>
  <c r="C7" i="18"/>
  <c r="B7" i="18"/>
  <c r="D6" i="18"/>
  <c r="C6" i="18"/>
  <c r="B6" i="18"/>
  <c r="B1" i="2"/>
  <c r="D41" i="12"/>
  <c r="D42" i="12"/>
  <c r="E41" i="12"/>
  <c r="E37" i="12"/>
  <c r="D38" i="12"/>
  <c r="D37" i="12"/>
  <c r="B56" i="12"/>
  <c r="O46" i="12"/>
  <c r="N46" i="12"/>
  <c r="O45" i="12"/>
  <c r="N45" i="12"/>
  <c r="O44" i="12"/>
  <c r="N44" i="12"/>
  <c r="O43" i="12"/>
  <c r="N43" i="12"/>
  <c r="O42" i="12"/>
  <c r="N42" i="12"/>
  <c r="F15" i="3"/>
  <c r="E15" i="3"/>
  <c r="F66" i="3"/>
  <c r="E66" i="3"/>
  <c r="B65" i="12" a="1"/>
  <c r="B65" i="12" s="1"/>
  <c r="B8" i="12" a="1"/>
  <c r="B8" i="12" s="1"/>
  <c r="B3" i="12"/>
  <c r="E2" i="7"/>
  <c r="E38" i="12"/>
  <c r="E42" i="12"/>
  <c r="F40" i="3"/>
  <c r="E40" i="3"/>
  <c r="N47" i="12" l="1"/>
  <c r="O47" i="12"/>
  <c r="F7" i="3"/>
  <c r="E7" i="3"/>
  <c r="S6" i="12"/>
  <c r="Q6" i="12"/>
  <c r="R31" i="12" s="1"/>
  <c r="O6" i="12"/>
  <c r="H42" i="12"/>
  <c r="H41" i="12"/>
  <c r="H38" i="12"/>
  <c r="H37" i="12"/>
  <c r="E26" i="3"/>
  <c r="E27" i="3"/>
  <c r="E28" i="3"/>
  <c r="E29" i="3"/>
  <c r="E30" i="3"/>
  <c r="E31" i="3"/>
  <c r="E32" i="3"/>
  <c r="E33" i="3"/>
  <c r="E34" i="3"/>
  <c r="E35" i="3"/>
  <c r="E36" i="3"/>
  <c r="E37" i="3"/>
  <c r="E38" i="3"/>
  <c r="E39" i="3"/>
  <c r="E41" i="3"/>
  <c r="E42" i="3"/>
  <c r="E43" i="3"/>
  <c r="E44" i="3"/>
  <c r="E45" i="3"/>
  <c r="E46" i="3"/>
  <c r="E47" i="3"/>
  <c r="E48" i="3"/>
  <c r="E49" i="3"/>
  <c r="E50" i="3"/>
  <c r="E51" i="3"/>
  <c r="E52" i="3"/>
  <c r="E53" i="3"/>
  <c r="E54" i="3"/>
  <c r="E55" i="3"/>
  <c r="E56" i="3"/>
  <c r="E57" i="3"/>
  <c r="E58" i="3"/>
  <c r="E59" i="3"/>
  <c r="E60" i="3"/>
  <c r="E61" i="3"/>
  <c r="E62" i="3"/>
  <c r="E63" i="3"/>
  <c r="E64" i="3"/>
  <c r="E65" i="3"/>
  <c r="E67" i="3"/>
  <c r="E68" i="3"/>
  <c r="E69" i="3"/>
  <c r="E70" i="3"/>
  <c r="E71" i="3"/>
  <c r="E72" i="3"/>
  <c r="F26" i="3"/>
  <c r="F27" i="3"/>
  <c r="F28" i="3"/>
  <c r="F29" i="3"/>
  <c r="F30" i="3"/>
  <c r="F31" i="3"/>
  <c r="F32" i="3"/>
  <c r="F33" i="3"/>
  <c r="F34" i="3"/>
  <c r="F35" i="3"/>
  <c r="F36" i="3"/>
  <c r="F37" i="3"/>
  <c r="F38" i="3"/>
  <c r="F39" i="3"/>
  <c r="F41" i="3"/>
  <c r="F42" i="3"/>
  <c r="F43" i="3"/>
  <c r="F44" i="3"/>
  <c r="F45" i="3"/>
  <c r="F46" i="3"/>
  <c r="F47" i="3"/>
  <c r="F48" i="3"/>
  <c r="F49" i="3"/>
  <c r="F50" i="3"/>
  <c r="F51" i="3"/>
  <c r="F52" i="3"/>
  <c r="F53" i="3"/>
  <c r="F54" i="3"/>
  <c r="F55" i="3"/>
  <c r="F56" i="3"/>
  <c r="F57" i="3"/>
  <c r="F58" i="3"/>
  <c r="F59" i="3"/>
  <c r="F60" i="3"/>
  <c r="F61" i="3"/>
  <c r="F62" i="3"/>
  <c r="F63" i="3"/>
  <c r="F64" i="3"/>
  <c r="F65" i="3"/>
  <c r="F67" i="3"/>
  <c r="F68" i="3"/>
  <c r="F69" i="3"/>
  <c r="F70" i="3"/>
  <c r="F71" i="3"/>
  <c r="F72" i="3"/>
  <c r="F25" i="3"/>
  <c r="E25" i="3"/>
  <c r="F24" i="3"/>
  <c r="E24" i="3"/>
  <c r="F23" i="3"/>
  <c r="E23" i="3"/>
  <c r="F22" i="3"/>
  <c r="E22" i="3"/>
  <c r="F21" i="3"/>
  <c r="E21" i="3"/>
  <c r="F20" i="3"/>
  <c r="E20" i="3"/>
  <c r="F19" i="3"/>
  <c r="E19" i="3"/>
  <c r="F18" i="3"/>
  <c r="E18" i="3"/>
  <c r="F17" i="3"/>
  <c r="E17" i="3"/>
  <c r="F16" i="3"/>
  <c r="E16" i="3"/>
  <c r="F14" i="3"/>
  <c r="E14" i="3"/>
  <c r="F13" i="3"/>
  <c r="E13" i="3"/>
  <c r="F12" i="3"/>
  <c r="E12" i="3"/>
  <c r="F11" i="3"/>
  <c r="E11" i="3"/>
  <c r="F10" i="3"/>
  <c r="E10" i="3"/>
  <c r="F9" i="3"/>
  <c r="E9" i="3"/>
  <c r="F8" i="3"/>
  <c r="E8" i="3"/>
  <c r="F6" i="3"/>
  <c r="E6" i="3"/>
  <c r="F5" i="3"/>
  <c r="E5" i="3"/>
  <c r="F2" i="3"/>
  <c r="F3" i="3"/>
  <c r="F4" i="3"/>
  <c r="E4" i="3"/>
  <c r="E3" i="3"/>
  <c r="E2" i="3"/>
  <c r="T30" i="12" l="1"/>
  <c r="Q30" i="12"/>
  <c r="S31" i="12"/>
  <c r="S30" i="12"/>
  <c r="R30" i="12"/>
  <c r="T31" i="12"/>
  <c r="Q31" i="12"/>
  <c r="P31" i="12"/>
  <c r="P30" i="12"/>
  <c r="O31" i="12"/>
  <c r="O30" i="12"/>
  <c r="D50" i="12" l="1"/>
  <c r="C50" i="12"/>
  <c r="D49" i="12"/>
  <c r="C49" i="12"/>
  <c r="D46" i="12"/>
  <c r="C46" i="12"/>
  <c r="D45" i="12"/>
  <c r="C45" i="12"/>
  <c r="C42" i="12"/>
  <c r="C41" i="12"/>
  <c r="P39" i="12"/>
  <c r="O39" i="12"/>
  <c r="N39" i="12"/>
  <c r="M39" i="12"/>
  <c r="P38" i="12"/>
  <c r="O38" i="12"/>
  <c r="N38" i="12"/>
  <c r="M38" i="12"/>
  <c r="C38" i="12"/>
  <c r="C37" i="12"/>
  <c r="Z31" i="12"/>
  <c r="Y31" i="12"/>
  <c r="X31" i="12"/>
  <c r="W31" i="12"/>
  <c r="V31" i="12"/>
  <c r="Z30" i="12"/>
  <c r="Y30" i="12"/>
  <c r="X30" i="12"/>
  <c r="W30" i="12"/>
  <c r="V30" i="12"/>
  <c r="J63" i="12"/>
  <c r="H63" i="12"/>
  <c r="E63" i="12"/>
  <c r="C63" i="12"/>
  <c r="D87" i="12" s="1"/>
  <c r="Z7" i="12"/>
  <c r="Y7" i="12"/>
  <c r="X7" i="12"/>
  <c r="W7" i="12"/>
  <c r="V7" i="12"/>
  <c r="U7" i="12"/>
  <c r="U30" i="12" s="1"/>
  <c r="K6" i="12"/>
  <c r="I6" i="12"/>
  <c r="G6" i="12"/>
  <c r="E6" i="12"/>
  <c r="F30" i="12" s="1"/>
  <c r="C6" i="12"/>
  <c r="S29" i="12" l="1"/>
  <c r="T29" i="12"/>
  <c r="R29" i="12"/>
  <c r="Q29" i="12"/>
  <c r="P29" i="12"/>
  <c r="O29" i="12"/>
  <c r="S28" i="12"/>
  <c r="T28" i="12"/>
  <c r="Q28" i="12"/>
  <c r="R28" i="12"/>
  <c r="P28" i="12"/>
  <c r="O28" i="12"/>
  <c r="S27" i="12"/>
  <c r="P27" i="12"/>
  <c r="R27" i="12"/>
  <c r="T27" i="12"/>
  <c r="O27" i="12"/>
  <c r="Q27" i="12"/>
  <c r="T26" i="12"/>
  <c r="S26" i="12"/>
  <c r="Q26" i="12"/>
  <c r="O26" i="12"/>
  <c r="R26" i="12"/>
  <c r="P26" i="12"/>
  <c r="S25" i="12"/>
  <c r="R25" i="12"/>
  <c r="O25" i="12"/>
  <c r="P25" i="12"/>
  <c r="T25" i="12"/>
  <c r="Q25" i="12"/>
  <c r="O24" i="12"/>
  <c r="T24" i="12"/>
  <c r="R24" i="12"/>
  <c r="Q24" i="12"/>
  <c r="P24" i="12"/>
  <c r="S24" i="12"/>
  <c r="T23" i="12"/>
  <c r="P23" i="12"/>
  <c r="R23" i="12"/>
  <c r="O23" i="12"/>
  <c r="Q23" i="12"/>
  <c r="S23" i="12"/>
  <c r="P22" i="12"/>
  <c r="S22" i="12"/>
  <c r="R22" i="12"/>
  <c r="Q22" i="12"/>
  <c r="O22" i="12"/>
  <c r="T22" i="12"/>
  <c r="S21" i="12"/>
  <c r="P21" i="12"/>
  <c r="T21" i="12"/>
  <c r="O21" i="12"/>
  <c r="R21" i="12"/>
  <c r="Q21" i="12"/>
  <c r="P20" i="12"/>
  <c r="R20" i="12"/>
  <c r="S20" i="12"/>
  <c r="Q20" i="12"/>
  <c r="O20" i="12"/>
  <c r="T20" i="12"/>
  <c r="S19" i="12"/>
  <c r="T19" i="12"/>
  <c r="Q19" i="12"/>
  <c r="P19" i="12"/>
  <c r="O19" i="12"/>
  <c r="R19" i="12"/>
  <c r="Q18" i="12"/>
  <c r="O18" i="12"/>
  <c r="T18" i="12"/>
  <c r="S18" i="12"/>
  <c r="P18" i="12"/>
  <c r="R18" i="12"/>
  <c r="O17" i="12"/>
  <c r="P17" i="12"/>
  <c r="R17" i="12"/>
  <c r="S17" i="12"/>
  <c r="Q17" i="12"/>
  <c r="T17" i="12"/>
  <c r="S16" i="12"/>
  <c r="P16" i="12"/>
  <c r="O16" i="12"/>
  <c r="Q16" i="12"/>
  <c r="T16" i="12"/>
  <c r="R16" i="12"/>
  <c r="S15" i="12"/>
  <c r="O15" i="12"/>
  <c r="P15" i="12"/>
  <c r="R15" i="12"/>
  <c r="T15" i="12"/>
  <c r="Q15" i="12"/>
  <c r="P14" i="12"/>
  <c r="S14" i="12"/>
  <c r="R14" i="12"/>
  <c r="O14" i="12"/>
  <c r="T14" i="12"/>
  <c r="Q14" i="12"/>
  <c r="O13" i="12"/>
  <c r="S13" i="12"/>
  <c r="Q13" i="12"/>
  <c r="R13" i="12"/>
  <c r="T13" i="12"/>
  <c r="P13" i="12"/>
  <c r="T12" i="12"/>
  <c r="R12" i="12"/>
  <c r="Q12" i="12"/>
  <c r="S12" i="12"/>
  <c r="P12" i="12"/>
  <c r="O12" i="12"/>
  <c r="R11" i="12"/>
  <c r="T11" i="12"/>
  <c r="S11" i="12"/>
  <c r="Q11" i="12"/>
  <c r="P11" i="12"/>
  <c r="O11" i="12"/>
  <c r="R10" i="12"/>
  <c r="P10" i="12"/>
  <c r="Q10" i="12"/>
  <c r="S10" i="12"/>
  <c r="O10" i="12"/>
  <c r="T10" i="12"/>
  <c r="O9" i="12"/>
  <c r="T9" i="12"/>
  <c r="P9" i="12"/>
  <c r="S9" i="12"/>
  <c r="Q9" i="12"/>
  <c r="R9" i="12"/>
  <c r="H83" i="12"/>
  <c r="G22" i="12"/>
  <c r="U31" i="12"/>
  <c r="H71" i="12"/>
  <c r="D79" i="12"/>
  <c r="C86" i="12"/>
  <c r="E31" i="12"/>
  <c r="I71" i="12"/>
  <c r="C80" i="12"/>
  <c r="D86" i="12"/>
  <c r="F31" i="12"/>
  <c r="H72" i="12"/>
  <c r="D80" i="12"/>
  <c r="C88" i="12"/>
  <c r="H66" i="12"/>
  <c r="C73" i="12"/>
  <c r="H80" i="12"/>
  <c r="D88" i="12"/>
  <c r="C67" i="12"/>
  <c r="D73" i="12"/>
  <c r="I80" i="12"/>
  <c r="D67" i="12"/>
  <c r="C74" i="12"/>
  <c r="H81" i="12"/>
  <c r="C68" i="12"/>
  <c r="D74" i="12"/>
  <c r="C82" i="12"/>
  <c r="D68" i="12"/>
  <c r="C76" i="12"/>
  <c r="D82" i="12"/>
  <c r="C70" i="12"/>
  <c r="D76" i="12"/>
  <c r="C83" i="12"/>
  <c r="D70" i="12"/>
  <c r="C77" i="12"/>
  <c r="D83" i="12"/>
  <c r="C71" i="12"/>
  <c r="D77" i="12"/>
  <c r="C85" i="12"/>
  <c r="D71" i="12"/>
  <c r="C79" i="12"/>
  <c r="D85" i="12"/>
  <c r="H75" i="12"/>
  <c r="H84" i="12"/>
  <c r="H10" i="12"/>
  <c r="W11" i="12"/>
  <c r="C15" i="12"/>
  <c r="L16" i="12"/>
  <c r="H18" i="12"/>
  <c r="W19" i="12"/>
  <c r="C23" i="12"/>
  <c r="L24" i="12"/>
  <c r="H26" i="12"/>
  <c r="W27" i="12"/>
  <c r="I66" i="12"/>
  <c r="I75" i="12"/>
  <c r="I84" i="12"/>
  <c r="G10" i="12"/>
  <c r="F13" i="12"/>
  <c r="K16" i="12"/>
  <c r="U19" i="12"/>
  <c r="F21" i="12"/>
  <c r="Z22" i="12"/>
  <c r="K24" i="12"/>
  <c r="G26" i="12"/>
  <c r="F29" i="12"/>
  <c r="D30" i="12"/>
  <c r="C30" i="12"/>
  <c r="D31" i="12"/>
  <c r="X11" i="12"/>
  <c r="E15" i="12"/>
  <c r="X19" i="12"/>
  <c r="G12" i="12"/>
  <c r="G20" i="12"/>
  <c r="F23" i="12"/>
  <c r="K26" i="12"/>
  <c r="G31" i="12"/>
  <c r="H31" i="12"/>
  <c r="L10" i="12"/>
  <c r="H20" i="12"/>
  <c r="K12" i="12"/>
  <c r="Z18" i="12"/>
  <c r="U23" i="12"/>
  <c r="Z26" i="12"/>
  <c r="G30" i="12"/>
  <c r="H77" i="12"/>
  <c r="H86" i="12"/>
  <c r="K85" i="12"/>
  <c r="C11" i="12"/>
  <c r="L12" i="12"/>
  <c r="H14" i="12"/>
  <c r="W15" i="12"/>
  <c r="C19" i="12"/>
  <c r="L20" i="12"/>
  <c r="H22" i="12"/>
  <c r="W23" i="12"/>
  <c r="C27" i="12"/>
  <c r="L28" i="12"/>
  <c r="H30" i="12"/>
  <c r="I68" i="12"/>
  <c r="I77" i="12"/>
  <c r="I86" i="12"/>
  <c r="U13" i="12"/>
  <c r="G28" i="12"/>
  <c r="H12" i="12"/>
  <c r="I81" i="12"/>
  <c r="K88" i="12"/>
  <c r="J88" i="12"/>
  <c r="K87" i="12"/>
  <c r="J87" i="12"/>
  <c r="G14" i="12"/>
  <c r="H69" i="12"/>
  <c r="H78" i="12"/>
  <c r="H87" i="12"/>
  <c r="L29" i="12"/>
  <c r="X28" i="12"/>
  <c r="F28" i="12"/>
  <c r="L27" i="12"/>
  <c r="X26" i="12"/>
  <c r="F26" i="12"/>
  <c r="L25" i="12"/>
  <c r="X24" i="12"/>
  <c r="F24" i="12"/>
  <c r="L23" i="12"/>
  <c r="X22" i="12"/>
  <c r="F22" i="12"/>
  <c r="L21" i="12"/>
  <c r="X20" i="12"/>
  <c r="F20" i="12"/>
  <c r="L19" i="12"/>
  <c r="X18" i="12"/>
  <c r="F18" i="12"/>
  <c r="L17" i="12"/>
  <c r="X16" i="12"/>
  <c r="F16" i="12"/>
  <c r="L15" i="12"/>
  <c r="X14" i="12"/>
  <c r="F14" i="12"/>
  <c r="L13" i="12"/>
  <c r="X12" i="12"/>
  <c r="F12" i="12"/>
  <c r="L11" i="12"/>
  <c r="X10" i="12"/>
  <c r="F10" i="12"/>
  <c r="L9" i="12"/>
  <c r="K29" i="12"/>
  <c r="E28" i="12"/>
  <c r="K27" i="12"/>
  <c r="W26" i="12"/>
  <c r="E26" i="12"/>
  <c r="W24" i="12"/>
  <c r="E24" i="12"/>
  <c r="K23" i="12"/>
  <c r="E22" i="12"/>
  <c r="W20" i="12"/>
  <c r="K19" i="12"/>
  <c r="E18" i="12"/>
  <c r="W16" i="12"/>
  <c r="K15" i="12"/>
  <c r="E14" i="12"/>
  <c r="E12" i="12"/>
  <c r="E10" i="12"/>
  <c r="Y29" i="12"/>
  <c r="G29" i="12"/>
  <c r="G27" i="12"/>
  <c r="G25" i="12"/>
  <c r="G23" i="12"/>
  <c r="G21" i="12"/>
  <c r="G19" i="12"/>
  <c r="Y17" i="12"/>
  <c r="Y11" i="12"/>
  <c r="Y9" i="12"/>
  <c r="G9" i="12"/>
  <c r="W28" i="12"/>
  <c r="K25" i="12"/>
  <c r="W22" i="12"/>
  <c r="K21" i="12"/>
  <c r="E20" i="12"/>
  <c r="W18" i="12"/>
  <c r="K17" i="12"/>
  <c r="E16" i="12"/>
  <c r="W14" i="12"/>
  <c r="K13" i="12"/>
  <c r="W12" i="12"/>
  <c r="K11" i="12"/>
  <c r="W10" i="12"/>
  <c r="K9" i="12"/>
  <c r="Y27" i="12"/>
  <c r="Y19" i="12"/>
  <c r="G17" i="12"/>
  <c r="J29" i="12"/>
  <c r="V28" i="12"/>
  <c r="D28" i="12"/>
  <c r="J27" i="12"/>
  <c r="V26" i="12"/>
  <c r="D26" i="12"/>
  <c r="J25" i="12"/>
  <c r="V24" i="12"/>
  <c r="D24" i="12"/>
  <c r="J23" i="12"/>
  <c r="V22" i="12"/>
  <c r="D22" i="12"/>
  <c r="J21" i="12"/>
  <c r="V20" i="12"/>
  <c r="D20" i="12"/>
  <c r="J19" i="12"/>
  <c r="V18" i="12"/>
  <c r="D18" i="12"/>
  <c r="J17" i="12"/>
  <c r="V16" i="12"/>
  <c r="D16" i="12"/>
  <c r="J15" i="12"/>
  <c r="V14" i="12"/>
  <c r="D14" i="12"/>
  <c r="J13" i="12"/>
  <c r="V12" i="12"/>
  <c r="D12" i="12"/>
  <c r="J11" i="12"/>
  <c r="V10" i="12"/>
  <c r="D10" i="12"/>
  <c r="J9" i="12"/>
  <c r="I29" i="12"/>
  <c r="U28" i="12"/>
  <c r="C28" i="12"/>
  <c r="I27" i="12"/>
  <c r="U26" i="12"/>
  <c r="C26" i="12"/>
  <c r="I25" i="12"/>
  <c r="U24" i="12"/>
  <c r="C24" i="12"/>
  <c r="I23" i="12"/>
  <c r="U22" i="12"/>
  <c r="C22" i="12"/>
  <c r="I21" i="12"/>
  <c r="U20" i="12"/>
  <c r="C20" i="12"/>
  <c r="I19" i="12"/>
  <c r="U18" i="12"/>
  <c r="C18" i="12"/>
  <c r="I17" i="12"/>
  <c r="U16" i="12"/>
  <c r="C16" i="12"/>
  <c r="I15" i="12"/>
  <c r="U14" i="12"/>
  <c r="C14" i="12"/>
  <c r="I13" i="12"/>
  <c r="U12" i="12"/>
  <c r="C12" i="12"/>
  <c r="I11" i="12"/>
  <c r="U10" i="12"/>
  <c r="C10" i="12"/>
  <c r="I9" i="12"/>
  <c r="Y25" i="12"/>
  <c r="Y23" i="12"/>
  <c r="Y21" i="12"/>
  <c r="Y15" i="12"/>
  <c r="G15" i="12"/>
  <c r="Y13" i="12"/>
  <c r="G13" i="12"/>
  <c r="G11" i="12"/>
  <c r="Z29" i="12"/>
  <c r="H29" i="12"/>
  <c r="Z27" i="12"/>
  <c r="H27" i="12"/>
  <c r="Z25" i="12"/>
  <c r="H25" i="12"/>
  <c r="Z23" i="12"/>
  <c r="H23" i="12"/>
  <c r="Z21" i="12"/>
  <c r="H21" i="12"/>
  <c r="Z19" i="12"/>
  <c r="H19" i="12"/>
  <c r="Z17" i="12"/>
  <c r="H17" i="12"/>
  <c r="Z15" i="12"/>
  <c r="H15" i="12"/>
  <c r="Z13" i="12"/>
  <c r="H13" i="12"/>
  <c r="Z11" i="12"/>
  <c r="H11" i="12"/>
  <c r="Z9" i="12"/>
  <c r="H9" i="12"/>
  <c r="V29" i="12"/>
  <c r="D29" i="12"/>
  <c r="J28" i="12"/>
  <c r="V27" i="12"/>
  <c r="D27" i="12"/>
  <c r="J26" i="12"/>
  <c r="V25" i="12"/>
  <c r="D25" i="12"/>
  <c r="J24" i="12"/>
  <c r="V23" i="12"/>
  <c r="D23" i="12"/>
  <c r="J22" i="12"/>
  <c r="V21" i="12"/>
  <c r="D21" i="12"/>
  <c r="J20" i="12"/>
  <c r="V19" i="12"/>
  <c r="D19" i="12"/>
  <c r="J18" i="12"/>
  <c r="V17" i="12"/>
  <c r="D17" i="12"/>
  <c r="J16" i="12"/>
  <c r="V15" i="12"/>
  <c r="D15" i="12"/>
  <c r="J14" i="12"/>
  <c r="V13" i="12"/>
  <c r="D13" i="12"/>
  <c r="J12" i="12"/>
  <c r="V11" i="12"/>
  <c r="D11" i="12"/>
  <c r="J10" i="12"/>
  <c r="V9" i="12"/>
  <c r="D9" i="12"/>
  <c r="I10" i="12"/>
  <c r="Y16" i="12"/>
  <c r="I18" i="12"/>
  <c r="E23" i="12"/>
  <c r="Y24" i="12"/>
  <c r="I26" i="12"/>
  <c r="X27" i="12"/>
  <c r="Z16" i="12"/>
  <c r="J31" i="12"/>
  <c r="I31" i="12"/>
  <c r="J30" i="12"/>
  <c r="E9" i="12"/>
  <c r="X13" i="12"/>
  <c r="Y18" i="12"/>
  <c r="I20" i="12"/>
  <c r="X21" i="12"/>
  <c r="E25" i="12"/>
  <c r="Y26" i="12"/>
  <c r="I28" i="12"/>
  <c r="X29" i="12"/>
  <c r="C31" i="12"/>
  <c r="I72" i="12"/>
  <c r="L31" i="12"/>
  <c r="K31" i="12"/>
  <c r="Z10" i="12"/>
  <c r="U15" i="12"/>
  <c r="K20" i="12"/>
  <c r="F25" i="12"/>
  <c r="K28" i="12"/>
  <c r="I69" i="12"/>
  <c r="I78" i="12"/>
  <c r="I87" i="12"/>
  <c r="U11" i="12"/>
  <c r="Z14" i="12"/>
  <c r="G18" i="12"/>
  <c r="U27" i="12"/>
  <c r="C9" i="12"/>
  <c r="F9" i="12"/>
  <c r="F17" i="12"/>
  <c r="Y12" i="12"/>
  <c r="X15" i="12"/>
  <c r="Y20" i="12"/>
  <c r="I22" i="12"/>
  <c r="X23" i="12"/>
  <c r="Y28" i="12"/>
  <c r="I30" i="12"/>
  <c r="U9" i="12"/>
  <c r="F11" i="12"/>
  <c r="Z12" i="12"/>
  <c r="K14" i="12"/>
  <c r="G16" i="12"/>
  <c r="U17" i="12"/>
  <c r="F19" i="12"/>
  <c r="Z20" i="12"/>
  <c r="K22" i="12"/>
  <c r="G24" i="12"/>
  <c r="U25" i="12"/>
  <c r="F27" i="12"/>
  <c r="Z28" i="12"/>
  <c r="K30" i="12"/>
  <c r="H74" i="12"/>
  <c r="K10" i="12"/>
  <c r="F15" i="12"/>
  <c r="K18" i="12"/>
  <c r="U21" i="12"/>
  <c r="Z24" i="12"/>
  <c r="U29" i="12"/>
  <c r="F87" i="12"/>
  <c r="E87" i="12"/>
  <c r="F88" i="12"/>
  <c r="E88" i="12"/>
  <c r="W13" i="12"/>
  <c r="C17" i="12"/>
  <c r="L18" i="12"/>
  <c r="W21" i="12"/>
  <c r="C25" i="12"/>
  <c r="L26" i="12"/>
  <c r="H28" i="12"/>
  <c r="W29" i="12"/>
  <c r="I88" i="12"/>
  <c r="H88" i="12"/>
  <c r="Y10" i="12"/>
  <c r="I12" i="12"/>
  <c r="E17" i="12"/>
  <c r="H68" i="12"/>
  <c r="E11" i="12"/>
  <c r="I14" i="12"/>
  <c r="E19" i="12"/>
  <c r="E27" i="12"/>
  <c r="W9" i="12"/>
  <c r="C13" i="12"/>
  <c r="L14" i="12"/>
  <c r="H16" i="12"/>
  <c r="W17" i="12"/>
  <c r="C21" i="12"/>
  <c r="L22" i="12"/>
  <c r="H24" i="12"/>
  <c r="W25" i="12"/>
  <c r="C29" i="12"/>
  <c r="L30" i="12"/>
  <c r="X9" i="12"/>
  <c r="E13" i="12"/>
  <c r="Y14" i="12"/>
  <c r="I16" i="12"/>
  <c r="X17" i="12"/>
  <c r="E21" i="12"/>
  <c r="Y22" i="12"/>
  <c r="I24" i="12"/>
  <c r="X25" i="12"/>
  <c r="E29" i="12"/>
  <c r="I74" i="12"/>
  <c r="I83" i="12"/>
  <c r="J66" i="12"/>
  <c r="E68" i="12"/>
  <c r="J69" i="12"/>
  <c r="E71" i="12"/>
  <c r="J72" i="12"/>
  <c r="E74" i="12"/>
  <c r="J75" i="12"/>
  <c r="E77" i="12"/>
  <c r="J78" i="12"/>
  <c r="E80" i="12"/>
  <c r="J81" i="12"/>
  <c r="E83" i="12"/>
  <c r="J84" i="12"/>
  <c r="E86" i="12"/>
  <c r="K66" i="12"/>
  <c r="F68" i="12"/>
  <c r="K69" i="12"/>
  <c r="F71" i="12"/>
  <c r="K72" i="12"/>
  <c r="F74" i="12"/>
  <c r="K75" i="12"/>
  <c r="F77" i="12"/>
  <c r="K78" i="12"/>
  <c r="F80" i="12"/>
  <c r="K81" i="12"/>
  <c r="F83" i="12"/>
  <c r="K84" i="12"/>
  <c r="F86" i="12"/>
  <c r="E67" i="12"/>
  <c r="J68" i="12"/>
  <c r="J71" i="12"/>
  <c r="J74" i="12"/>
  <c r="E76" i="12"/>
  <c r="J77" i="12"/>
  <c r="E79" i="12"/>
  <c r="J80" i="12"/>
  <c r="E82" i="12"/>
  <c r="J83" i="12"/>
  <c r="E85" i="12"/>
  <c r="J86" i="12"/>
  <c r="F67" i="12"/>
  <c r="K68" i="12"/>
  <c r="F70" i="12"/>
  <c r="K71" i="12"/>
  <c r="F73" i="12"/>
  <c r="K74" i="12"/>
  <c r="F76" i="12"/>
  <c r="K77" i="12"/>
  <c r="F79" i="12"/>
  <c r="K80" i="12"/>
  <c r="F82" i="12"/>
  <c r="K83" i="12"/>
  <c r="F85" i="12"/>
  <c r="K86" i="12"/>
  <c r="E73" i="12"/>
  <c r="C66" i="12"/>
  <c r="H67" i="12"/>
  <c r="C69" i="12"/>
  <c r="H70" i="12"/>
  <c r="C72" i="12"/>
  <c r="H73" i="12"/>
  <c r="C75" i="12"/>
  <c r="H76" i="12"/>
  <c r="C78" i="12"/>
  <c r="H79" i="12"/>
  <c r="C81" i="12"/>
  <c r="H82" i="12"/>
  <c r="C84" i="12"/>
  <c r="H85" i="12"/>
  <c r="C87" i="12"/>
  <c r="E70" i="12"/>
  <c r="D66" i="12"/>
  <c r="I67" i="12"/>
  <c r="D69" i="12"/>
  <c r="I70" i="12"/>
  <c r="D72" i="12"/>
  <c r="I73" i="12"/>
  <c r="D75" i="12"/>
  <c r="I76" i="12"/>
  <c r="D78" i="12"/>
  <c r="I79" i="12"/>
  <c r="D81" i="12"/>
  <c r="I82" i="12"/>
  <c r="D84" i="12"/>
  <c r="I85" i="12"/>
  <c r="E66" i="12"/>
  <c r="J67" i="12"/>
  <c r="E69" i="12"/>
  <c r="J70" i="12"/>
  <c r="E72" i="12"/>
  <c r="J73" i="12"/>
  <c r="E75" i="12"/>
  <c r="J76" i="12"/>
  <c r="E78" i="12"/>
  <c r="J79" i="12"/>
  <c r="E81" i="12"/>
  <c r="J82" i="12"/>
  <c r="E84" i="12"/>
  <c r="J85" i="12"/>
  <c r="E30" i="12"/>
  <c r="F66" i="12"/>
  <c r="K67" i="12"/>
  <c r="F69" i="12"/>
  <c r="K70" i="12"/>
  <c r="F72" i="12"/>
  <c r="K73" i="12"/>
  <c r="F75" i="12"/>
  <c r="K76" i="12"/>
  <c r="F78" i="12"/>
  <c r="K79" i="12"/>
  <c r="F81" i="12"/>
  <c r="K82" i="12"/>
  <c r="F84" i="12"/>
  <c r="T8" i="12" l="1"/>
  <c r="T32" i="12" s="1"/>
  <c r="R8" i="12"/>
  <c r="R32" i="12" s="1"/>
  <c r="S8" i="12"/>
  <c r="S32" i="12" s="1"/>
  <c r="Q8" i="12"/>
  <c r="Q32" i="12" s="1"/>
  <c r="P8" i="12"/>
  <c r="P32" i="12" s="1"/>
  <c r="O8" i="12"/>
  <c r="O32" i="12" s="1"/>
  <c r="X8" i="12"/>
  <c r="X32" i="12" s="1"/>
  <c r="G8" i="12"/>
  <c r="G32" i="12" s="1"/>
  <c r="F8" i="12"/>
  <c r="F32" i="12" s="1"/>
  <c r="H8" i="12"/>
  <c r="H32" i="12" s="1"/>
  <c r="L8" i="12"/>
  <c r="L32" i="12" s="1"/>
  <c r="V8" i="12"/>
  <c r="V32" i="12" s="1"/>
  <c r="Y8" i="12"/>
  <c r="Y32" i="12" s="1"/>
  <c r="W8" i="12"/>
  <c r="W32" i="12" s="1"/>
  <c r="E8" i="12"/>
  <c r="E32" i="12" s="1"/>
  <c r="Z8" i="12"/>
  <c r="Z32" i="12" s="1"/>
  <c r="D8" i="12"/>
  <c r="D32" i="12" s="1"/>
  <c r="M32" i="12"/>
  <c r="U8" i="12"/>
  <c r="U32" i="12" s="1"/>
  <c r="C8" i="12"/>
  <c r="C32" i="12" s="1"/>
  <c r="N32" i="12"/>
  <c r="J8" i="12"/>
  <c r="J32" i="12" s="1"/>
  <c r="K8" i="12"/>
  <c r="K32" i="12" s="1"/>
  <c r="I8" i="12"/>
  <c r="I32" i="12" s="1"/>
  <c r="D65" i="12"/>
  <c r="D89" i="12" s="1"/>
  <c r="C65" i="12"/>
  <c r="C89" i="12" s="1"/>
  <c r="J65" i="12"/>
  <c r="J89" i="12" s="1"/>
  <c r="K65" i="12"/>
  <c r="K89" i="12" s="1"/>
  <c r="F65" i="12"/>
  <c r="F89" i="12" s="1"/>
  <c r="E65" i="12"/>
  <c r="E89" i="12" s="1"/>
  <c r="I65" i="12"/>
  <c r="I89" i="12" s="1"/>
  <c r="H65" i="12"/>
  <c r="H89" i="12" s="1"/>
  <c r="Q33" i="12" l="1"/>
  <c r="S33" i="12"/>
  <c r="O33" i="12"/>
  <c r="I33" i="12"/>
  <c r="E90" i="12"/>
  <c r="M33" i="12"/>
  <c r="K33" i="12"/>
  <c r="C90" i="12"/>
  <c r="G33" i="12"/>
  <c r="E33" i="12"/>
  <c r="J90" i="12"/>
  <c r="H90" i="12"/>
  <c r="C33" i="12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<sst xmlns="http://schemas.openxmlformats.org/spreadsheetml/2006/main" count="940" uniqueCount="644">
  <si>
    <t>FAUTES SUR</t>
  </si>
  <si>
    <t>MAUL</t>
  </si>
  <si>
    <t xml:space="preserve">RUCKS  </t>
  </si>
  <si>
    <t>HORS JEU</t>
  </si>
  <si>
    <t xml:space="preserve">PLAQUAGES A 2              </t>
  </si>
  <si>
    <t xml:space="preserve">PLAQUAGES HAUTS       </t>
  </si>
  <si>
    <t>pas toutes sifflées car avantage</t>
  </si>
  <si>
    <t>Mi-temps</t>
  </si>
  <si>
    <t>Plaquage offensif</t>
  </si>
  <si>
    <t>Plaquage raté</t>
  </si>
  <si>
    <t>Grattage</t>
  </si>
  <si>
    <t>PLAY / PAUSE</t>
  </si>
  <si>
    <t>-5 sec</t>
  </si>
  <si>
    <t>RESET</t>
  </si>
  <si>
    <t>Joueur</t>
  </si>
  <si>
    <t>Action</t>
  </si>
  <si>
    <t>Commentaire</t>
  </si>
  <si>
    <t>Horodatage saisie</t>
  </si>
  <si>
    <t>PALETTE JOUEURS</t>
  </si>
  <si>
    <t>PALETTE ACTIONS</t>
  </si>
  <si>
    <t>normal</t>
  </si>
  <si>
    <t>Haut</t>
  </si>
  <si>
    <t>Offensif</t>
  </si>
  <si>
    <t>raté</t>
  </si>
  <si>
    <t>à 2</t>
  </si>
  <si>
    <t>gagnée</t>
  </si>
  <si>
    <t>perdue</t>
  </si>
  <si>
    <t>contre-ruck</t>
  </si>
  <si>
    <t>Pénalités</t>
  </si>
  <si>
    <t>essai</t>
  </si>
  <si>
    <t>penalité</t>
  </si>
  <si>
    <t>drop</t>
  </si>
  <si>
    <t>?</t>
  </si>
  <si>
    <t xml:space="preserve">Touche </t>
  </si>
  <si>
    <t xml:space="preserve">Melée </t>
  </si>
  <si>
    <t>renvoi</t>
  </si>
  <si>
    <t>à la main</t>
  </si>
  <si>
    <t>Arret du jeu</t>
  </si>
  <si>
    <t>Points</t>
  </si>
  <si>
    <t xml:space="preserve">Nous </t>
  </si>
  <si>
    <t>Gestion chrono  + vidéo</t>
  </si>
  <si>
    <t>Position vidéo</t>
  </si>
  <si>
    <t>Collectif</t>
  </si>
  <si>
    <t>MT 1</t>
  </si>
  <si>
    <t>MT2</t>
  </si>
  <si>
    <t>pas droit</t>
  </si>
  <si>
    <t>MT1</t>
  </si>
  <si>
    <t>Nous</t>
  </si>
  <si>
    <t>Reprise du jeu sur / ou arret</t>
  </si>
  <si>
    <t>Reprise du jeu sur renvoi</t>
  </si>
  <si>
    <t>Reprise du jeu à la main</t>
  </si>
  <si>
    <t>essai de penalité</t>
  </si>
  <si>
    <t>Essai</t>
  </si>
  <si>
    <t>Reprise du jeu sur touche</t>
  </si>
  <si>
    <t>Reprise du jeu sur melée</t>
  </si>
  <si>
    <t>Adversaire</t>
  </si>
  <si>
    <t>Drop</t>
  </si>
  <si>
    <t>Plaquage normal</t>
  </si>
  <si>
    <t>Touche à nous perdue</t>
  </si>
  <si>
    <t>Touche à eux volée</t>
  </si>
  <si>
    <t>Touche à nous conservée</t>
  </si>
  <si>
    <t>Touche à nous pas droite</t>
  </si>
  <si>
    <t>Touche à eux perdue</t>
  </si>
  <si>
    <t>Essai de pénalité</t>
  </si>
  <si>
    <t>Transformation</t>
  </si>
  <si>
    <t>Pénalité</t>
  </si>
  <si>
    <t xml:space="preserve"> </t>
  </si>
  <si>
    <t>Poste</t>
  </si>
  <si>
    <t>Nom du joueur</t>
  </si>
  <si>
    <t>id</t>
  </si>
  <si>
    <t>nom</t>
  </si>
  <si>
    <t>prenom</t>
  </si>
  <si>
    <t>prenom NOM</t>
  </si>
  <si>
    <t>Thomas</t>
  </si>
  <si>
    <t>Nom</t>
  </si>
  <si>
    <t>Prenom</t>
  </si>
  <si>
    <t>Ajouter un joueur</t>
  </si>
  <si>
    <t>Nom de cellule à créer</t>
  </si>
  <si>
    <t>ACT_PL_OFF</t>
  </si>
  <si>
    <t>ACT_PL_NORMAL</t>
  </si>
  <si>
    <t>ACT_PL_RATE</t>
  </si>
  <si>
    <t>ACT_PL_A2</t>
  </si>
  <si>
    <t>Plaquage à 2</t>
  </si>
  <si>
    <t>ACT_PL_HAUT</t>
  </si>
  <si>
    <t>Plaquage haut</t>
  </si>
  <si>
    <t>ACT_TO_NS_G</t>
  </si>
  <si>
    <t>ACT_TO_NS_P</t>
  </si>
  <si>
    <t>ACT_TO_NS_PAS_DROIT</t>
  </si>
  <si>
    <t>ACT_TO_ADV_VOLEE</t>
  </si>
  <si>
    <t>ACT_TO_ADV_PERDUE</t>
  </si>
  <si>
    <t>ACT_PTS_ESSAI</t>
  </si>
  <si>
    <t>ACT_PTS_ESSAI_PEN</t>
  </si>
  <si>
    <t>ACT_PTS_TRANSFO</t>
  </si>
  <si>
    <t>ACT_PTS_PENALITE</t>
  </si>
  <si>
    <t>ACT_PTS_DROP</t>
  </si>
  <si>
    <t>ACT_REPRISE_TOUCHE</t>
  </si>
  <si>
    <t>ACT_REPRISE_MELEE</t>
  </si>
  <si>
    <t>ACT_REPRISE_RENVOI</t>
  </si>
  <si>
    <t>ACT_REPRISE_A_LA_MAIN</t>
  </si>
  <si>
    <t>ACT_ARRET_DU_JEU</t>
  </si>
  <si>
    <t>STYLE_BTN_POSSESSION</t>
  </si>
  <si>
    <t>STYLE_BTN_MT</t>
  </si>
  <si>
    <t>STYLE_BTN_PL_TOUCHES</t>
  </si>
  <si>
    <t>STYLE_BTN_PEN</t>
  </si>
  <si>
    <t>STYLE_BTN_PTS</t>
  </si>
  <si>
    <t>STYLE_BTN_REPRISE</t>
  </si>
  <si>
    <t>STYLE_BTN_ARRET_JEU</t>
  </si>
  <si>
    <t>STYLE_BTN_CHRONO_TMP</t>
  </si>
  <si>
    <t>STYLE_BTN_CHRONO_RESET</t>
  </si>
  <si>
    <t>STYLE_BTN_ACTIF</t>
  </si>
  <si>
    <t>Nom des cellules de style</t>
  </si>
  <si>
    <t xml:space="preserve">Styles </t>
  </si>
  <si>
    <t>NOM Prénom</t>
  </si>
  <si>
    <t>Adv</t>
  </si>
  <si>
    <t>LISTE_JOUEURS_JOURNAL</t>
  </si>
  <si>
    <t>LISTE_MT_JOURNAL</t>
  </si>
  <si>
    <t>LISTE_EQUIPES_JOURNAL</t>
  </si>
  <si>
    <t>Libellé</t>
  </si>
  <si>
    <t xml:space="preserve"> +5 sec</t>
  </si>
  <si>
    <t>VLC</t>
  </si>
  <si>
    <t>Safari</t>
  </si>
  <si>
    <t>Google Chrome</t>
  </si>
  <si>
    <t>Firefox</t>
  </si>
  <si>
    <t>LISTE_LECTEUR_VIDEO</t>
  </si>
  <si>
    <t xml:space="preserve">Possession en faveur de : </t>
  </si>
  <si>
    <t>Changement possession</t>
  </si>
  <si>
    <t>en-avant</t>
  </si>
  <si>
    <t>jeu au pied</t>
  </si>
  <si>
    <t>reception nous</t>
  </si>
  <si>
    <t>réception Adv</t>
  </si>
  <si>
    <t>ACT_EN_AVANT</t>
  </si>
  <si>
    <t>ACT_JEU_AU_PIED</t>
  </si>
  <si>
    <t>En avant</t>
  </si>
  <si>
    <t>Jeu au pied</t>
  </si>
  <si>
    <t>ACT_RECEPTION_NOUS</t>
  </si>
  <si>
    <t>Réception nous</t>
  </si>
  <si>
    <t>ACT_RECEPTION_ADV</t>
  </si>
  <si>
    <t>Réception adversaire</t>
  </si>
  <si>
    <t>ACT_GRATTAGE</t>
  </si>
  <si>
    <t>ACT_CONTRE_RUCK</t>
  </si>
  <si>
    <t>Contre-ruck</t>
  </si>
  <si>
    <t>transfo</t>
  </si>
  <si>
    <t>Pour nous</t>
  </si>
  <si>
    <t>Possession</t>
  </si>
  <si>
    <t>Perdues</t>
  </si>
  <si>
    <t>Touches MT1</t>
  </si>
  <si>
    <t>Touches MT2</t>
  </si>
  <si>
    <t>nous</t>
  </si>
  <si>
    <t>eux</t>
  </si>
  <si>
    <t>Score fin du match</t>
  </si>
  <si>
    <t>temps de jeu</t>
  </si>
  <si>
    <t>Avant ou 3/4</t>
  </si>
  <si>
    <t>AVANT_OU_ARRIERE</t>
  </si>
  <si>
    <t>Avant</t>
  </si>
  <si>
    <t>Maul</t>
  </si>
  <si>
    <t>Ruck</t>
  </si>
  <si>
    <t>Hors-jeu</t>
  </si>
  <si>
    <t>contre adversaire</t>
  </si>
  <si>
    <t>contre
nous</t>
  </si>
  <si>
    <t>ACT_PEN_MAUL</t>
  </si>
  <si>
    <t>Pénalité contre adversaire</t>
  </si>
  <si>
    <t>Pénalité contre nous</t>
  </si>
  <si>
    <t>ACT_PEN_RUCK</t>
  </si>
  <si>
    <t>ACT_PEN_HORS_JEU</t>
  </si>
  <si>
    <t>ACT_PEN_PL_A_2</t>
  </si>
  <si>
    <t>ACT_PEN_PL_HAUT</t>
  </si>
  <si>
    <t>Groupe fautif</t>
  </si>
  <si>
    <t>Autre</t>
  </si>
  <si>
    <t>ACT_PEN_UNKNOWN</t>
  </si>
  <si>
    <t>Trois-quarts</t>
  </si>
  <si>
    <t>Trois-quart</t>
  </si>
  <si>
    <t>adversaire</t>
  </si>
  <si>
    <t>Pour l'adversaire</t>
  </si>
  <si>
    <t>ACT_PEN_CONTRE_NOUS</t>
  </si>
  <si>
    <t>ACT_PEN_CONTRE_ADV</t>
  </si>
  <si>
    <t>Total match</t>
  </si>
  <si>
    <t>Total par MT</t>
  </si>
  <si>
    <t>Domicile</t>
  </si>
  <si>
    <t>Aller</t>
  </si>
  <si>
    <t>Perdu</t>
  </si>
  <si>
    <t>Saison :</t>
  </si>
  <si>
    <t>Équipe adverse :</t>
  </si>
  <si>
    <t>Phase :</t>
  </si>
  <si>
    <t>Journée :</t>
  </si>
  <si>
    <t>Résultat :</t>
  </si>
  <si>
    <t>ID_match</t>
  </si>
  <si>
    <t>Extérieur</t>
  </si>
  <si>
    <t>LIEU_MATCH</t>
  </si>
  <si>
    <t>Terrain neutre</t>
  </si>
  <si>
    <t>PHASE</t>
  </si>
  <si>
    <t>Retour</t>
  </si>
  <si>
    <t>Phase finale</t>
  </si>
  <si>
    <t>RESULTAT</t>
  </si>
  <si>
    <t>Gagné</t>
  </si>
  <si>
    <t>Nul</t>
  </si>
  <si>
    <t>ID match</t>
  </si>
  <si>
    <t>Saison</t>
  </si>
  <si>
    <t>Date match</t>
  </si>
  <si>
    <t>Lieu</t>
  </si>
  <si>
    <t>Phase</t>
  </si>
  <si>
    <t>Veuillez renseigner toutes les informations ci-dessous avant de cliquer sur "Créer le fichier de match"
La composition pourra être renseignée dans un second temps</t>
  </si>
  <si>
    <t>EQUIPE_NIV</t>
  </si>
  <si>
    <t>Première</t>
  </si>
  <si>
    <t>Réserve</t>
  </si>
  <si>
    <t>Féminines</t>
  </si>
  <si>
    <t>Juniors</t>
  </si>
  <si>
    <t>Catégorie :</t>
  </si>
  <si>
    <t>Lieu :</t>
  </si>
  <si>
    <t>Date match :</t>
  </si>
  <si>
    <t>Journee</t>
  </si>
  <si>
    <t>Gagnees</t>
  </si>
  <si>
    <t>Motif penalite</t>
  </si>
  <si>
    <t>Resultat</t>
  </si>
  <si>
    <t>Cellule pour checker qu'on est bien dans un fichier Excel dédié aux statistiques rugby pour le lancement des vidéos</t>
  </si>
  <si>
    <t>temps video</t>
  </si>
  <si>
    <t>Brave</t>
  </si>
  <si>
    <t>Edge</t>
  </si>
  <si>
    <t>ACT_ARRACHAGE</t>
  </si>
  <si>
    <t>Arrachage</t>
  </si>
  <si>
    <t>ACT_TO_ADV_PAS_DROIT</t>
  </si>
  <si>
    <t>Touche à eux pas droite</t>
  </si>
  <si>
    <t>Touches</t>
  </si>
  <si>
    <t>Mélées</t>
  </si>
  <si>
    <t>ACT_ME_NS_G</t>
  </si>
  <si>
    <t>Mêlée à nous gagnée</t>
  </si>
  <si>
    <t>ACT_ME_NS_P</t>
  </si>
  <si>
    <t>Mêlée à nous perdue</t>
  </si>
  <si>
    <t>ACT_ME_ADV_G</t>
  </si>
  <si>
    <t>Mêlée à eux volée</t>
  </si>
  <si>
    <t>ACT_ME_ADV_P</t>
  </si>
  <si>
    <t>Mêlée à eux perdue</t>
  </si>
  <si>
    <t>Penalités</t>
  </si>
  <si>
    <t>Mêlées MT1</t>
  </si>
  <si>
    <t>Mêlées  MT2</t>
  </si>
  <si>
    <t>Stats touches</t>
  </si>
  <si>
    <t>Gregory</t>
  </si>
  <si>
    <t>Total</t>
  </si>
  <si>
    <t>0-20 s</t>
  </si>
  <si>
    <t>20-40 s</t>
  </si>
  <si>
    <t>40-60 s</t>
  </si>
  <si>
    <t>60-90 s</t>
  </si>
  <si>
    <t>&gt;90 s</t>
  </si>
  <si>
    <t>Cartons</t>
  </si>
  <si>
    <t>franchissement</t>
  </si>
  <si>
    <t>STYLE_CARTON_JAUNE</t>
  </si>
  <si>
    <t>STYLE_CARTON_BLANC</t>
  </si>
  <si>
    <t>STYLE_CARTON_BLEU</t>
  </si>
  <si>
    <t>ACT_FRANCHISSEMENT</t>
  </si>
  <si>
    <t>Franchissement</t>
  </si>
  <si>
    <t>ACT_CARTON_ROUGE_NS</t>
  </si>
  <si>
    <t>Carton rouge contre nous</t>
  </si>
  <si>
    <t>ACT_CARTON_ROUGE_ADV</t>
  </si>
  <si>
    <t>Carton rouge contre adversaire</t>
  </si>
  <si>
    <t>ACT_CARTON_JAUNE_NS</t>
  </si>
  <si>
    <t>ACT_CARTON_JAUNE_ADV</t>
  </si>
  <si>
    <t>ACT_CARTON_BLANC_NS</t>
  </si>
  <si>
    <t>ACT_CARTON_BLANC_ADV</t>
  </si>
  <si>
    <t>ACT_CARTON_BLEU_NS</t>
  </si>
  <si>
    <t>ACT_CARTON_BLEU_ADV</t>
  </si>
  <si>
    <t>Carton jaune contre nous</t>
  </si>
  <si>
    <t>Carton jaune contre adversaire</t>
  </si>
  <si>
    <t>Carton blanc contre nous</t>
  </si>
  <si>
    <t>Carton blanc contre adversaire</t>
  </si>
  <si>
    <t>Carton bleu contre nous</t>
  </si>
  <si>
    <t>Carton bleu contre adversaire</t>
  </si>
  <si>
    <t>Plaquages</t>
  </si>
  <si>
    <t>Nicolas</t>
  </si>
  <si>
    <t>Louis</t>
  </si>
  <si>
    <t>ABADIE</t>
  </si>
  <si>
    <t>Emeric</t>
  </si>
  <si>
    <t>Quentin</t>
  </si>
  <si>
    <t>BALAGNA</t>
  </si>
  <si>
    <t>Rudy</t>
  </si>
  <si>
    <t>BAQUE</t>
  </si>
  <si>
    <t>Lucas</t>
  </si>
  <si>
    <t>BARATGIN</t>
  </si>
  <si>
    <t>Julian</t>
  </si>
  <si>
    <t>BARBE</t>
  </si>
  <si>
    <t>Etienne</t>
  </si>
  <si>
    <t>BARRAILH</t>
  </si>
  <si>
    <t>Francois</t>
  </si>
  <si>
    <t>BARTHIE</t>
  </si>
  <si>
    <t>Sebastien</t>
  </si>
  <si>
    <t>BAUP</t>
  </si>
  <si>
    <t>Bastien</t>
  </si>
  <si>
    <t>BAYLE</t>
  </si>
  <si>
    <t>Jean</t>
  </si>
  <si>
    <t>BIFFI</t>
  </si>
  <si>
    <t>Pierre</t>
  </si>
  <si>
    <t>BLANCHARD</t>
  </si>
  <si>
    <t>Clement</t>
  </si>
  <si>
    <t>BOISVIN</t>
  </si>
  <si>
    <t>Paul</t>
  </si>
  <si>
    <t>BOURREC</t>
  </si>
  <si>
    <t>Anthony</t>
  </si>
  <si>
    <t>Dorian</t>
  </si>
  <si>
    <t>BOUTAN</t>
  </si>
  <si>
    <t>Julien</t>
  </si>
  <si>
    <t>BOUTELOUP</t>
  </si>
  <si>
    <t>Romain</t>
  </si>
  <si>
    <t>BREIL</t>
  </si>
  <si>
    <t>CARRAU</t>
  </si>
  <si>
    <t>Ludovic</t>
  </si>
  <si>
    <t>CASTERA</t>
  </si>
  <si>
    <t>Tom</t>
  </si>
  <si>
    <t>CESCA</t>
  </si>
  <si>
    <t>Sacha</t>
  </si>
  <si>
    <t>Simon</t>
  </si>
  <si>
    <t>CORREGER</t>
  </si>
  <si>
    <t>Baptiste</t>
  </si>
  <si>
    <t>COURREGES</t>
  </si>
  <si>
    <t>DALLA ROSA</t>
  </si>
  <si>
    <t>Jonah</t>
  </si>
  <si>
    <t>DUTREY</t>
  </si>
  <si>
    <t>FITAN</t>
  </si>
  <si>
    <t>Maël</t>
  </si>
  <si>
    <t>GABRELLE</t>
  </si>
  <si>
    <t>Neot</t>
  </si>
  <si>
    <t>GALLINARO</t>
  </si>
  <si>
    <t>Pierrick</t>
  </si>
  <si>
    <t>GARROS</t>
  </si>
  <si>
    <t>GODEMARD</t>
  </si>
  <si>
    <t>HENNI</t>
  </si>
  <si>
    <t>Kevin</t>
  </si>
  <si>
    <t>JOUNAUX</t>
  </si>
  <si>
    <t>Joris</t>
  </si>
  <si>
    <t>Charline</t>
  </si>
  <si>
    <t>KAPFER</t>
  </si>
  <si>
    <t>LACOMBE</t>
  </si>
  <si>
    <t>LAUDET</t>
  </si>
  <si>
    <t>Jean Baptiste</t>
  </si>
  <si>
    <t>LESPINASSE</t>
  </si>
  <si>
    <t>LOUREIRO LABAZUY</t>
  </si>
  <si>
    <t>Antonio</t>
  </si>
  <si>
    <t>MICHELIN</t>
  </si>
  <si>
    <t>MORANT</t>
  </si>
  <si>
    <t>Leo Paul</t>
  </si>
  <si>
    <t>MOUDENS</t>
  </si>
  <si>
    <t>Alexis</t>
  </si>
  <si>
    <t>MOURGUES</t>
  </si>
  <si>
    <t>Antton</t>
  </si>
  <si>
    <t>MOURLAN</t>
  </si>
  <si>
    <t>Thibaud</t>
  </si>
  <si>
    <t>MULLIER</t>
  </si>
  <si>
    <t>Martin</t>
  </si>
  <si>
    <t>Victor</t>
  </si>
  <si>
    <t>NGUYEN</t>
  </si>
  <si>
    <t>Tomy Lee</t>
  </si>
  <si>
    <t>NOILHAN</t>
  </si>
  <si>
    <t>Alys</t>
  </si>
  <si>
    <t>OLIVERA</t>
  </si>
  <si>
    <t>PIQUEMIL</t>
  </si>
  <si>
    <t>Maxime</t>
  </si>
  <si>
    <t>POUYADOU</t>
  </si>
  <si>
    <t>RECURT</t>
  </si>
  <si>
    <t>RICHARD</t>
  </si>
  <si>
    <t>Damien</t>
  </si>
  <si>
    <t>RICHIARDONNE</t>
  </si>
  <si>
    <t>ROBERT</t>
  </si>
  <si>
    <t>Jimmy</t>
  </si>
  <si>
    <t>ROUSSEL</t>
  </si>
  <si>
    <t>Mathis</t>
  </si>
  <si>
    <t>SALLES</t>
  </si>
  <si>
    <t>Fabien</t>
  </si>
  <si>
    <t>SIMOES</t>
  </si>
  <si>
    <t>Dylan</t>
  </si>
  <si>
    <t>SOUVILLE</t>
  </si>
  <si>
    <t>SUSPENE</t>
  </si>
  <si>
    <t>Gatien</t>
  </si>
  <si>
    <t>TABTI</t>
  </si>
  <si>
    <t>Faid</t>
  </si>
  <si>
    <t>TOUVAT</t>
  </si>
  <si>
    <t>VANDEKERKOF</t>
  </si>
  <si>
    <t>Aymeric</t>
  </si>
  <si>
    <t>VINCENT</t>
  </si>
  <si>
    <t>ZIGI MBITTA</t>
  </si>
  <si>
    <t>Fritz Lane</t>
  </si>
  <si>
    <t>US Montreal</t>
  </si>
  <si>
    <t>SA Condom</t>
  </si>
  <si>
    <t>RC Lomagne</t>
  </si>
  <si>
    <t>RC Muret</t>
  </si>
  <si>
    <t>Panjas AC</t>
  </si>
  <si>
    <t>US Portet</t>
  </si>
  <si>
    <t>US Plaisance</t>
  </si>
  <si>
    <t>Rabastens-Coufouleux</t>
  </si>
  <si>
    <t>EQUIPES_A_AFFRONTER</t>
  </si>
  <si>
    <t>RC Trie</t>
  </si>
  <si>
    <t>26-27</t>
  </si>
  <si>
    <t>Amical</t>
  </si>
  <si>
    <t>Durées possessions</t>
  </si>
  <si>
    <t>Durées actions</t>
  </si>
  <si>
    <t>90-120 s</t>
  </si>
  <si>
    <t>120-150 s</t>
  </si>
  <si>
    <t>150-180 s</t>
  </si>
  <si>
    <t>&gt;180 s</t>
  </si>
  <si>
    <t>Turn-over</t>
  </si>
  <si>
    <t>ACT_TURNOVER_NS</t>
  </si>
  <si>
    <t>ACT_TURNOVER_ADV</t>
  </si>
  <si>
    <t>Turn-over - perte du ballon</t>
  </si>
  <si>
    <t>Turn-over - récupération du ballon</t>
  </si>
  <si>
    <t>avancée</t>
  </si>
  <si>
    <t>stoppé / recul</t>
  </si>
  <si>
    <t>Attitudes au contact</t>
  </si>
  <si>
    <t>ACT_ATT_NULLE</t>
  </si>
  <si>
    <t>ACT_AVANCEE</t>
  </si>
  <si>
    <t>Avancée au contact</t>
  </si>
  <si>
    <t>Recul ou sans progression</t>
  </si>
  <si>
    <r>
      <t>1</t>
    </r>
    <r>
      <rPr>
        <vertAlign val="superscript"/>
        <sz val="10"/>
        <color theme="1"/>
        <rFont val="Arial"/>
        <family val="2"/>
      </rPr>
      <t xml:space="preserve">ère </t>
    </r>
    <r>
      <rPr>
        <sz val="10"/>
        <color theme="1"/>
        <rFont val="Arial"/>
        <family val="2"/>
      </rPr>
      <t>ligne</t>
    </r>
  </si>
  <si>
    <t>OUI_NON</t>
  </si>
  <si>
    <t>oui</t>
  </si>
  <si>
    <t>non</t>
  </si>
  <si>
    <t>Mickael</t>
  </si>
  <si>
    <t>LST_TM_LANCE_POUR</t>
  </si>
  <si>
    <t>N</t>
  </si>
  <si>
    <t>E</t>
  </si>
  <si>
    <t>LST_TM_ISSUE_TOUCHE</t>
  </si>
  <si>
    <t>G</t>
  </si>
  <si>
    <t>P</t>
  </si>
  <si>
    <t>ND</t>
  </si>
  <si>
    <t>LST_TM_ISSUE_MELEE</t>
  </si>
  <si>
    <t>LST_TM_ZONE_SAUT</t>
  </si>
  <si>
    <t>Z0</t>
  </si>
  <si>
    <t>Z1</t>
  </si>
  <si>
    <t>Z1,5</t>
  </si>
  <si>
    <t>Z2</t>
  </si>
  <si>
    <t>Z3</t>
  </si>
  <si>
    <t>LST_TM_BALLON</t>
  </si>
  <si>
    <t>C</t>
  </si>
  <si>
    <t>F</t>
  </si>
  <si>
    <t>LST_TM_ZONE_LONGUEUR</t>
  </si>
  <si>
    <t>N en-but</t>
  </si>
  <si>
    <t>N 15m</t>
  </si>
  <si>
    <t>N 22m</t>
  </si>
  <si>
    <t>N 30m</t>
  </si>
  <si>
    <t>N 40m</t>
  </si>
  <si>
    <t>50m</t>
  </si>
  <si>
    <t>E 40m</t>
  </si>
  <si>
    <t>E 30m</t>
  </si>
  <si>
    <t>LST_TM_ALIGNEMENT</t>
  </si>
  <si>
    <t>Complet</t>
  </si>
  <si>
    <t>LST_TM_ZONE_LARGEUR</t>
  </si>
  <si>
    <t>Gauche</t>
  </si>
  <si>
    <t>Milieu</t>
  </si>
  <si>
    <t>Droit</t>
  </si>
  <si>
    <t>TOUCHES</t>
  </si>
  <si>
    <t>Temps video</t>
  </si>
  <si>
    <t>Lance pour</t>
  </si>
  <si>
    <t>Issue</t>
  </si>
  <si>
    <t>Sauteur</t>
  </si>
  <si>
    <t>Zone saut</t>
  </si>
  <si>
    <t>Ballon</t>
  </si>
  <si>
    <t>Zone terrain</t>
  </si>
  <si>
    <t>Alignement</t>
  </si>
  <si>
    <t>Observations</t>
  </si>
  <si>
    <t>MELEES</t>
  </si>
  <si>
    <t>Zone longueur</t>
  </si>
  <si>
    <t>Zone largeur</t>
  </si>
  <si>
    <t>Jeu avant</t>
  </si>
  <si>
    <t>Jeu 3/4</t>
  </si>
  <si>
    <t>Jeu pied</t>
  </si>
  <si>
    <t>LST_TM_UTILISATION</t>
  </si>
  <si>
    <t>Avants</t>
  </si>
  <si>
    <t>Pied</t>
  </si>
  <si>
    <t>TOUCHE</t>
  </si>
  <si>
    <t>Zone de saut</t>
  </si>
  <si>
    <t>VALIDER</t>
  </si>
  <si>
    <t>ANNULER</t>
  </si>
  <si>
    <t>MELEE</t>
  </si>
  <si>
    <t>Utilisation</t>
  </si>
  <si>
    <t>LST_TM_BALLON_LONG</t>
  </si>
  <si>
    <t>Chaud</t>
  </si>
  <si>
    <t>Froid</t>
  </si>
  <si>
    <t>Introduction pour</t>
  </si>
  <si>
    <t>Pas droites</t>
  </si>
  <si>
    <t>Melees</t>
  </si>
  <si>
    <t>Contre</t>
  </si>
  <si>
    <t>VALIDER  (Entree)</t>
  </si>
  <si>
    <t>STYLE_BTN_JOUEUR_ACTIF</t>
  </si>
  <si>
    <t>STYLE_BTN_JOUEUR_INACTIF</t>
  </si>
  <si>
    <t>LOUREIRO LABAZUY Antonio</t>
  </si>
  <si>
    <t>ABADIE Quentin</t>
  </si>
  <si>
    <t>DALLA ROSA Jonah</t>
  </si>
  <si>
    <t>BAUP Bastien</t>
  </si>
  <si>
    <t>ABADIE Emeric</t>
  </si>
  <si>
    <t>BARATGIN Julian</t>
  </si>
  <si>
    <t>MOUDENS Alexis</t>
  </si>
  <si>
    <t>COURREGES Romain</t>
  </si>
  <si>
    <t>BOURREC Anthony</t>
  </si>
  <si>
    <t>LAUDET Jean Baptiste</t>
  </si>
  <si>
    <t>KAPFER Bastien</t>
  </si>
  <si>
    <t>JOUNAUX Joris</t>
  </si>
  <si>
    <t>SALLES Fabien</t>
  </si>
  <si>
    <t>RICHIARDONNE Gregory</t>
  </si>
  <si>
    <t>BIFFI Pierre</t>
  </si>
  <si>
    <t>CESCA Sacha</t>
  </si>
  <si>
    <t>ABADIE Thomas</t>
  </si>
  <si>
    <t>REMPLACEMENT</t>
  </si>
  <si>
    <t>Joueur sortant</t>
  </si>
  <si>
    <t>Joueur entrant</t>
  </si>
  <si>
    <t>Minute de remplacement</t>
  </si>
  <si>
    <t>ACT_CF_CONTRE_ADV</t>
  </si>
  <si>
    <t>ACT_CF_CONTRE_NOUS</t>
  </si>
  <si>
    <t>Coup-franc contre adversaire</t>
  </si>
  <si>
    <t>Coup-franc contre nous</t>
  </si>
  <si>
    <t>Coup franc</t>
  </si>
  <si>
    <t>Notre équipe :</t>
  </si>
  <si>
    <t>MXV</t>
  </si>
  <si>
    <t>Titouan</t>
  </si>
  <si>
    <t>STEFANI</t>
  </si>
  <si>
    <t>DUTREY Thomas</t>
  </si>
  <si>
    <t>MULLIER Victor</t>
  </si>
  <si>
    <t>GALLINARO Pierrick</t>
  </si>
  <si>
    <t>STEFANI Titouan</t>
  </si>
  <si>
    <t>SOUVILLE Quentin</t>
  </si>
  <si>
    <t>Remplacement</t>
  </si>
  <si>
    <t>Passage à vide</t>
  </si>
  <si>
    <t>JOUEUR FAUTIF</t>
  </si>
  <si>
    <t>EXPORTER
LA FEUILLE</t>
  </si>
  <si>
    <t>00:00</t>
  </si>
  <si>
    <t>1 - ABADIE Quentin</t>
  </si>
  <si>
    <t>2 - RICHIARDONNE Gregory</t>
  </si>
  <si>
    <t>3 - BAUP Bastien</t>
  </si>
  <si>
    <t>4 - DUTREY Thomas</t>
  </si>
  <si>
    <t>5 - ABADIE Emeric</t>
  </si>
  <si>
    <t>6 - MULLIER Victor</t>
  </si>
  <si>
    <t>7 - BIFFI Pierre</t>
  </si>
  <si>
    <t>8 - BARATGIN Julian</t>
  </si>
  <si>
    <t>9 - MOUDENS Alexis</t>
  </si>
  <si>
    <t>10 - COURREGES Romain</t>
  </si>
  <si>
    <t>11 - BOURREC Anthony</t>
  </si>
  <si>
    <t>12 - LAUDET Jean Baptiste</t>
  </si>
  <si>
    <t>13 - KAPFER Bastien</t>
  </si>
  <si>
    <t>14 - JOUNAUX Joris</t>
  </si>
  <si>
    <t>15 - SALLES Fabien</t>
  </si>
  <si>
    <t>16 - DALLA ROSA Jonah</t>
  </si>
  <si>
    <t>17 - GALLINARO Pierrick</t>
  </si>
  <si>
    <t>18 - STEFANI Titouan</t>
  </si>
  <si>
    <t>19 - LOUREIRO LABAZUY Antonio</t>
  </si>
  <si>
    <t>20 - ABADIE Thomas</t>
  </si>
  <si>
    <t>21 - CESCA Sacha</t>
  </si>
  <si>
    <t>22 - SOUVILLE Quentin</t>
  </si>
  <si>
    <r>
      <t>2</t>
    </r>
    <r>
      <rPr>
        <sz val="10"/>
        <color theme="1"/>
        <rFont val="Arial"/>
        <family val="2"/>
      </rPr>
      <t xml:space="preserve">
</t>
    </r>
    <r>
      <rPr>
        <sz val="9"/>
        <color theme="1"/>
        <rFont val="Arial"/>
        <family val="2"/>
      </rPr>
      <t>RICHIARDONNE</t>
    </r>
  </si>
  <si>
    <r>
      <t>3</t>
    </r>
    <r>
      <rPr>
        <sz val="10"/>
        <color theme="1"/>
        <rFont val="Arial"/>
        <family val="2"/>
      </rPr>
      <t xml:space="preserve">
</t>
    </r>
    <r>
      <rPr>
        <sz val="9"/>
        <color theme="1"/>
        <rFont val="Arial"/>
        <family val="2"/>
      </rPr>
      <t>BAUP</t>
    </r>
  </si>
  <si>
    <r>
      <t>4</t>
    </r>
    <r>
      <rPr>
        <sz val="10"/>
        <color theme="1"/>
        <rFont val="Arial"/>
        <family val="2"/>
      </rPr>
      <t xml:space="preserve">
</t>
    </r>
    <r>
      <rPr>
        <sz val="9"/>
        <color theme="1"/>
        <rFont val="Arial"/>
        <family val="2"/>
      </rPr>
      <t>DUTREY</t>
    </r>
  </si>
  <si>
    <r>
      <t>5</t>
    </r>
    <r>
      <rPr>
        <sz val="10"/>
        <color theme="1"/>
        <rFont val="Arial"/>
        <family val="2"/>
      </rPr>
      <t xml:space="preserve">
</t>
    </r>
    <r>
      <rPr>
        <sz val="9"/>
        <color theme="1"/>
        <rFont val="Arial"/>
        <family val="2"/>
      </rPr>
      <t>ABADIE</t>
    </r>
  </si>
  <si>
    <r>
      <t>6</t>
    </r>
    <r>
      <rPr>
        <sz val="10"/>
        <color theme="1"/>
        <rFont val="Arial"/>
        <family val="2"/>
      </rPr>
      <t xml:space="preserve">
</t>
    </r>
    <r>
      <rPr>
        <sz val="9"/>
        <color theme="1"/>
        <rFont val="Arial"/>
        <family val="2"/>
      </rPr>
      <t>MULLIER</t>
    </r>
  </si>
  <si>
    <r>
      <t>7</t>
    </r>
    <r>
      <rPr>
        <sz val="10"/>
        <color theme="1"/>
        <rFont val="Arial"/>
        <family val="2"/>
      </rPr>
      <t xml:space="preserve">
</t>
    </r>
    <r>
      <rPr>
        <sz val="9"/>
        <color theme="1"/>
        <rFont val="Arial"/>
        <family val="2"/>
      </rPr>
      <t>BIFFI</t>
    </r>
  </si>
  <si>
    <r>
      <t>8</t>
    </r>
    <r>
      <rPr>
        <sz val="10"/>
        <color theme="1"/>
        <rFont val="Arial"/>
        <family val="2"/>
      </rPr>
      <t xml:space="preserve">
</t>
    </r>
    <r>
      <rPr>
        <sz val="9"/>
        <color theme="1"/>
        <rFont val="Arial"/>
        <family val="2"/>
      </rPr>
      <t>BARATGIN</t>
    </r>
  </si>
  <si>
    <r>
      <t>9</t>
    </r>
    <r>
      <rPr>
        <sz val="10"/>
        <color theme="1"/>
        <rFont val="Arial"/>
        <family val="2"/>
      </rPr>
      <t xml:space="preserve">
</t>
    </r>
    <r>
      <rPr>
        <sz val="9"/>
        <color theme="1"/>
        <rFont val="Arial"/>
        <family val="2"/>
      </rPr>
      <t>MOUDENS</t>
    </r>
  </si>
  <si>
    <r>
      <t>10</t>
    </r>
    <r>
      <rPr>
        <sz val="10"/>
        <color theme="1"/>
        <rFont val="Arial"/>
        <family val="2"/>
      </rPr>
      <t xml:space="preserve">
</t>
    </r>
    <r>
      <rPr>
        <sz val="9"/>
        <color theme="1"/>
        <rFont val="Arial"/>
        <family val="2"/>
      </rPr>
      <t>COURREGES</t>
    </r>
  </si>
  <si>
    <r>
      <t>11</t>
    </r>
    <r>
      <rPr>
        <sz val="10"/>
        <color theme="1"/>
        <rFont val="Arial"/>
        <family val="2"/>
      </rPr>
      <t xml:space="preserve">
</t>
    </r>
    <r>
      <rPr>
        <sz val="9"/>
        <color theme="1"/>
        <rFont val="Arial"/>
        <family val="2"/>
      </rPr>
      <t>BOURREC</t>
    </r>
  </si>
  <si>
    <r>
      <t>12</t>
    </r>
    <r>
      <rPr>
        <sz val="10"/>
        <color theme="1"/>
        <rFont val="Arial"/>
        <family val="2"/>
      </rPr>
      <t xml:space="preserve">
</t>
    </r>
    <r>
      <rPr>
        <sz val="9"/>
        <color theme="1"/>
        <rFont val="Arial"/>
        <family val="2"/>
      </rPr>
      <t>LAUDET</t>
    </r>
  </si>
  <si>
    <r>
      <t>13</t>
    </r>
    <r>
      <rPr>
        <sz val="10"/>
        <color theme="1"/>
        <rFont val="Arial"/>
        <family val="2"/>
      </rPr>
      <t xml:space="preserve">
</t>
    </r>
    <r>
      <rPr>
        <sz val="9"/>
        <color theme="1"/>
        <rFont val="Arial"/>
        <family val="2"/>
      </rPr>
      <t>KAPFER</t>
    </r>
  </si>
  <si>
    <r>
      <t>14</t>
    </r>
    <r>
      <rPr>
        <sz val="10"/>
        <color theme="1"/>
        <rFont val="Arial"/>
        <family val="2"/>
      </rPr>
      <t xml:space="preserve">
</t>
    </r>
    <r>
      <rPr>
        <sz val="9"/>
        <color theme="1"/>
        <rFont val="Arial"/>
        <family val="2"/>
      </rPr>
      <t>JOUNAUX</t>
    </r>
  </si>
  <si>
    <r>
      <t>15</t>
    </r>
    <r>
      <rPr>
        <sz val="10"/>
        <color theme="1"/>
        <rFont val="Arial"/>
        <family val="2"/>
      </rPr>
      <t xml:space="preserve">
</t>
    </r>
    <r>
      <rPr>
        <sz val="9"/>
        <color theme="1"/>
        <rFont val="Arial"/>
        <family val="2"/>
      </rPr>
      <t>SALLES</t>
    </r>
  </si>
  <si>
    <t>ACT_RETOUR_CARTON_ROUGE_NS</t>
  </si>
  <si>
    <t>Retour de carton rouge - nous</t>
  </si>
  <si>
    <t>ACT_RETOUR_CARTON_ROUGE_ADV</t>
  </si>
  <si>
    <t>Retour de carton rouge - adversaire</t>
  </si>
  <si>
    <t>ACT_RETOUR_CARTON_JAUNE_NS</t>
  </si>
  <si>
    <t>Retour de carton jaune - nous</t>
  </si>
  <si>
    <t>ACT_RETOUR_CARTON_JAUNE_ADV</t>
  </si>
  <si>
    <t>Retour de carton jaune - adversaire</t>
  </si>
  <si>
    <t>ACT_RETOUR_CARTON_BLANC_NS</t>
  </si>
  <si>
    <t>Retour de carton blanc - nous</t>
  </si>
  <si>
    <t>ACT_RETOUR_CARTON_BLANC_ADV</t>
  </si>
  <si>
    <t>Retour de carton blanc - adversaire</t>
  </si>
  <si>
    <t>ACT_RETOUR_CARTON_BLEU_NS</t>
  </si>
  <si>
    <t>Retour de carton bleu - nous</t>
  </si>
  <si>
    <t>ACT_RETOUR_CARTON_BLEU_ADV</t>
  </si>
  <si>
    <t>Retour de carton bleu - adversaire</t>
  </si>
  <si>
    <t>RETOUR DE CARTON</t>
  </si>
  <si>
    <t>Temps vidéo</t>
  </si>
  <si>
    <t>CARTONS EN COURS  -  plusieurs choix possibles</t>
  </si>
  <si>
    <t>Nous  -  carton jaune  -  ABADIE Emeric  -  43:53</t>
  </si>
  <si>
    <t>Nous  -  carton blanc  -  DUTREY Thomas  -  43:53</t>
  </si>
  <si>
    <t>43:57</t>
  </si>
  <si>
    <r>
      <t xml:space="preserve">1
</t>
    </r>
    <r>
      <rPr>
        <sz val="9"/>
        <color rgb="FF000000"/>
        <rFont val="Calibri"/>
        <family val="2"/>
      </rPr>
      <t>ABADIE</t>
    </r>
  </si>
  <si>
    <r>
      <t xml:space="preserve">2
</t>
    </r>
    <r>
      <rPr>
        <sz val="9"/>
        <color rgb="FF000000"/>
        <rFont val="Calibri"/>
        <family val="2"/>
      </rPr>
      <t>RICHIARDONNE</t>
    </r>
  </si>
  <si>
    <r>
      <t xml:space="preserve">3
</t>
    </r>
    <r>
      <rPr>
        <sz val="9"/>
        <color rgb="FF000000"/>
        <rFont val="Calibri"/>
        <family val="2"/>
      </rPr>
      <t>BAUP</t>
    </r>
  </si>
  <si>
    <r>
      <t xml:space="preserve">5
</t>
    </r>
    <r>
      <rPr>
        <sz val="9"/>
        <color rgb="FF000000"/>
        <rFont val="Calibri"/>
        <family val="2"/>
      </rPr>
      <t>ABADIE</t>
    </r>
  </si>
  <si>
    <r>
      <t xml:space="preserve">8
</t>
    </r>
    <r>
      <rPr>
        <sz val="9"/>
        <color rgb="FF000000"/>
        <rFont val="Calibri"/>
        <family val="2"/>
      </rPr>
      <t>BARATGIN</t>
    </r>
  </si>
  <si>
    <r>
      <t xml:space="preserve">7
</t>
    </r>
    <r>
      <rPr>
        <sz val="9"/>
        <color rgb="FF000000"/>
        <rFont val="Calibri"/>
        <family val="2"/>
      </rPr>
      <t>BIFFI</t>
    </r>
  </si>
  <si>
    <r>
      <t xml:space="preserve">9
</t>
    </r>
    <r>
      <rPr>
        <sz val="9"/>
        <color rgb="FF000000"/>
        <rFont val="Calibri"/>
        <family val="2"/>
      </rPr>
      <t>MOUDENS</t>
    </r>
  </si>
  <si>
    <r>
      <t xml:space="preserve">10
</t>
    </r>
    <r>
      <rPr>
        <sz val="9"/>
        <color rgb="FF000000"/>
        <rFont val="Calibri"/>
        <family val="2"/>
      </rPr>
      <t>COURREGES</t>
    </r>
  </si>
  <si>
    <r>
      <t xml:space="preserve">12
</t>
    </r>
    <r>
      <rPr>
        <sz val="9"/>
        <color rgb="FF000000"/>
        <rFont val="Calibri"/>
        <family val="2"/>
      </rPr>
      <t>LAUDET</t>
    </r>
  </si>
  <si>
    <r>
      <t xml:space="preserve">13
</t>
    </r>
    <r>
      <rPr>
        <sz val="9"/>
        <color rgb="FF000000"/>
        <rFont val="Calibri"/>
        <family val="2"/>
      </rPr>
      <t>KAPFER</t>
    </r>
  </si>
  <si>
    <r>
      <t xml:space="preserve">11
</t>
    </r>
    <r>
      <rPr>
        <sz val="9"/>
        <color rgb="FF000000"/>
        <rFont val="Calibri"/>
        <family val="2"/>
      </rPr>
      <t>BOURREC</t>
    </r>
  </si>
  <si>
    <r>
      <t xml:space="preserve">15
</t>
    </r>
    <r>
      <rPr>
        <sz val="9"/>
        <color rgb="FF000000"/>
        <rFont val="Calibri"/>
        <family val="2"/>
      </rPr>
      <t>SALLES</t>
    </r>
  </si>
  <si>
    <r>
      <t xml:space="preserve">14
</t>
    </r>
    <r>
      <rPr>
        <sz val="9"/>
        <color rgb="FF000000"/>
        <rFont val="Calibri"/>
        <family val="2"/>
      </rPr>
      <t>JOUNAUX</t>
    </r>
  </si>
  <si>
    <t>US Eauze Gondrin</t>
  </si>
  <si>
    <t>Jeu effectif</t>
  </si>
  <si>
    <t>Eux</t>
  </si>
  <si>
    <r>
      <t>1</t>
    </r>
    <r>
      <rPr>
        <sz val="10"/>
        <color theme="1"/>
        <rFont val="Arial"/>
        <family val="2"/>
      </rPr>
      <t xml:space="preserve">
</t>
    </r>
    <r>
      <rPr>
        <sz val="9"/>
        <color theme="1"/>
        <rFont val="Arial"/>
        <family val="2"/>
      </rPr>
      <t>ABADIE</t>
    </r>
  </si>
  <si>
    <t>10m de plus - contestation</t>
  </si>
  <si>
    <r>
      <t xml:space="preserve">4
</t>
    </r>
    <r>
      <rPr>
        <sz val="9"/>
        <color rgb="FF000000"/>
        <rFont val="Calibri"/>
        <family val="2"/>
      </rPr>
      <t>DUTREY</t>
    </r>
  </si>
  <si>
    <r>
      <t xml:space="preserve">6
</t>
    </r>
    <r>
      <rPr>
        <sz val="9"/>
        <color rgb="FF000000"/>
        <rFont val="Calibri"/>
        <family val="2"/>
      </rPr>
      <t>MULLIER</t>
    </r>
  </si>
  <si>
    <t>COUP FRANC</t>
  </si>
  <si>
    <t>Melee - Mise en place trop longue</t>
  </si>
  <si>
    <t>Melee - Engagement anticipé</t>
  </si>
  <si>
    <t>Melee - Poussée anticipée</t>
  </si>
  <si>
    <t>Melee - Introduction irreguliere</t>
  </si>
  <si>
    <t>Melee - Talonnage irregulier</t>
  </si>
  <si>
    <t>Touche - Mise en place trop longue</t>
  </si>
  <si>
    <t>Touche - Alignement irregulier</t>
  </si>
  <si>
    <t>Touche - Lancer non conforme</t>
  </si>
  <si>
    <t>Touche - Saut ou soutien premature</t>
  </si>
  <si>
    <t>Touche - Sauteur mal redescendu</t>
  </si>
  <si>
    <t>Touche - Soutient devant sauteur retombée</t>
  </si>
  <si>
    <t>Touche - Lancer dans les 5 m</t>
  </si>
  <si>
    <t>Ruck - Fausse sortie</t>
  </si>
  <si>
    <t>Perte de temps</t>
  </si>
  <si>
    <t>Jeu à la main - mauvaise remise en jeu</t>
  </si>
  <si>
    <t>Ecran</t>
  </si>
  <si>
    <t>Jeu-rapide 10m de plus</t>
  </si>
  <si>
    <t>ZONE TERRAIN</t>
  </si>
  <si>
    <t>en-but</t>
  </si>
  <si>
    <t>15m</t>
  </si>
  <si>
    <t>22m</t>
  </si>
  <si>
    <t>30m</t>
  </si>
  <si>
    <t>40m</t>
  </si>
  <si>
    <t>NOTRE CAMP</t>
  </si>
  <si>
    <t>CAMP ADVERSE</t>
  </si>
  <si>
    <t>ZONE DE JEU</t>
  </si>
  <si>
    <t>Zone de touche</t>
  </si>
  <si>
    <t>Gagnée</t>
  </si>
  <si>
    <t>Retour carton</t>
  </si>
  <si>
    <t>26-27_A4_RC Muret_Première_EXT</t>
  </si>
  <si>
    <t>Mi-temps :</t>
  </si>
  <si>
    <t>10:42</t>
  </si>
  <si>
    <t>10:47</t>
  </si>
  <si>
    <t>ACT_GRATTAGE_NS</t>
  </si>
  <si>
    <t>Grattage - récupération du ballon</t>
  </si>
  <si>
    <t>ACT_GRATTAGE_ADV</t>
  </si>
  <si>
    <t>Grattage - perte du ballon</t>
  </si>
  <si>
    <t>ACT_CONTRE_RUCK_NS</t>
  </si>
  <si>
    <t>Contre-ruck - récupération du ballon</t>
  </si>
  <si>
    <t>ACT_CONTRE_RUCK_ADV</t>
  </si>
  <si>
    <t>Contre-ruck - perte du ballon</t>
  </si>
  <si>
    <t>ACT_ARRACHAGE_NS</t>
  </si>
  <si>
    <t>Arrachage - récupération du ballon</t>
  </si>
  <si>
    <t>ACT_ARRACHAGE_ADV</t>
  </si>
  <si>
    <t>Arrachage - perte du ballon</t>
  </si>
  <si>
    <t>Score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</si>
</sst>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yyyy\-mm\-dd\ hh:mm:ss"/>
    <numFmt numFmtId="165" formatCode="[m]:ss"/>
  </numFmts>
  <fonts count="54">
    <font>
      <sz val="10"/>
      <color theme="1"/>
      <name val="Arial"/>
      <family val="2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b/>
      <sz val="10"/>
      <color rgb="FFFFFFFF"/>
      <name val="Arial"/>
      <family val="2"/>
    </font>
    <font>
      <sz val="10"/>
      <color rgb="FFCC0000"/>
      <name val="Arial"/>
      <family val="2"/>
    </font>
    <font>
      <i/>
      <sz val="10"/>
      <color rgb="FF808080"/>
      <name val="Arial"/>
      <family val="2"/>
    </font>
    <font>
      <sz val="10"/>
      <color rgb="FF006600"/>
      <name val="Arial"/>
      <family val="2"/>
    </font>
    <font>
      <b/>
      <sz val="24"/>
      <color rgb="FF000000"/>
      <name val="Arial"/>
      <family val="2"/>
    </font>
    <font>
      <b/>
      <sz val="18"/>
      <color rgb="FF000000"/>
      <name val="Arial"/>
      <family val="2"/>
    </font>
    <font>
      <b/>
      <sz val="12"/>
      <color rgb="FF000000"/>
      <name val="Arial"/>
      <family val="2"/>
    </font>
    <font>
      <u/>
      <sz val="10"/>
      <color rgb="FF0000EE"/>
      <name val="Arial"/>
      <family val="2"/>
    </font>
    <font>
      <sz val="10"/>
      <color rgb="FF996600"/>
      <name val="Arial"/>
      <family val="2"/>
    </font>
    <font>
      <sz val="10"/>
      <color rgb="FF333333"/>
      <name val="Arial"/>
      <family val="2"/>
    </font>
    <font>
      <b/>
      <i/>
      <u/>
      <sz val="10"/>
      <color theme="1"/>
      <name val="Arial"/>
      <family val="2"/>
    </font>
    <font>
      <b/>
      <sz val="18"/>
      <color rgb="FFFFFFFF"/>
      <name val="Arial"/>
      <family val="2"/>
    </font>
    <font>
      <b/>
      <sz val="16"/>
      <color theme="1"/>
      <name val="Arial"/>
      <family val="2"/>
    </font>
    <font>
      <b/>
      <sz val="10"/>
      <color rgb="FF000000"/>
      <name val="Arial"/>
      <family val="2"/>
    </font>
    <font>
      <sz val="8"/>
      <name val="Arial"/>
      <family val="2"/>
    </font>
    <font>
      <b/>
      <sz val="9"/>
      <color theme="1"/>
      <name val="Arial"/>
      <family val="2"/>
    </font>
    <font>
      <b/>
      <sz val="9"/>
      <color theme="0"/>
      <name val="Arial"/>
      <family val="2"/>
    </font>
    <font>
      <b/>
      <sz val="12"/>
      <color theme="1"/>
      <name val="Arial"/>
      <family val="2"/>
    </font>
    <font>
      <b/>
      <sz val="11"/>
      <color rgb="FFFFFFFF"/>
      <name val="Carlito"/>
    </font>
    <font>
      <sz val="11"/>
      <color theme="1"/>
      <name val="Carlito"/>
    </font>
    <font>
      <b/>
      <sz val="11"/>
      <color rgb="FFFFFFFF"/>
      <name val="Arial"/>
      <family val="2"/>
    </font>
    <font>
      <b/>
      <sz val="11"/>
      <color theme="0"/>
      <name val="Arial"/>
      <family val="2"/>
    </font>
    <font>
      <i/>
      <sz val="9"/>
      <color theme="1"/>
      <name val="Arial"/>
      <family val="2"/>
    </font>
    <font>
      <b/>
      <sz val="12"/>
      <color theme="0"/>
      <name val="Arial"/>
      <family val="2"/>
    </font>
    <font>
      <sz val="10"/>
      <color theme="0"/>
      <name val="Arial"/>
      <family val="2"/>
    </font>
    <font>
      <sz val="9"/>
      <color theme="0"/>
      <name val="Arial"/>
      <family val="2"/>
    </font>
    <font>
      <b/>
      <sz val="16"/>
      <color theme="0"/>
      <name val="Arial"/>
      <family val="2"/>
    </font>
    <font>
      <b/>
      <sz val="20"/>
      <color theme="1"/>
      <name val="Arial"/>
      <family val="2"/>
    </font>
    <font>
      <b/>
      <sz val="10"/>
      <color theme="0"/>
      <name val="Arial"/>
      <family val="2"/>
    </font>
    <font>
      <b/>
      <sz val="13"/>
      <color rgb="FFFFFFFF"/>
      <name val="Calibri"/>
      <family val="2"/>
    </font>
    <font>
      <b/>
      <sz val="12"/>
      <color rgb="FFFFFFFF"/>
      <name val="Calibri"/>
      <family val="2"/>
    </font>
    <font>
      <b/>
      <sz val="13"/>
      <color rgb="FF000000"/>
      <name val="Calibri"/>
      <family val="2"/>
    </font>
    <font>
      <b/>
      <sz val="12"/>
      <color rgb="FF000000"/>
      <name val="Calibri"/>
      <family val="2"/>
    </font>
    <font>
      <sz val="10"/>
      <color theme="1"/>
      <name val="Liberation Serif"/>
    </font>
    <font>
      <vertAlign val="superscript"/>
      <sz val="10"/>
      <color theme="1"/>
      <name val="Arial"/>
      <family val="2"/>
    </font>
    <font>
      <b/>
      <sz val="14"/>
      <color theme="1"/>
      <name val="Arial"/>
      <family val="2"/>
    </font>
    <font>
      <b/>
      <sz val="16"/>
      <color rgb="FF0070C0"/>
      <name val="Calibri"/>
      <family val="2"/>
    </font>
    <font>
      <sz val="10"/>
      <color theme="1"/>
      <name val="Calibri"/>
      <family val="2"/>
    </font>
    <font>
      <i/>
      <sz val="10"/>
      <color theme="1"/>
      <name val="Calibri"/>
      <family val="2"/>
    </font>
    <font>
      <b/>
      <sz val="10"/>
      <color theme="1"/>
      <name val="Calibri"/>
      <family val="2"/>
    </font>
    <font>
      <b/>
      <sz val="10"/>
      <color rgb="FFFFFFFF"/>
      <name val="Calibri"/>
      <family val="2"/>
    </font>
    <font>
      <b/>
      <sz val="10"/>
      <color rgb="FFFF0000"/>
      <name val="Arial"/>
      <family val="2"/>
    </font>
    <font>
      <sz val="11"/>
      <name val="Carlito"/>
    </font>
    <font>
      <b/>
      <sz val="18"/>
      <color theme="1"/>
      <name val="Arial"/>
      <family val="2"/>
    </font>
    <font>
      <sz val="9"/>
      <color theme="1"/>
      <name val="Arial"/>
      <family val="2"/>
    </font>
    <font>
      <sz val="10"/>
      <color rgb="FF000000"/>
      <name val="Calibri"/>
      <family val="2"/>
    </font>
    <font>
      <b/>
      <sz val="14"/>
      <color rgb="FF000000"/>
      <name val="Calibri"/>
      <family val="2"/>
    </font>
    <font>
      <sz val="9"/>
      <color rgb="FF000000"/>
      <name val="Calibri"/>
      <family val="2"/>
    </font>
    <font>
      <sz val="10"/>
      <color rgb="FFFFFFFF"/>
      <name val="Calibri"/>
      <family val="2"/>
    </font>
    <font>
      <b/>
      <sz val="9"/>
      <color rgb="FF0070C0"/>
      <name val="Calibri"/>
      <family val="2"/>
    </font>
    <font>
      <i/>
      <sz val="9"/>
      <color theme="1"/>
      <name val="Calibri"/>
      <family val="2"/>
    </font>
  </fonts>
  <fills count="45">
    <fill>
      <patternFill patternType="none"/>
    </fill>
    <fill>
      <patternFill patternType="gray125"/>
    </fill>
    <fill>
      <patternFill patternType="solid">
        <fgColor rgb="FF000000"/>
        <bgColor rgb="FF000000"/>
      </patternFill>
    </fill>
    <fill>
      <patternFill patternType="solid">
        <fgColor rgb="FF808080"/>
        <bgColor rgb="FF808080"/>
      </patternFill>
    </fill>
    <fill>
      <patternFill patternType="solid">
        <fgColor rgb="FFDDDDDD"/>
        <bgColor rgb="FFDDDDDD"/>
      </patternFill>
    </fill>
    <fill>
      <patternFill patternType="solid">
        <fgColor rgb="FFFFCCCC"/>
        <bgColor rgb="FFFFCCCC"/>
      </patternFill>
    </fill>
    <fill>
      <patternFill patternType="solid">
        <fgColor rgb="FFCC0000"/>
        <bgColor rgb="FFCC0000"/>
      </patternFill>
    </fill>
    <fill>
      <patternFill patternType="solid">
        <fgColor rgb="FFCCFFCC"/>
        <bgColor rgb="FFCCFFCC"/>
      </patternFill>
    </fill>
    <fill>
      <patternFill patternType="solid">
        <fgColor rgb="FFFFFFCC"/>
        <bgColor rgb="FFFFFFCC"/>
      </patternFill>
    </fill>
    <fill>
      <patternFill patternType="solid">
        <fgColor rgb="FF1F4E78"/>
        <bgColor indexed="64"/>
      </patternFill>
    </fill>
    <fill>
      <patternFill patternType="solid">
        <fgColor rgb="FFD9EAF7"/>
        <bgColor indexed="64"/>
      </patternFill>
    </fill>
    <fill>
      <patternFill patternType="solid">
        <fgColor rgb="FFF4B183"/>
        <bgColor indexed="64"/>
      </patternFill>
    </fill>
    <fill>
      <patternFill patternType="solid">
        <fgColor rgb="FFE2F0D9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CE4D6"/>
        <bgColor indexed="64"/>
      </patternFill>
    </fill>
    <fill>
      <patternFill patternType="solid">
        <fgColor rgb="FFF8CBAD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0FDF27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1F4E78"/>
      </patternFill>
    </fill>
    <fill>
      <patternFill patternType="solid">
        <fgColor rgb="FF54E8DD"/>
        <bgColor indexed="64"/>
      </patternFill>
    </fill>
    <fill>
      <patternFill patternType="solid">
        <fgColor rgb="FF4DA72E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3C8224"/>
        <bgColor indexed="64"/>
      </patternFill>
    </fill>
    <fill>
      <patternFill patternType="solid">
        <fgColor rgb="FF4DA72E"/>
        <bgColor rgb="FF000000"/>
      </patternFill>
    </fill>
    <fill>
      <patternFill patternType="solid">
        <fgColor rgb="FFFF9300"/>
        <bgColor indexed="64"/>
      </patternFill>
    </fill>
    <fill>
      <patternFill patternType="solid">
        <fgColor rgb="FF4EA72E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E6E6E6"/>
        <bgColor indexed="64"/>
      </patternFill>
    </fill>
    <fill>
      <patternFill patternType="solid">
        <fgColor rgb="FF00800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4472C4"/>
        <bgColor indexed="64"/>
      </patternFill>
    </fill>
    <fill>
      <patternFill patternType="solid">
        <fgColor rgb="FFD9E2F3"/>
        <bgColor indexed="64"/>
      </patternFill>
    </fill>
    <fill>
      <patternFill patternType="solid">
        <fgColor rgb="FFED7D31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1F3864"/>
        <bgColor indexed="64"/>
      </patternFill>
    </fill>
    <fill>
      <patternFill patternType="solid">
        <fgColor theme="0"/>
        <bgColor rgb="FF000000"/>
      </patternFill>
    </fill>
    <fill>
      <patternFill patternType="solid">
        <fgColor rgb="FF0070C0"/>
        <bgColor indexed="64"/>
      </patternFill>
    </fill>
    <fill>
      <patternFill patternType="solid">
        <fgColor rgb="FFC6E0B4"/>
        <bgColor indexed="64"/>
      </patternFill>
    </fill>
  </fills>
  <borders count="68">
    <border>
      <left/>
      <right/>
      <top/>
      <bottom/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theme="4" tint="0.39997558519241921"/>
      </bottom>
      <diagonal/>
    </border>
    <border>
      <left/>
      <right/>
      <top style="thin">
        <color theme="4" tint="0.39997558519241921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/>
      </right>
      <top style="thin">
        <color indexed="64"/>
      </top>
      <bottom/>
      <diagonal/>
    </border>
    <border>
      <left style="thin">
        <color indexed="64"/>
      </left>
      <right/>
      <top style="thin">
        <color theme="0"/>
      </top>
      <bottom style="thin">
        <color indexed="64"/>
      </bottom>
      <diagonal/>
    </border>
    <border>
      <left/>
      <right style="thin">
        <color indexed="64"/>
      </right>
      <top style="thin">
        <color theme="0"/>
      </top>
      <bottom style="thin">
        <color indexed="64"/>
      </bottom>
      <diagonal/>
    </border>
    <border>
      <left/>
      <right/>
      <top style="thin">
        <color theme="0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auto="1"/>
      </bottom>
      <diagonal/>
    </border>
    <border>
      <left style="medium">
        <color rgb="FF4DA72E"/>
      </left>
      <right/>
      <top style="medium">
        <color rgb="FF4DA72E"/>
      </top>
      <bottom/>
      <diagonal/>
    </border>
    <border>
      <left/>
      <right/>
      <top style="medium">
        <color rgb="FF4DA72E"/>
      </top>
      <bottom/>
      <diagonal/>
    </border>
    <border>
      <left/>
      <right style="medium">
        <color rgb="FF4DA72E"/>
      </right>
      <top style="medium">
        <color rgb="FF4DA72E"/>
      </top>
      <bottom/>
      <diagonal/>
    </border>
    <border>
      <left style="medium">
        <color rgb="FF4DA72E"/>
      </left>
      <right/>
      <top/>
      <bottom/>
      <diagonal/>
    </border>
    <border>
      <left/>
      <right style="medium">
        <color rgb="FF4DA72E"/>
      </right>
      <top/>
      <bottom/>
      <diagonal/>
    </border>
    <border>
      <left style="medium">
        <color rgb="FF4DA72E"/>
      </left>
      <right/>
      <top/>
      <bottom style="medium">
        <color rgb="FF4DA72E"/>
      </bottom>
      <diagonal/>
    </border>
    <border>
      <left/>
      <right/>
      <top/>
      <bottom style="medium">
        <color rgb="FF4DA72E"/>
      </bottom>
      <diagonal/>
    </border>
    <border>
      <left/>
      <right style="medium">
        <color rgb="FF4DA72E"/>
      </right>
      <top/>
      <bottom style="medium">
        <color rgb="FF4DA72E"/>
      </bottom>
      <diagonal/>
    </border>
    <border>
      <left style="thin">
        <color rgb="FF969696"/>
      </left>
      <right style="thin">
        <color rgb="FF969696"/>
      </right>
      <top style="thin">
        <color rgb="FF969696"/>
      </top>
      <bottom style="thin">
        <color rgb="FF969696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rgb="FF4472C4"/>
      </left>
      <right style="thin">
        <color rgb="FF4472C4"/>
      </right>
      <top style="thin">
        <color rgb="FF4472C4"/>
      </top>
      <bottom style="thin">
        <color rgb="FF4472C4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indexed="64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auto="1"/>
      </bottom>
      <diagonal/>
    </border>
    <border>
      <left/>
      <right style="thin">
        <color auto="1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/>
      <top style="thin">
        <color indexed="64"/>
      </top>
      <bottom style="thin">
        <color auto="1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indexed="64"/>
      </right>
      <top style="thin">
        <color indexed="64"/>
      </top>
      <bottom/>
      <diagonal/>
    </border>
    <border>
      <left style="thin">
        <color rgb="FF000000"/>
      </left>
      <right style="thin">
        <color indexed="64"/>
      </right>
      <top/>
      <bottom/>
      <diagonal/>
    </border>
    <border>
      <left style="thin">
        <color rgb="FF000000"/>
      </left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rgb="FF000000"/>
      </right>
      <top style="thin">
        <color indexed="64"/>
      </top>
      <bottom/>
      <diagonal/>
    </border>
    <border>
      <left style="thin">
        <color rgb="FFFFFFFF"/>
      </left>
      <right style="thin">
        <color rgb="FFFFFFFF"/>
      </right>
      <top style="thin">
        <color rgb="FFFFFFFF"/>
      </top>
      <bottom style="thin">
        <color rgb="FFFFFFFF"/>
      </bottom>
      <diagonal/>
    </border>
  </borders>
  <cellStyleXfs count="20">
    <xf numFmtId="0" fontId="0" fillId="0" borderId="0"/>
    <xf numFmtId="0" fontId="12" fillId="8" borderId="1" applyNumberFormat="0" applyProtection="0"/>
    <xf numFmtId="0" fontId="2" fillId="0" borderId="0" applyNumberFormat="0" applyFill="0" applyBorder="0" applyProtection="0"/>
    <xf numFmtId="0" fontId="3" fillId="2" borderId="0" applyNumberFormat="0" applyBorder="0" applyProtection="0"/>
    <xf numFmtId="0" fontId="3" fillId="3" borderId="0" applyNumberFormat="0" applyBorder="0" applyProtection="0"/>
    <xf numFmtId="0" fontId="2" fillId="4" borderId="0" applyNumberFormat="0" applyBorder="0" applyProtection="0"/>
    <xf numFmtId="0" fontId="4" fillId="5" borderId="0" applyNumberFormat="0" applyBorder="0" applyProtection="0"/>
    <xf numFmtId="0" fontId="1" fillId="0" borderId="0" applyNumberFormat="0" applyFont="0" applyFill="0" applyBorder="0" applyAlignment="0" applyProtection="0"/>
    <xf numFmtId="0" fontId="3" fillId="6" borderId="0" applyNumberFormat="0" applyBorder="0" applyProtection="0"/>
    <xf numFmtId="0" fontId="5" fillId="0" borderId="0" applyNumberFormat="0" applyFill="0" applyBorder="0" applyProtection="0"/>
    <xf numFmtId="0" fontId="6" fillId="7" borderId="0" applyNumberFormat="0" applyBorder="0" applyProtection="0"/>
    <xf numFmtId="0" fontId="7" fillId="0" borderId="0" applyNumberFormat="0" applyFill="0" applyBorder="0" applyProtection="0"/>
    <xf numFmtId="0" fontId="8" fillId="0" borderId="0" applyNumberFormat="0" applyFill="0" applyBorder="0" applyProtection="0"/>
    <xf numFmtId="0" fontId="9" fillId="0" borderId="0" applyNumberFormat="0" applyFill="0" applyBorder="0" applyProtection="0"/>
    <xf numFmtId="0" fontId="10" fillId="0" borderId="0" applyNumberFormat="0" applyFill="0" applyBorder="0" applyProtection="0"/>
    <xf numFmtId="0" fontId="11" fillId="8" borderId="0" applyNumberFormat="0" applyBorder="0" applyProtection="0"/>
    <xf numFmtId="0" fontId="13" fillId="0" borderId="0" applyNumberFormat="0" applyFill="0" applyBorder="0" applyProtection="0"/>
    <xf numFmtId="0" fontId="1" fillId="0" borderId="0" applyNumberFormat="0" applyFont="0" applyFill="0" applyBorder="0" applyProtection="0"/>
    <xf numFmtId="0" fontId="1" fillId="0" borderId="0" applyNumberFormat="0" applyFont="0" applyFill="0" applyBorder="0" applyProtection="0"/>
    <xf numFmtId="0" fontId="4" fillId="0" borderId="0" applyNumberFormat="0" applyFill="0" applyBorder="0" applyProtection="0"/>
  </cellStyleXfs>
  <cellXfs count="286">
    <xf numFmtId="0" fontId="0" fillId="0" borderId="0" xfId="0"/>
    <xf numFmtId="164" fontId="0" fillId="0" borderId="0" xfId="0" applyNumberFormat="1"/>
    <xf numFmtId="0" fontId="16" fillId="11" borderId="2" xfId="0" applyFont="1" applyFill="1" applyBorder="1" applyAlignment="1">
      <alignment horizontal="center" vertical="center" wrapText="1"/>
    </xf>
    <xf numFmtId="0" fontId="0" fillId="17" borderId="0" xfId="0" applyFill="1"/>
    <xf numFmtId="0" fontId="0" fillId="19" borderId="3" xfId="0" applyFill="1" applyBorder="1" applyAlignment="1">
      <alignment horizontal="center" vertical="center"/>
    </xf>
    <xf numFmtId="0" fontId="2" fillId="12" borderId="2" xfId="0" applyFont="1" applyFill="1" applyBorder="1" applyAlignment="1">
      <alignment horizontal="center" vertical="center" wrapText="1"/>
    </xf>
    <xf numFmtId="0" fontId="2" fillId="14" borderId="2" xfId="0" applyFont="1" applyFill="1" applyBorder="1" applyAlignment="1">
      <alignment horizontal="center" vertical="center" wrapText="1"/>
    </xf>
    <xf numFmtId="0" fontId="2" fillId="15" borderId="2" xfId="0" applyFont="1" applyFill="1" applyBorder="1" applyAlignment="1">
      <alignment horizontal="center" vertical="center" wrapText="1"/>
    </xf>
    <xf numFmtId="0" fontId="18" fillId="18" borderId="3" xfId="0" applyFont="1" applyFill="1" applyBorder="1" applyAlignment="1">
      <alignment horizontal="center" vertical="center"/>
    </xf>
    <xf numFmtId="0" fontId="19" fillId="20" borderId="3" xfId="0" applyFont="1" applyFill="1" applyBorder="1" applyAlignment="1">
      <alignment horizontal="center" vertical="center"/>
    </xf>
    <xf numFmtId="0" fontId="18" fillId="10" borderId="3" xfId="0" applyFont="1" applyFill="1" applyBorder="1" applyAlignment="1">
      <alignment horizontal="center" vertical="center" wrapText="1"/>
    </xf>
    <xf numFmtId="0" fontId="0" fillId="17" borderId="12" xfId="0" applyFill="1" applyBorder="1"/>
    <xf numFmtId="0" fontId="0" fillId="17" borderId="14" xfId="0" applyFill="1" applyBorder="1"/>
    <xf numFmtId="0" fontId="0" fillId="17" borderId="3" xfId="0" applyFill="1" applyBorder="1"/>
    <xf numFmtId="0" fontId="2" fillId="23" borderId="2" xfId="0" applyFont="1" applyFill="1" applyBorder="1" applyAlignment="1">
      <alignment horizontal="center" vertical="center" wrapText="1"/>
    </xf>
    <xf numFmtId="0" fontId="0" fillId="0" borderId="0" xfId="0" applyAlignment="1">
      <alignment vertical="center"/>
    </xf>
    <xf numFmtId="0" fontId="0" fillId="0" borderId="0" xfId="0" applyAlignment="1">
      <alignment horizontal="center" vertical="center"/>
    </xf>
    <xf numFmtId="0" fontId="22" fillId="21" borderId="5" xfId="0" applyFont="1" applyFill="1" applyBorder="1" applyAlignment="1">
      <alignment horizontal="left" vertical="center" wrapText="1"/>
    </xf>
    <xf numFmtId="0" fontId="22" fillId="21" borderId="6" xfId="0" applyFont="1" applyFill="1" applyBorder="1" applyAlignment="1">
      <alignment horizontal="left" vertical="center" wrapText="1"/>
    </xf>
    <xf numFmtId="0" fontId="0" fillId="0" borderId="0" xfId="0" applyAlignment="1">
      <alignment horizontal="left" vertical="center"/>
    </xf>
    <xf numFmtId="0" fontId="22" fillId="0" borderId="5" xfId="0" applyFont="1" applyBorder="1" applyAlignment="1">
      <alignment horizontal="left" vertical="center" wrapText="1"/>
    </xf>
    <xf numFmtId="0" fontId="22" fillId="0" borderId="6" xfId="0" applyFont="1" applyBorder="1" applyAlignment="1">
      <alignment horizontal="left" vertical="center" wrapText="1"/>
    </xf>
    <xf numFmtId="0" fontId="21" fillId="22" borderId="5" xfId="0" applyFont="1" applyFill="1" applyBorder="1" applyAlignment="1">
      <alignment horizontal="center" vertical="center" wrapText="1"/>
    </xf>
    <xf numFmtId="0" fontId="21" fillId="22" borderId="6" xfId="0" applyFont="1" applyFill="1" applyBorder="1" applyAlignment="1">
      <alignment horizontal="center" vertical="center" wrapText="1"/>
    </xf>
    <xf numFmtId="0" fontId="21" fillId="22" borderId="17" xfId="0" applyFont="1" applyFill="1" applyBorder="1" applyAlignment="1">
      <alignment horizontal="center" vertical="center" wrapText="1"/>
    </xf>
    <xf numFmtId="0" fontId="22" fillId="0" borderId="18" xfId="0" applyFont="1" applyBorder="1" applyAlignment="1">
      <alignment horizontal="left" vertical="center" wrapText="1"/>
    </xf>
    <xf numFmtId="0" fontId="0" fillId="0" borderId="10" xfId="0" applyBorder="1" applyAlignment="1">
      <alignment horizontal="right" vertical="center"/>
    </xf>
    <xf numFmtId="0" fontId="0" fillId="0" borderId="12" xfId="0" applyBorder="1" applyAlignment="1">
      <alignment horizontal="right" vertical="center"/>
    </xf>
    <xf numFmtId="0" fontId="0" fillId="0" borderId="10" xfId="0" applyBorder="1"/>
    <xf numFmtId="0" fontId="0" fillId="0" borderId="11" xfId="0" applyBorder="1"/>
    <xf numFmtId="0" fontId="0" fillId="0" borderId="13" xfId="0" applyBorder="1"/>
    <xf numFmtId="0" fontId="0" fillId="0" borderId="14" xfId="0" applyBorder="1"/>
    <xf numFmtId="0" fontId="0" fillId="0" borderId="12" xfId="0" applyBorder="1"/>
    <xf numFmtId="0" fontId="0" fillId="0" borderId="7" xfId="0" applyBorder="1"/>
    <xf numFmtId="0" fontId="0" fillId="0" borderId="9" xfId="0" applyBorder="1"/>
    <xf numFmtId="0" fontId="0" fillId="0" borderId="8" xfId="0" applyBorder="1"/>
    <xf numFmtId="0" fontId="0" fillId="25" borderId="10" xfId="0" applyFill="1" applyBorder="1"/>
    <xf numFmtId="0" fontId="0" fillId="25" borderId="11" xfId="0" applyFill="1" applyBorder="1"/>
    <xf numFmtId="0" fontId="0" fillId="25" borderId="3" xfId="0" applyFill="1" applyBorder="1"/>
    <xf numFmtId="0" fontId="0" fillId="17" borderId="0" xfId="0" applyFill="1" applyAlignment="1">
      <alignment horizontal="left"/>
    </xf>
    <xf numFmtId="0" fontId="25" fillId="17" borderId="0" xfId="0" applyFont="1" applyFill="1" applyAlignment="1">
      <alignment horizontal="left"/>
    </xf>
    <xf numFmtId="0" fontId="20" fillId="17" borderId="0" xfId="0" applyFont="1" applyFill="1"/>
    <xf numFmtId="0" fontId="27" fillId="26" borderId="0" xfId="0" applyFont="1" applyFill="1" applyAlignment="1">
      <alignment horizontal="right"/>
    </xf>
    <xf numFmtId="14" fontId="0" fillId="25" borderId="0" xfId="0" applyNumberFormat="1" applyFill="1" applyAlignment="1">
      <alignment horizontal="left"/>
    </xf>
    <xf numFmtId="0" fontId="0" fillId="25" borderId="0" xfId="0" applyFill="1" applyAlignment="1">
      <alignment horizontal="left"/>
    </xf>
    <xf numFmtId="0" fontId="0" fillId="0" borderId="0" xfId="0" applyAlignment="1">
      <alignment wrapText="1"/>
    </xf>
    <xf numFmtId="0" fontId="3" fillId="17" borderId="0" xfId="0" applyFont="1" applyFill="1"/>
    <xf numFmtId="164" fontId="0" fillId="17" borderId="0" xfId="0" applyNumberFormat="1" applyFill="1"/>
    <xf numFmtId="0" fontId="23" fillId="24" borderId="9" xfId="0" applyFont="1" applyFill="1" applyBorder="1" applyAlignment="1">
      <alignment horizontal="center" vertical="center"/>
    </xf>
    <xf numFmtId="0" fontId="23" fillId="24" borderId="10" xfId="0" applyFont="1" applyFill="1" applyBorder="1" applyAlignment="1">
      <alignment horizontal="center" vertical="center"/>
    </xf>
    <xf numFmtId="0" fontId="23" fillId="24" borderId="11" xfId="0" applyFont="1" applyFill="1" applyBorder="1" applyAlignment="1">
      <alignment horizontal="center" vertical="center"/>
    </xf>
    <xf numFmtId="0" fontId="23" fillId="24" borderId="0" xfId="0" applyFont="1" applyFill="1" applyAlignment="1">
      <alignment horizontal="center" vertical="center"/>
    </xf>
    <xf numFmtId="0" fontId="24" fillId="24" borderId="7" xfId="0" applyFont="1" applyFill="1" applyBorder="1" applyAlignment="1">
      <alignment horizontal="center" vertical="center"/>
    </xf>
    <xf numFmtId="0" fontId="24" fillId="24" borderId="21" xfId="0" applyFont="1" applyFill="1" applyBorder="1" applyAlignment="1">
      <alignment horizontal="center" vertical="center"/>
    </xf>
    <xf numFmtId="0" fontId="24" fillId="24" borderId="9" xfId="0" applyFont="1" applyFill="1" applyBorder="1" applyAlignment="1">
      <alignment horizontal="center" vertical="center"/>
    </xf>
    <xf numFmtId="0" fontId="26" fillId="24" borderId="12" xfId="0" applyFont="1" applyFill="1" applyBorder="1" applyAlignment="1">
      <alignment horizontal="center" vertical="center"/>
    </xf>
    <xf numFmtId="0" fontId="23" fillId="24" borderId="19" xfId="0" applyFont="1" applyFill="1" applyBorder="1" applyAlignment="1">
      <alignment horizontal="center" vertical="center"/>
    </xf>
    <xf numFmtId="0" fontId="23" fillId="24" borderId="20" xfId="0" applyFont="1" applyFill="1" applyBorder="1" applyAlignment="1">
      <alignment horizontal="center" vertical="center"/>
    </xf>
    <xf numFmtId="0" fontId="23" fillId="24" borderId="7" xfId="0" applyFont="1" applyFill="1" applyBorder="1" applyAlignment="1">
      <alignment vertical="center"/>
    </xf>
    <xf numFmtId="0" fontId="23" fillId="24" borderId="8" xfId="0" applyFont="1" applyFill="1" applyBorder="1" applyAlignment="1">
      <alignment vertical="center"/>
    </xf>
    <xf numFmtId="0" fontId="23" fillId="24" borderId="3" xfId="0" applyFont="1" applyFill="1" applyBorder="1" applyAlignment="1">
      <alignment horizontal="center" vertical="center"/>
    </xf>
    <xf numFmtId="0" fontId="0" fillId="0" borderId="15" xfId="0" applyBorder="1"/>
    <xf numFmtId="0" fontId="0" fillId="17" borderId="16" xfId="0" applyFill="1" applyBorder="1"/>
    <xf numFmtId="0" fontId="27" fillId="17" borderId="0" xfId="0" applyFont="1" applyFill="1"/>
    <xf numFmtId="14" fontId="0" fillId="17" borderId="0" xfId="0" applyNumberFormat="1" applyFill="1" applyAlignment="1">
      <alignment horizontal="left"/>
    </xf>
    <xf numFmtId="0" fontId="22" fillId="0" borderId="33" xfId="0" applyFont="1" applyBorder="1" applyAlignment="1">
      <alignment horizontal="left" vertical="center" wrapText="1"/>
    </xf>
    <xf numFmtId="0" fontId="23" fillId="24" borderId="16" xfId="0" applyFont="1" applyFill="1" applyBorder="1" applyAlignment="1">
      <alignment horizontal="center" vertical="center"/>
    </xf>
    <xf numFmtId="0" fontId="23" fillId="13" borderId="16" xfId="0" applyFont="1" applyFill="1" applyBorder="1" applyAlignment="1">
      <alignment horizontal="center" vertical="center"/>
    </xf>
    <xf numFmtId="0" fontId="0" fillId="0" borderId="4" xfId="0" applyBorder="1"/>
    <xf numFmtId="0" fontId="0" fillId="0" borderId="16" xfId="0" applyBorder="1"/>
    <xf numFmtId="0" fontId="23" fillId="24" borderId="12" xfId="0" applyFont="1" applyFill="1" applyBorder="1" applyAlignment="1">
      <alignment horizontal="center" vertical="center"/>
    </xf>
    <xf numFmtId="0" fontId="23" fillId="24" borderId="14" xfId="0" applyFont="1" applyFill="1" applyBorder="1" applyAlignment="1">
      <alignment horizontal="center" vertical="center"/>
    </xf>
    <xf numFmtId="0" fontId="23" fillId="28" borderId="12" xfId="0" applyFont="1" applyFill="1" applyBorder="1" applyAlignment="1">
      <alignment horizontal="center" vertical="center"/>
    </xf>
    <xf numFmtId="0" fontId="23" fillId="28" borderId="14" xfId="0" applyFont="1" applyFill="1" applyBorder="1" applyAlignment="1">
      <alignment horizontal="center" vertical="center"/>
    </xf>
    <xf numFmtId="0" fontId="24" fillId="28" borderId="21" xfId="0" applyFont="1" applyFill="1" applyBorder="1" applyAlignment="1">
      <alignment horizontal="center" vertical="center"/>
    </xf>
    <xf numFmtId="0" fontId="24" fillId="28" borderId="9" xfId="0" applyFont="1" applyFill="1" applyBorder="1" applyAlignment="1">
      <alignment horizontal="center" vertical="center"/>
    </xf>
    <xf numFmtId="0" fontId="22" fillId="0" borderId="17" xfId="0" applyFont="1" applyBorder="1" applyAlignment="1">
      <alignment horizontal="center" vertical="center" wrapText="1"/>
    </xf>
    <xf numFmtId="165" fontId="0" fillId="25" borderId="11" xfId="0" applyNumberFormat="1" applyFill="1" applyBorder="1"/>
    <xf numFmtId="165" fontId="0" fillId="17" borderId="14" xfId="0" applyNumberFormat="1" applyFill="1" applyBorder="1"/>
    <xf numFmtId="165" fontId="31" fillId="24" borderId="20" xfId="0" applyNumberFormat="1" applyFont="1" applyFill="1" applyBorder="1"/>
    <xf numFmtId="0" fontId="27" fillId="0" borderId="10" xfId="0" applyFont="1" applyBorder="1"/>
    <xf numFmtId="0" fontId="35" fillId="30" borderId="34" xfId="0" applyFont="1" applyFill="1" applyBorder="1" applyAlignment="1">
      <alignment horizontal="center" vertical="center"/>
    </xf>
    <xf numFmtId="165" fontId="0" fillId="0" borderId="0" xfId="0" applyNumberFormat="1"/>
    <xf numFmtId="0" fontId="0" fillId="31" borderId="34" xfId="0" applyFill="1" applyBorder="1" applyAlignment="1">
      <alignment horizontal="center" vertical="center" wrapText="1"/>
    </xf>
    <xf numFmtId="0" fontId="0" fillId="17" borderId="34" xfId="0" applyFill="1" applyBorder="1" applyAlignment="1">
      <alignment horizontal="center" vertical="center" wrapText="1"/>
    </xf>
    <xf numFmtId="0" fontId="36" fillId="0" borderId="0" xfId="0" applyFont="1" applyAlignment="1">
      <alignment wrapText="1"/>
    </xf>
    <xf numFmtId="0" fontId="0" fillId="17" borderId="35" xfId="0" applyFill="1" applyBorder="1"/>
    <xf numFmtId="0" fontId="0" fillId="17" borderId="36" xfId="0" applyFill="1" applyBorder="1"/>
    <xf numFmtId="0" fontId="0" fillId="17" borderId="37" xfId="0" applyFill="1" applyBorder="1"/>
    <xf numFmtId="0" fontId="0" fillId="17" borderId="38" xfId="0" applyFill="1" applyBorder="1"/>
    <xf numFmtId="0" fontId="0" fillId="17" borderId="39" xfId="0" applyFill="1" applyBorder="1"/>
    <xf numFmtId="0" fontId="0" fillId="17" borderId="38" xfId="0" applyFill="1" applyBorder="1" applyAlignment="1">
      <alignment horizontal="right"/>
    </xf>
    <xf numFmtId="0" fontId="0" fillId="17" borderId="40" xfId="0" applyFill="1" applyBorder="1"/>
    <xf numFmtId="0" fontId="0" fillId="17" borderId="41" xfId="0" applyFill="1" applyBorder="1"/>
    <xf numFmtId="0" fontId="0" fillId="17" borderId="42" xfId="0" applyFill="1" applyBorder="1"/>
    <xf numFmtId="0" fontId="0" fillId="17" borderId="34" xfId="0" applyFill="1" applyBorder="1"/>
    <xf numFmtId="0" fontId="0" fillId="0" borderId="0" xfId="0" applyAlignment="1">
      <alignment horizontal="center"/>
    </xf>
    <xf numFmtId="14" fontId="0" fillId="17" borderId="0" xfId="0" applyNumberFormat="1" applyFill="1"/>
    <xf numFmtId="0" fontId="38" fillId="0" borderId="0" xfId="0" applyFont="1"/>
    <xf numFmtId="16" fontId="0" fillId="0" borderId="0" xfId="0" applyNumberFormat="1"/>
    <xf numFmtId="0" fontId="39" fillId="16" borderId="0" xfId="0" applyFont="1" applyFill="1"/>
    <xf numFmtId="0" fontId="40" fillId="16" borderId="0" xfId="0" applyFont="1" applyFill="1"/>
    <xf numFmtId="0" fontId="41" fillId="16" borderId="0" xfId="0" applyFont="1" applyFill="1"/>
    <xf numFmtId="0" fontId="43" fillId="35" borderId="0" xfId="0" applyFont="1" applyFill="1" applyAlignment="1">
      <alignment horizontal="center" vertical="center"/>
    </xf>
    <xf numFmtId="0" fontId="43" fillId="34" borderId="0" xfId="0" applyFont="1" applyFill="1" applyAlignment="1">
      <alignment horizontal="center" vertical="center"/>
    </xf>
    <xf numFmtId="0" fontId="0" fillId="25" borderId="0" xfId="0" applyFill="1"/>
    <xf numFmtId="0" fontId="0" fillId="17" borderId="13" xfId="0" applyFill="1" applyBorder="1"/>
    <xf numFmtId="0" fontId="23" fillId="24" borderId="44" xfId="0" applyFont="1" applyFill="1" applyBorder="1" applyAlignment="1">
      <alignment horizontal="center" vertical="center"/>
    </xf>
    <xf numFmtId="0" fontId="0" fillId="0" borderId="2" xfId="0" applyBorder="1"/>
    <xf numFmtId="0" fontId="0" fillId="0" borderId="2" xfId="0" applyBorder="1" applyAlignment="1">
      <alignment horizontal="center"/>
    </xf>
    <xf numFmtId="0" fontId="3" fillId="36" borderId="2" xfId="0" applyFont="1" applyFill="1" applyBorder="1" applyAlignment="1">
      <alignment horizontal="left"/>
    </xf>
    <xf numFmtId="0" fontId="3" fillId="36" borderId="2" xfId="0" applyFont="1" applyFill="1" applyBorder="1" applyAlignment="1">
      <alignment horizontal="center"/>
    </xf>
    <xf numFmtId="0" fontId="0" fillId="37" borderId="2" xfId="0" applyFill="1" applyBorder="1"/>
    <xf numFmtId="0" fontId="0" fillId="37" borderId="2" xfId="0" applyFill="1" applyBorder="1" applyAlignment="1">
      <alignment horizontal="center"/>
    </xf>
    <xf numFmtId="0" fontId="3" fillId="38" borderId="2" xfId="0" applyFont="1" applyFill="1" applyBorder="1" applyAlignment="1">
      <alignment horizontal="left"/>
    </xf>
    <xf numFmtId="0" fontId="3" fillId="38" borderId="2" xfId="0" applyFont="1" applyFill="1" applyBorder="1" applyAlignment="1">
      <alignment horizontal="center"/>
    </xf>
    <xf numFmtId="0" fontId="0" fillId="14" borderId="2" xfId="0" applyFill="1" applyBorder="1"/>
    <xf numFmtId="0" fontId="0" fillId="14" borderId="2" xfId="0" applyFill="1" applyBorder="1" applyAlignment="1">
      <alignment horizontal="center"/>
    </xf>
    <xf numFmtId="0" fontId="42" fillId="16" borderId="0" xfId="0" applyFont="1" applyFill="1"/>
    <xf numFmtId="0" fontId="31" fillId="13" borderId="3" xfId="0" applyFont="1" applyFill="1" applyBorder="1" applyAlignment="1">
      <alignment horizontal="center" vertical="center"/>
    </xf>
    <xf numFmtId="0" fontId="44" fillId="32" borderId="34" xfId="0" applyFont="1" applyFill="1" applyBorder="1" applyAlignment="1">
      <alignment horizontal="center" vertical="center" wrapText="1"/>
    </xf>
    <xf numFmtId="0" fontId="43" fillId="16" borderId="0" xfId="0" applyFont="1" applyFill="1" applyAlignment="1">
      <alignment horizontal="center" vertical="center"/>
    </xf>
    <xf numFmtId="0" fontId="42" fillId="16" borderId="43" xfId="0" applyFont="1" applyFill="1" applyBorder="1" applyAlignment="1">
      <alignment horizontal="center"/>
    </xf>
    <xf numFmtId="0" fontId="40" fillId="16" borderId="43" xfId="0" applyFont="1" applyFill="1" applyBorder="1" applyAlignment="1">
      <alignment horizontal="left"/>
    </xf>
    <xf numFmtId="0" fontId="22" fillId="0" borderId="0" xfId="0" applyFont="1" applyAlignment="1">
      <alignment horizontal="center" vertical="center" wrapText="1"/>
    </xf>
    <xf numFmtId="0" fontId="29" fillId="42" borderId="0" xfId="0" applyFont="1" applyFill="1" applyAlignment="1">
      <alignment vertical="center" wrapText="1"/>
    </xf>
    <xf numFmtId="0" fontId="32" fillId="29" borderId="46" xfId="0" applyFont="1" applyFill="1" applyBorder="1" applyAlignment="1">
      <alignment horizontal="center" vertical="center"/>
    </xf>
    <xf numFmtId="0" fontId="34" fillId="30" borderId="47" xfId="0" applyFont="1" applyFill="1" applyBorder="1" applyAlignment="1">
      <alignment horizontal="center" vertical="center"/>
    </xf>
    <xf numFmtId="0" fontId="34" fillId="16" borderId="48" xfId="0" applyFont="1" applyFill="1" applyBorder="1" applyAlignment="1">
      <alignment horizontal="center" vertical="center"/>
    </xf>
    <xf numFmtId="0" fontId="33" fillId="29" borderId="49" xfId="0" applyFont="1" applyFill="1" applyBorder="1" applyAlignment="1">
      <alignment horizontal="center" vertical="center"/>
    </xf>
    <xf numFmtId="0" fontId="35" fillId="16" borderId="50" xfId="0" applyFont="1" applyFill="1" applyBorder="1" applyAlignment="1">
      <alignment horizontal="center" vertical="center"/>
    </xf>
    <xf numFmtId="0" fontId="33" fillId="29" borderId="51" xfId="0" applyFont="1" applyFill="1" applyBorder="1" applyAlignment="1">
      <alignment horizontal="center" vertical="center"/>
    </xf>
    <xf numFmtId="0" fontId="35" fillId="30" borderId="52" xfId="0" applyFont="1" applyFill="1" applyBorder="1" applyAlignment="1">
      <alignment horizontal="center" vertical="center"/>
    </xf>
    <xf numFmtId="0" fontId="35" fillId="16" borderId="53" xfId="0" applyFont="1" applyFill="1" applyBorder="1" applyAlignment="1">
      <alignment horizontal="center" vertical="center"/>
    </xf>
    <xf numFmtId="0" fontId="34" fillId="30" borderId="48" xfId="0" applyFont="1" applyFill="1" applyBorder="1" applyAlignment="1">
      <alignment horizontal="center" vertical="center"/>
    </xf>
    <xf numFmtId="0" fontId="35" fillId="30" borderId="50" xfId="0" applyFont="1" applyFill="1" applyBorder="1" applyAlignment="1">
      <alignment horizontal="center" vertical="center"/>
    </xf>
    <xf numFmtId="0" fontId="35" fillId="30" borderId="53" xfId="0" applyFont="1" applyFill="1" applyBorder="1" applyAlignment="1">
      <alignment horizontal="center" vertical="center"/>
    </xf>
    <xf numFmtId="49" fontId="42" fillId="33" borderId="0" xfId="0" applyNumberFormat="1" applyFont="1" applyFill="1" applyAlignment="1">
      <alignment horizontal="center"/>
    </xf>
    <xf numFmtId="0" fontId="0" fillId="16" borderId="0" xfId="0" applyFill="1"/>
    <xf numFmtId="0" fontId="0" fillId="16" borderId="38" xfId="0" applyFill="1" applyBorder="1"/>
    <xf numFmtId="0" fontId="0" fillId="16" borderId="35" xfId="0" applyFill="1" applyBorder="1"/>
    <xf numFmtId="0" fontId="0" fillId="16" borderId="36" xfId="0" applyFill="1" applyBorder="1"/>
    <xf numFmtId="0" fontId="0" fillId="16" borderId="37" xfId="0" applyFill="1" applyBorder="1"/>
    <xf numFmtId="0" fontId="0" fillId="16" borderId="39" xfId="0" applyFill="1" applyBorder="1"/>
    <xf numFmtId="0" fontId="0" fillId="16" borderId="40" xfId="0" applyFill="1" applyBorder="1"/>
    <xf numFmtId="0" fontId="0" fillId="16" borderId="41" xfId="0" applyFill="1" applyBorder="1"/>
    <xf numFmtId="0" fontId="0" fillId="16" borderId="42" xfId="0" applyFill="1" applyBorder="1"/>
    <xf numFmtId="0" fontId="0" fillId="40" borderId="34" xfId="0" applyFill="1" applyBorder="1" applyAlignment="1">
      <alignment horizontal="center" vertical="center"/>
    </xf>
    <xf numFmtId="0" fontId="0" fillId="39" borderId="34" xfId="0" applyFill="1" applyBorder="1" applyAlignment="1">
      <alignment horizontal="center" vertical="center"/>
    </xf>
    <xf numFmtId="0" fontId="23" fillId="24" borderId="8" xfId="0" applyFont="1" applyFill="1" applyBorder="1" applyAlignment="1">
      <alignment horizontal="center" vertical="center"/>
    </xf>
    <xf numFmtId="0" fontId="23" fillId="24" borderId="7" xfId="0" applyFont="1" applyFill="1" applyBorder="1" applyAlignment="1">
      <alignment horizontal="center" vertical="center"/>
    </xf>
    <xf numFmtId="165" fontId="0" fillId="25" borderId="63" xfId="0" applyNumberFormat="1" applyFill="1" applyBorder="1"/>
    <xf numFmtId="165" fontId="0" fillId="17" borderId="64" xfId="0" applyNumberFormat="1" applyFill="1" applyBorder="1"/>
    <xf numFmtId="165" fontId="31" fillId="24" borderId="65" xfId="0" applyNumberFormat="1" applyFont="1" applyFill="1" applyBorder="1"/>
    <xf numFmtId="0" fontId="23" fillId="24" borderId="62" xfId="0" applyFont="1" applyFill="1" applyBorder="1" applyAlignment="1">
      <alignment horizontal="center" vertical="center"/>
    </xf>
    <xf numFmtId="0" fontId="31" fillId="24" borderId="19" xfId="0" applyFont="1" applyFill="1" applyBorder="1" applyAlignment="1">
      <alignment horizontal="right"/>
    </xf>
    <xf numFmtId="0" fontId="23" fillId="24" borderId="66" xfId="0" applyFont="1" applyFill="1" applyBorder="1" applyAlignment="1">
      <alignment horizontal="center" vertical="center"/>
    </xf>
    <xf numFmtId="0" fontId="40" fillId="16" borderId="0" xfId="0" applyFont="1" applyFill="1" applyAlignment="1">
      <alignment horizontal="right" vertical="center"/>
    </xf>
    <xf numFmtId="0" fontId="53" fillId="16" borderId="0" xfId="0" applyFont="1" applyFill="1" applyAlignment="1">
      <alignment horizontal="center"/>
    </xf>
    <xf numFmtId="0" fontId="48" fillId="44" borderId="67" xfId="0" applyFont="1" applyFill="1" applyBorder="1" applyAlignment="1">
      <alignment horizontal="center" vertical="center"/>
    </xf>
    <xf numFmtId="0" fontId="48" fillId="12" borderId="67" xfId="0" applyFont="1" applyFill="1" applyBorder="1" applyAlignment="1">
      <alignment horizontal="center" vertical="center"/>
    </xf>
    <xf numFmtId="0" fontId="52" fillId="16" borderId="0" xfId="0" applyFont="1" applyFill="1" applyAlignment="1">
      <alignment horizontal="right" vertical="center"/>
    </xf>
    <xf numFmtId="0" fontId="3" fillId="9" borderId="0" xfId="0" applyFont="1" applyFill="1" applyAlignment="1">
      <alignment horizontal="center" vertical="center" wrapText="1"/>
    </xf>
    <xf numFmtId="0" fontId="48" fillId="16" borderId="0" xfId="0" applyFont="1" applyFill="1" applyAlignment="1">
      <alignment horizontal="center" vertical="center"/>
    </xf>
    <xf numFmtId="14" fontId="0" fillId="0" borderId="0" xfId="0" applyNumberFormat="1"/>
    <xf numFmtId="22" fontId="0" fillId="0" borderId="0" xfId="0" applyNumberFormat="1"/>
    <xf numFmtId="0" fontId="45" fillId="0" borderId="6" xfId="0" applyFont="1" applyBorder="1" applyAlignment="1">
      <alignment horizontal="left" vertical="center" wrapText="1"/>
    </xf>
    <xf numFmtId="0" fontId="45" fillId="0" borderId="18" xfId="0" applyFont="1" applyBorder="1" applyAlignment="1">
      <alignment horizontal="left" vertical="center" wrapText="1"/>
    </xf>
    <xf numFmtId="0" fontId="0" fillId="25" borderId="7" xfId="0" applyFill="1" applyBorder="1"/>
    <xf numFmtId="0" fontId="0" fillId="25" borderId="9" xfId="0" applyFill="1" applyBorder="1"/>
    <xf numFmtId="0" fontId="28" fillId="13" borderId="0" xfId="0" applyFont="1" applyFill="1" applyAlignment="1">
      <alignment horizontal="center" vertical="center" wrapText="1"/>
    </xf>
    <xf numFmtId="0" fontId="20" fillId="0" borderId="25" xfId="0" applyFont="1" applyBorder="1" applyAlignment="1">
      <alignment horizontal="center" vertical="center"/>
    </xf>
    <xf numFmtId="0" fontId="20" fillId="0" borderId="26" xfId="0" applyFont="1" applyBorder="1" applyAlignment="1">
      <alignment horizontal="center" vertical="center"/>
    </xf>
    <xf numFmtId="0" fontId="20" fillId="0" borderId="27" xfId="0" applyFont="1" applyBorder="1" applyAlignment="1">
      <alignment horizontal="center" vertical="center"/>
    </xf>
    <xf numFmtId="0" fontId="20" fillId="0" borderId="28" xfId="0" applyFont="1" applyBorder="1" applyAlignment="1">
      <alignment horizontal="center" vertical="center"/>
    </xf>
    <xf numFmtId="0" fontId="20" fillId="0" borderId="0" xfId="0" applyFont="1" applyAlignment="1">
      <alignment horizontal="center" vertical="center"/>
    </xf>
    <xf numFmtId="0" fontId="20" fillId="0" borderId="29" xfId="0" applyFont="1" applyBorder="1" applyAlignment="1">
      <alignment horizontal="center" vertical="center"/>
    </xf>
    <xf numFmtId="0" fontId="20" fillId="0" borderId="30" xfId="0" applyFont="1" applyBorder="1" applyAlignment="1">
      <alignment horizontal="center" vertical="center"/>
    </xf>
    <xf numFmtId="0" fontId="20" fillId="0" borderId="31" xfId="0" applyFont="1" applyBorder="1" applyAlignment="1">
      <alignment horizontal="center" vertical="center"/>
    </xf>
    <xf numFmtId="0" fontId="20" fillId="0" borderId="32" xfId="0" applyFont="1" applyBorder="1" applyAlignment="1">
      <alignment horizontal="center" vertical="center"/>
    </xf>
    <xf numFmtId="0" fontId="2" fillId="16" borderId="0" xfId="0" applyFont="1" applyFill="1" applyAlignment="1">
      <alignment horizontal="center" vertical="center" wrapText="1"/>
    </xf>
    <xf numFmtId="0" fontId="0" fillId="16" borderId="0" xfId="0" applyFill="1" applyAlignment="1">
      <alignment horizontal="center" vertical="center" wrapText="1"/>
    </xf>
    <xf numFmtId="165" fontId="46" fillId="40" borderId="19" xfId="0" applyNumberFormat="1" applyFont="1" applyFill="1" applyBorder="1" applyAlignment="1">
      <alignment horizontal="center" vertical="center" wrapText="1"/>
    </xf>
    <xf numFmtId="0" fontId="0" fillId="40" borderId="44" xfId="0" applyFill="1" applyBorder="1" applyAlignment="1">
      <alignment horizontal="center" vertical="center" wrapText="1"/>
    </xf>
    <xf numFmtId="0" fontId="0" fillId="40" borderId="20" xfId="0" applyFill="1" applyBorder="1" applyAlignment="1">
      <alignment horizontal="center" vertical="center" wrapText="1"/>
    </xf>
    <xf numFmtId="0" fontId="18" fillId="18" borderId="19" xfId="0" applyFont="1" applyFill="1" applyBorder="1" applyAlignment="1">
      <alignment horizontal="center" vertical="center" wrapText="1"/>
    </xf>
    <xf numFmtId="0" fontId="18" fillId="18" borderId="44" xfId="0" applyFont="1" applyFill="1" applyBorder="1" applyAlignment="1">
      <alignment horizontal="center" vertical="center" wrapText="1"/>
    </xf>
    <xf numFmtId="0" fontId="18" fillId="18" borderId="20" xfId="0" applyFont="1" applyFill="1" applyBorder="1" applyAlignment="1">
      <alignment horizontal="center" vertical="center" wrapText="1"/>
    </xf>
    <xf numFmtId="0" fontId="3" fillId="24" borderId="0" xfId="0" applyFont="1" applyFill="1" applyAlignment="1">
      <alignment horizontal="center" vertical="center" wrapText="1"/>
    </xf>
    <xf numFmtId="0" fontId="18" fillId="10" borderId="7" xfId="0" applyFont="1" applyFill="1" applyBorder="1" applyAlignment="1">
      <alignment horizontal="center" vertical="center" wrapText="1"/>
    </xf>
    <xf numFmtId="0" fontId="18" fillId="10" borderId="8" xfId="0" applyFont="1" applyFill="1" applyBorder="1" applyAlignment="1">
      <alignment horizontal="center" vertical="center" wrapText="1"/>
    </xf>
    <xf numFmtId="0" fontId="18" fillId="10" borderId="9" xfId="0" applyFont="1" applyFill="1" applyBorder="1" applyAlignment="1">
      <alignment horizontal="center" vertical="center" wrapText="1"/>
    </xf>
    <xf numFmtId="0" fontId="18" fillId="10" borderId="10" xfId="0" applyFont="1" applyFill="1" applyBorder="1" applyAlignment="1">
      <alignment horizontal="center" vertical="center" wrapText="1"/>
    </xf>
    <xf numFmtId="0" fontId="18" fillId="10" borderId="0" xfId="0" applyFont="1" applyFill="1" applyAlignment="1">
      <alignment horizontal="center" vertical="center" wrapText="1"/>
    </xf>
    <xf numFmtId="0" fontId="18" fillId="10" borderId="11" xfId="0" applyFont="1" applyFill="1" applyBorder="1" applyAlignment="1">
      <alignment horizontal="center" vertical="center" wrapText="1"/>
    </xf>
    <xf numFmtId="0" fontId="18" fillId="10" borderId="12" xfId="0" applyFont="1" applyFill="1" applyBorder="1" applyAlignment="1">
      <alignment horizontal="center" vertical="center" wrapText="1"/>
    </xf>
    <xf numFmtId="0" fontId="18" fillId="10" borderId="13" xfId="0" applyFont="1" applyFill="1" applyBorder="1" applyAlignment="1">
      <alignment horizontal="center" vertical="center" wrapText="1"/>
    </xf>
    <xf numFmtId="0" fontId="18" fillId="10" borderId="14" xfId="0" applyFont="1" applyFill="1" applyBorder="1" applyAlignment="1">
      <alignment horizontal="center" vertical="center" wrapText="1"/>
    </xf>
    <xf numFmtId="0" fontId="18" fillId="10" borderId="19" xfId="0" applyFont="1" applyFill="1" applyBorder="1" applyAlignment="1">
      <alignment horizontal="center" vertical="center" wrapText="1"/>
    </xf>
    <xf numFmtId="0" fontId="18" fillId="10" borderId="44" xfId="0" applyFont="1" applyFill="1" applyBorder="1" applyAlignment="1">
      <alignment horizontal="center" vertical="center" wrapText="1"/>
    </xf>
    <xf numFmtId="0" fontId="18" fillId="10" borderId="20" xfId="0" applyFont="1" applyFill="1" applyBorder="1" applyAlignment="1">
      <alignment horizontal="center" vertical="center" wrapText="1"/>
    </xf>
    <xf numFmtId="0" fontId="0" fillId="19" borderId="19" xfId="0" applyFill="1" applyBorder="1" applyAlignment="1">
      <alignment horizontal="center" vertical="center"/>
    </xf>
    <xf numFmtId="0" fontId="0" fillId="19" borderId="44" xfId="0" applyFill="1" applyBorder="1" applyAlignment="1">
      <alignment horizontal="center" vertical="center"/>
    </xf>
    <xf numFmtId="0" fontId="0" fillId="19" borderId="20" xfId="0" applyFill="1" applyBorder="1" applyAlignment="1">
      <alignment horizontal="center" vertical="center"/>
    </xf>
    <xf numFmtId="0" fontId="3" fillId="9" borderId="0" xfId="0" applyFont="1" applyFill="1" applyAlignment="1">
      <alignment horizontal="center" vertical="center" wrapText="1"/>
    </xf>
    <xf numFmtId="0" fontId="31" fillId="13" borderId="19" xfId="0" applyFont="1" applyFill="1" applyBorder="1" applyAlignment="1">
      <alignment horizontal="center" vertical="center"/>
    </xf>
    <xf numFmtId="0" fontId="31" fillId="13" borderId="44" xfId="0" applyFont="1" applyFill="1" applyBorder="1" applyAlignment="1">
      <alignment horizontal="center" vertical="center"/>
    </xf>
    <xf numFmtId="0" fontId="31" fillId="13" borderId="20" xfId="0" applyFont="1" applyFill="1" applyBorder="1" applyAlignment="1">
      <alignment horizontal="center" vertical="center"/>
    </xf>
    <xf numFmtId="0" fontId="0" fillId="31" borderId="19" xfId="0" applyFill="1" applyBorder="1" applyAlignment="1">
      <alignment horizontal="center" vertical="center" wrapText="1"/>
    </xf>
    <xf numFmtId="0" fontId="0" fillId="31" borderId="44" xfId="0" applyFill="1" applyBorder="1" applyAlignment="1">
      <alignment horizontal="center" vertical="center" wrapText="1"/>
    </xf>
    <xf numFmtId="0" fontId="0" fillId="31" borderId="20" xfId="0" applyFill="1" applyBorder="1" applyAlignment="1">
      <alignment horizontal="center" vertical="center" wrapText="1"/>
    </xf>
    <xf numFmtId="0" fontId="0" fillId="17" borderId="19" xfId="0" applyFill="1" applyBorder="1" applyAlignment="1">
      <alignment horizontal="center" vertical="center" wrapText="1"/>
    </xf>
    <xf numFmtId="0" fontId="0" fillId="17" borderId="44" xfId="0" applyFill="1" applyBorder="1" applyAlignment="1">
      <alignment horizontal="center" vertical="center" wrapText="1"/>
    </xf>
    <xf numFmtId="0" fontId="0" fillId="17" borderId="20" xfId="0" applyFill="1" applyBorder="1" applyAlignment="1">
      <alignment horizontal="center" vertical="center" wrapText="1"/>
    </xf>
    <xf numFmtId="0" fontId="44" fillId="32" borderId="19" xfId="0" applyFont="1" applyFill="1" applyBorder="1" applyAlignment="1">
      <alignment horizontal="center" vertical="center" wrapText="1"/>
    </xf>
    <xf numFmtId="0" fontId="44" fillId="32" borderId="44" xfId="0" applyFont="1" applyFill="1" applyBorder="1" applyAlignment="1">
      <alignment horizontal="center" vertical="center" wrapText="1"/>
    </xf>
    <xf numFmtId="0" fontId="44" fillId="32" borderId="20" xfId="0" applyFont="1" applyFill="1" applyBorder="1" applyAlignment="1">
      <alignment horizontal="center" vertical="center" wrapText="1"/>
    </xf>
    <xf numFmtId="0" fontId="2" fillId="15" borderId="59" xfId="0" applyFont="1" applyFill="1" applyBorder="1" applyAlignment="1">
      <alignment horizontal="center" vertical="center" wrapText="1"/>
    </xf>
    <xf numFmtId="0" fontId="2" fillId="15" borderId="60" xfId="0" applyFont="1" applyFill="1" applyBorder="1" applyAlignment="1">
      <alignment horizontal="center" vertical="center" wrapText="1"/>
    </xf>
    <xf numFmtId="0" fontId="2" fillId="15" borderId="61" xfId="0" applyFont="1" applyFill="1" applyBorder="1" applyAlignment="1">
      <alignment horizontal="center" vertical="center" wrapText="1"/>
    </xf>
    <xf numFmtId="0" fontId="46" fillId="40" borderId="19" xfId="0" applyFont="1" applyFill="1" applyBorder="1" applyAlignment="1">
      <alignment horizontal="center" vertical="center" wrapText="1"/>
    </xf>
    <xf numFmtId="0" fontId="31" fillId="13" borderId="19" xfId="0" applyFont="1" applyFill="1" applyBorder="1" applyAlignment="1">
      <alignment horizontal="center" vertical="center" wrapText="1"/>
    </xf>
    <xf numFmtId="0" fontId="31" fillId="13" borderId="44" xfId="0" applyFont="1" applyFill="1" applyBorder="1" applyAlignment="1">
      <alignment horizontal="center" vertical="center" wrapText="1"/>
    </xf>
    <xf numFmtId="0" fontId="31" fillId="13" borderId="20" xfId="0" applyFont="1" applyFill="1" applyBorder="1" applyAlignment="1">
      <alignment horizontal="center" vertical="center" wrapText="1"/>
    </xf>
    <xf numFmtId="0" fontId="14" fillId="24" borderId="0" xfId="0" applyFont="1" applyFill="1" applyAlignment="1">
      <alignment horizontal="center" vertical="center"/>
    </xf>
    <xf numFmtId="0" fontId="0" fillId="16" borderId="0" xfId="0" applyFill="1" applyAlignment="1">
      <alignment horizontal="center" vertical="center"/>
    </xf>
    <xf numFmtId="0" fontId="0" fillId="40" borderId="19" xfId="0" applyFill="1" applyBorder="1" applyAlignment="1">
      <alignment horizontal="center" vertical="center" wrapText="1"/>
    </xf>
    <xf numFmtId="0" fontId="23" fillId="24" borderId="9" xfId="0" applyFont="1" applyFill="1" applyBorder="1" applyAlignment="1">
      <alignment horizontal="center" vertical="center"/>
    </xf>
    <xf numFmtId="0" fontId="23" fillId="24" borderId="11" xfId="0" applyFont="1" applyFill="1" applyBorder="1" applyAlignment="1">
      <alignment horizontal="center" vertical="center"/>
    </xf>
    <xf numFmtId="0" fontId="23" fillId="24" borderId="7" xfId="0" applyFont="1" applyFill="1" applyBorder="1" applyAlignment="1">
      <alignment horizontal="center" vertical="center"/>
    </xf>
    <xf numFmtId="0" fontId="23" fillId="13" borderId="7" xfId="0" applyFont="1" applyFill="1" applyBorder="1" applyAlignment="1">
      <alignment horizontal="center" vertical="center"/>
    </xf>
    <xf numFmtId="0" fontId="23" fillId="13" borderId="8" xfId="0" applyFont="1" applyFill="1" applyBorder="1" applyAlignment="1">
      <alignment horizontal="center" vertical="center"/>
    </xf>
    <xf numFmtId="0" fontId="23" fillId="13" borderId="9" xfId="0" applyFont="1" applyFill="1" applyBorder="1" applyAlignment="1">
      <alignment horizontal="center" vertical="center"/>
    </xf>
    <xf numFmtId="0" fontId="24" fillId="13" borderId="15" xfId="0" applyFont="1" applyFill="1" applyBorder="1" applyAlignment="1">
      <alignment horizontal="center" vertical="center"/>
    </xf>
    <xf numFmtId="0" fontId="24" fillId="13" borderId="16" xfId="0" applyFont="1" applyFill="1" applyBorder="1" applyAlignment="1">
      <alignment horizontal="center" vertical="center"/>
    </xf>
    <xf numFmtId="0" fontId="0" fillId="25" borderId="19" xfId="0" applyFill="1" applyBorder="1" applyAlignment="1">
      <alignment horizontal="left"/>
    </xf>
    <xf numFmtId="0" fontId="0" fillId="25" borderId="20" xfId="0" applyFill="1" applyBorder="1" applyAlignment="1">
      <alignment horizontal="left"/>
    </xf>
    <xf numFmtId="0" fontId="26" fillId="24" borderId="22" xfId="0" applyFont="1" applyFill="1" applyBorder="1" applyAlignment="1">
      <alignment horizontal="center" vertical="center"/>
    </xf>
    <xf numFmtId="0" fontId="26" fillId="24" borderId="23" xfId="0" applyFont="1" applyFill="1" applyBorder="1" applyAlignment="1">
      <alignment horizontal="center" vertical="center"/>
    </xf>
    <xf numFmtId="0" fontId="26" fillId="24" borderId="24" xfId="0" applyFont="1" applyFill="1" applyBorder="1" applyAlignment="1">
      <alignment horizontal="center" vertical="center"/>
    </xf>
    <xf numFmtId="0" fontId="23" fillId="24" borderId="10" xfId="0" applyFont="1" applyFill="1" applyBorder="1" applyAlignment="1">
      <alignment horizontal="center" vertical="center"/>
    </xf>
    <xf numFmtId="0" fontId="23" fillId="24" borderId="8" xfId="0" applyFont="1" applyFill="1" applyBorder="1" applyAlignment="1">
      <alignment horizontal="center" vertical="center"/>
    </xf>
    <xf numFmtId="0" fontId="26" fillId="28" borderId="22" xfId="0" applyFont="1" applyFill="1" applyBorder="1" applyAlignment="1">
      <alignment horizontal="center" vertical="center"/>
    </xf>
    <xf numFmtId="0" fontId="26" fillId="28" borderId="23" xfId="0" applyFont="1" applyFill="1" applyBorder="1" applyAlignment="1">
      <alignment horizontal="center" vertical="center"/>
    </xf>
    <xf numFmtId="0" fontId="0" fillId="17" borderId="19" xfId="0" applyFill="1" applyBorder="1" applyAlignment="1">
      <alignment horizontal="left"/>
    </xf>
    <xf numFmtId="0" fontId="0" fillId="17" borderId="20" xfId="0" applyFill="1" applyBorder="1" applyAlignment="1">
      <alignment horizontal="left"/>
    </xf>
    <xf numFmtId="0" fontId="30" fillId="17" borderId="25" xfId="0" applyFont="1" applyFill="1" applyBorder="1" applyAlignment="1">
      <alignment horizontal="center" vertical="center"/>
    </xf>
    <xf numFmtId="0" fontId="30" fillId="17" borderId="26" xfId="0" applyFont="1" applyFill="1" applyBorder="1" applyAlignment="1">
      <alignment horizontal="center" vertical="center"/>
    </xf>
    <xf numFmtId="0" fontId="30" fillId="17" borderId="27" xfId="0" applyFont="1" applyFill="1" applyBorder="1" applyAlignment="1">
      <alignment horizontal="center" vertical="center"/>
    </xf>
    <xf numFmtId="0" fontId="30" fillId="17" borderId="28" xfId="0" applyFont="1" applyFill="1" applyBorder="1" applyAlignment="1">
      <alignment horizontal="center" vertical="center"/>
    </xf>
    <xf numFmtId="0" fontId="30" fillId="17" borderId="0" xfId="0" applyFont="1" applyFill="1" applyAlignment="1">
      <alignment horizontal="center" vertical="center"/>
    </xf>
    <xf numFmtId="0" fontId="30" fillId="17" borderId="29" xfId="0" applyFont="1" applyFill="1" applyBorder="1" applyAlignment="1">
      <alignment horizontal="center" vertical="center"/>
    </xf>
    <xf numFmtId="0" fontId="30" fillId="17" borderId="30" xfId="0" applyFont="1" applyFill="1" applyBorder="1" applyAlignment="1">
      <alignment horizontal="center" vertical="center"/>
    </xf>
    <xf numFmtId="0" fontId="30" fillId="17" borderId="31" xfId="0" applyFont="1" applyFill="1" applyBorder="1" applyAlignment="1">
      <alignment horizontal="center" vertical="center"/>
    </xf>
    <xf numFmtId="0" fontId="30" fillId="17" borderId="32" xfId="0" applyFont="1" applyFill="1" applyBorder="1" applyAlignment="1">
      <alignment horizontal="center" vertical="center"/>
    </xf>
    <xf numFmtId="0" fontId="23" fillId="24" borderId="15" xfId="0" applyFont="1" applyFill="1" applyBorder="1" applyAlignment="1">
      <alignment horizontal="center" vertical="center"/>
    </xf>
    <xf numFmtId="0" fontId="23" fillId="24" borderId="16" xfId="0" applyFont="1" applyFill="1" applyBorder="1" applyAlignment="1">
      <alignment horizontal="center" vertical="center"/>
    </xf>
    <xf numFmtId="0" fontId="23" fillId="28" borderId="7" xfId="0" applyFont="1" applyFill="1" applyBorder="1" applyAlignment="1">
      <alignment horizontal="center" vertical="center"/>
    </xf>
    <xf numFmtId="0" fontId="23" fillId="28" borderId="9" xfId="0" applyFont="1" applyFill="1" applyBorder="1" applyAlignment="1">
      <alignment horizontal="center" vertical="center"/>
    </xf>
    <xf numFmtId="0" fontId="29" fillId="27" borderId="7" xfId="0" applyFont="1" applyFill="1" applyBorder="1" applyAlignment="1">
      <alignment horizontal="center" vertical="center" wrapText="1"/>
    </xf>
    <xf numFmtId="0" fontId="29" fillId="27" borderId="8" xfId="0" applyFont="1" applyFill="1" applyBorder="1" applyAlignment="1">
      <alignment horizontal="center" vertical="center" wrapText="1"/>
    </xf>
    <xf numFmtId="0" fontId="29" fillId="27" borderId="9" xfId="0" applyFont="1" applyFill="1" applyBorder="1" applyAlignment="1">
      <alignment horizontal="center" vertical="center" wrapText="1"/>
    </xf>
    <xf numFmtId="0" fontId="29" fillId="27" borderId="12" xfId="0" applyFont="1" applyFill="1" applyBorder="1" applyAlignment="1">
      <alignment horizontal="center" vertical="center" wrapText="1"/>
    </xf>
    <xf numFmtId="0" fontId="29" fillId="27" borderId="13" xfId="0" applyFont="1" applyFill="1" applyBorder="1" applyAlignment="1">
      <alignment horizontal="center" vertical="center" wrapText="1"/>
    </xf>
    <xf numFmtId="0" fontId="29" fillId="27" borderId="14" xfId="0" applyFont="1" applyFill="1" applyBorder="1" applyAlignment="1">
      <alignment horizontal="center" vertical="center" wrapText="1"/>
    </xf>
    <xf numFmtId="0" fontId="33" fillId="29" borderId="56" xfId="0" applyFont="1" applyFill="1" applyBorder="1" applyAlignment="1">
      <alignment horizontal="center" vertical="center"/>
    </xf>
    <xf numFmtId="0" fontId="33" fillId="29" borderId="20" xfId="0" applyFont="1" applyFill="1" applyBorder="1" applyAlignment="1">
      <alignment horizontal="center" vertical="center"/>
    </xf>
    <xf numFmtId="0" fontId="32" fillId="29" borderId="54" xfId="0" applyFont="1" applyFill="1" applyBorder="1" applyAlignment="1">
      <alignment horizontal="center" vertical="center"/>
    </xf>
    <xf numFmtId="0" fontId="32" fillId="29" borderId="55" xfId="0" applyFont="1" applyFill="1" applyBorder="1" applyAlignment="1">
      <alignment horizontal="center" vertical="center"/>
    </xf>
    <xf numFmtId="0" fontId="33" fillId="29" borderId="57" xfId="0" applyFont="1" applyFill="1" applyBorder="1" applyAlignment="1">
      <alignment horizontal="center" vertical="center"/>
    </xf>
    <xf numFmtId="0" fontId="33" fillId="29" borderId="58" xfId="0" applyFont="1" applyFill="1" applyBorder="1" applyAlignment="1">
      <alignment horizontal="center" vertical="center"/>
    </xf>
    <xf numFmtId="0" fontId="3" fillId="36" borderId="45" xfId="0" applyFont="1" applyFill="1" applyBorder="1" applyAlignment="1">
      <alignment horizontal="center" vertical="center" wrapText="1"/>
    </xf>
    <xf numFmtId="0" fontId="15" fillId="17" borderId="0" xfId="0" applyFont="1" applyFill="1" applyAlignment="1">
      <alignment horizontal="center"/>
    </xf>
    <xf numFmtId="0" fontId="40" fillId="16" borderId="43" xfId="0" applyFont="1" applyFill="1" applyBorder="1" applyAlignment="1">
      <alignment horizontal="left"/>
    </xf>
    <xf numFmtId="0" fontId="43" fillId="35" borderId="0" xfId="0" applyFont="1" applyFill="1" applyAlignment="1">
      <alignment horizontal="center" vertical="center"/>
    </xf>
    <xf numFmtId="0" fontId="43" fillId="34" borderId="0" xfId="0" applyFont="1" applyFill="1" applyAlignment="1">
      <alignment horizontal="center" vertical="center"/>
    </xf>
    <xf numFmtId="0" fontId="40" fillId="16" borderId="43" xfId="0" applyFont="1" applyFill="1" applyBorder="1" applyAlignment="1">
      <alignment horizontal="center"/>
    </xf>
    <xf numFmtId="0" fontId="48" fillId="14" borderId="43" xfId="0" applyFont="1" applyFill="1" applyBorder="1" applyAlignment="1">
      <alignment horizontal="center" vertical="center"/>
    </xf>
    <xf numFmtId="0" fontId="52" fillId="16" borderId="0" xfId="0" applyFont="1" applyFill="1" applyAlignment="1">
      <alignment horizontal="center"/>
    </xf>
    <xf numFmtId="0" fontId="42" fillId="33" borderId="0" xfId="0" applyFont="1" applyFill="1" applyAlignment="1">
      <alignment horizontal="center"/>
    </xf>
    <xf numFmtId="49" fontId="42" fillId="33" borderId="0" xfId="0" applyNumberFormat="1" applyFont="1" applyFill="1" applyAlignment="1">
      <alignment horizontal="center"/>
    </xf>
    <xf numFmtId="0" fontId="49" fillId="37" borderId="43" xfId="0" applyFont="1" applyFill="1" applyBorder="1" applyAlignment="1">
      <alignment horizontal="center" vertical="center" wrapText="1"/>
    </xf>
    <xf numFmtId="0" fontId="40" fillId="16" borderId="43" xfId="0" applyFont="1" applyFill="1" applyBorder="1" applyAlignment="1">
      <alignment horizontal="center" vertical="center" wrapText="1"/>
    </xf>
    <xf numFmtId="0" fontId="33" fillId="41" borderId="0" xfId="0" applyFont="1" applyFill="1" applyAlignment="1">
      <alignment horizontal="center" vertical="center"/>
    </xf>
    <xf numFmtId="0" fontId="40" fillId="16" borderId="0" xfId="0" applyFont="1" applyFill="1" applyAlignment="1">
      <alignment horizontal="center" vertical="center"/>
    </xf>
    <xf numFmtId="0" fontId="51" fillId="43" borderId="43" xfId="0" applyFont="1" applyFill="1" applyBorder="1" applyAlignment="1">
      <alignment horizontal="center" vertical="center"/>
    </xf>
  </cellXfs>
  <cellStyles count="20">
    <cellStyle name="Accent" xfId="2" xr:uid="{8C12F157-22BF-124B-9F04-A9A081ECCBD3}"/>
    <cellStyle name="Accent 1" xfId="3" xr:uid="{8DCD8EFD-20B5-AB4C-8AD8-EB2E89BDD5D7}"/>
    <cellStyle name="Accent 2" xfId="4" xr:uid="{B027E7AF-424D-C546-BD69-7C0197AEA27D}"/>
    <cellStyle name="Accent 3" xfId="5" xr:uid="{06B1FF66-3D81-6E4E-B2E4-BA3CE91BB304}"/>
    <cellStyle name="Bad" xfId="6" xr:uid="{9A93CDE5-6292-7547-8439-9F83957B6859}"/>
    <cellStyle name="Default" xfId="7" xr:uid="{3EA4C102-0006-144E-83D8-2F30B7508219}"/>
    <cellStyle name="Error" xfId="8" xr:uid="{E066EB68-CDCD-9048-B459-AE828F59D0C4}"/>
    <cellStyle name="Footnote" xfId="9" xr:uid="{E1E18FDE-483F-F542-A946-4F45F7525905}"/>
    <cellStyle name="Good" xfId="10" xr:uid="{21394188-21FB-3A43-9703-34A8D42018DB}"/>
    <cellStyle name="Heading" xfId="11" xr:uid="{B364513B-33A0-014A-89B1-E55944610CA2}"/>
    <cellStyle name="Heading 1" xfId="12" xr:uid="{0EE0E936-C758-0B44-9F27-789928325B08}"/>
    <cellStyle name="Heading 2" xfId="13" xr:uid="{7AE4B235-21C7-5947-87E0-4950636FB9EE}"/>
    <cellStyle name="Hyperlink" xfId="14" xr:uid="{41A47067-0371-B34F-8BDE-626941C1C272}"/>
    <cellStyle name="Neutral" xfId="15" xr:uid="{91968EE9-A5AB-3445-B5DE-BE9C4F12C291}"/>
    <cellStyle name="Normal" xfId="0" builtinId="0" customBuiltin="1"/>
    <cellStyle name="Note" xfId="1" builtinId="10" customBuiltin="1"/>
    <cellStyle name="Result" xfId="16" xr:uid="{04692970-0A81-1B49-8746-D22CF300A1F0}"/>
    <cellStyle name="Status" xfId="17" xr:uid="{6CCD03E5-A06D-F746-A833-D47355A84455}"/>
    <cellStyle name="Text" xfId="18" xr:uid="{C4A568BA-FC23-8B42-9BEE-9EAF5F500DA4}"/>
    <cellStyle name="Warning" xfId="19" xr:uid="{6A33F19D-67C6-944A-B305-C1DB496A8BAE}"/>
  </cellStyles>
  <dxfs count="73">
    <dxf>
      <alignment horizontal="center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auto="1"/>
        </patternFill>
      </fill>
    </dxf>
    <dxf>
      <border outline="0">
        <top style="thin">
          <color theme="4" tint="0.39997558519241921"/>
        </top>
      </border>
    </dxf>
    <dxf>
      <border outline="0">
        <left style="thin">
          <color theme="4" tint="0.39997558519241921"/>
        </left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auto="1"/>
        </patternFill>
      </fill>
    </dxf>
    <dxf>
      <border outline="0"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rlito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border outline="0">
        <top style="thin">
          <color theme="4" tint="0.39997558519241921"/>
        </top>
      </border>
    </dxf>
    <dxf>
      <border outline="0">
        <left style="thin">
          <color theme="4" tint="0.39997558519241921"/>
        </left>
        <top style="thin">
          <color theme="4" tint="0.39997558519241921"/>
        </top>
        <bottom style="thin">
          <color theme="4" tint="0.39997558519241921"/>
        </bottom>
      </border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Carlito"/>
        <scheme val="none"/>
      </font>
      <fill>
        <patternFill patternType="solid">
          <fgColor indexed="64"/>
          <bgColor rgb="FF1F4E78"/>
        </patternFill>
      </fill>
      <alignment horizontal="center" vertical="center" textRotation="0" wrapText="1" indent="0" justifyLastLine="0" shrinkToFit="0" readingOrder="0"/>
    </dxf>
    <dxf>
      <border outline="0">
        <top style="thin">
          <color theme="4" tint="0.39997558519241921"/>
        </top>
      </border>
    </dxf>
    <dxf>
      <border outline="0">
        <left style="thin">
          <color theme="4" tint="0.39997558519241921"/>
        </left>
        <top style="thin">
          <color theme="4" tint="0.39997558519241921"/>
        </top>
        <bottom style="thin">
          <color theme="4" tint="0.39997558519241921"/>
        </bottom>
      </border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Carlito"/>
        <scheme val="none"/>
      </font>
      <fill>
        <patternFill patternType="solid">
          <fgColor indexed="64"/>
          <bgColor rgb="FF1F4E78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rlito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1" indent="0" justifyLastLine="0" shrinkToFit="0" readingOrder="0"/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rlito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1" indent="0" justifyLastLine="0" shrinkToFit="0" readingOrder="0"/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border outline="0">
        <top style="thin">
          <color theme="4" tint="0.39997558519241921"/>
        </top>
      </border>
    </dxf>
    <dxf>
      <border outline="0">
        <left style="thin">
          <color theme="4" tint="0.39997558519241921"/>
        </left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rlito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1" indent="0" justifyLastLine="0" shrinkToFit="0" readingOrder="0"/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Carlito"/>
        <scheme val="none"/>
      </font>
      <fill>
        <patternFill patternType="solid">
          <fgColor indexed="64"/>
          <bgColor rgb="FF1F4E78"/>
        </patternFill>
      </fill>
      <alignment horizontal="center" vertical="center" textRotation="0" wrapText="1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65" formatCode="[m]:ss"/>
    </dxf>
    <dxf>
      <numFmt numFmtId="165" formatCode="[m]:ss"/>
    </dxf>
    <dxf>
      <border>
        <bottom style="thin">
          <color rgb="FFED7D31"/>
        </bottom>
      </border>
    </dxf>
    <dxf>
      <fill>
        <patternFill>
          <bgColor rgb="FFFCE4D6"/>
        </patternFill>
      </fill>
      <border>
        <bottom style="thin">
          <color rgb="FFED7D31"/>
        </bottom>
      </border>
    </dxf>
    <dxf>
      <font>
        <b/>
        <i val="0"/>
        <color rgb="FFFFFFFF"/>
      </font>
      <fill>
        <patternFill>
          <bgColor rgb="FF008000"/>
        </patternFill>
      </fill>
    </dxf>
    <dxf>
      <font>
        <b/>
        <i val="0"/>
        <color rgb="FFFFFFFF"/>
      </font>
      <fill>
        <patternFill>
          <bgColor rgb="FFC00000"/>
        </patternFill>
      </fill>
    </dxf>
    <dxf>
      <border>
        <bottom style="thin">
          <color rgb="FF4472C4"/>
        </bottom>
      </border>
    </dxf>
    <dxf>
      <fill>
        <patternFill>
          <bgColor rgb="FFD9E2F3"/>
        </patternFill>
      </fill>
      <border>
        <bottom style="thin">
          <color rgb="FF4472C4"/>
        </bottom>
      </border>
    </dxf>
    <dxf>
      <font>
        <b/>
        <i val="0"/>
        <color rgb="FFFFFFFF"/>
      </font>
      <fill>
        <patternFill>
          <bgColor rgb="FFC00000"/>
        </patternFill>
      </fill>
    </dxf>
    <dxf>
      <font>
        <b/>
        <i val="0"/>
        <color rgb="FFFFFFFF"/>
      </font>
      <fill>
        <patternFill>
          <bgColor rgb="FF0070C0"/>
        </patternFill>
      </fill>
    </dxf>
    <dxf>
      <font>
        <b/>
        <i val="0"/>
        <color rgb="FFFFFFFF"/>
      </font>
      <fill>
        <patternFill>
          <bgColor rgb="FF008000"/>
        </patternFill>
      </fill>
    </dxf>
    <dxf>
      <font>
        <b/>
        <i val="0"/>
        <color rgb="FFFFFFFF"/>
      </font>
      <fill>
        <patternFill>
          <bgColor rgb="FFC00000"/>
        </patternFill>
      </fill>
    </dxf>
    <dxf>
      <font>
        <strike val="0"/>
        <color auto="1"/>
      </font>
      <fill>
        <patternFill>
          <fgColor auto="1"/>
          <bgColor theme="9" tint="0.79995117038483843"/>
        </patternFill>
      </fill>
    </dxf>
    <dxf>
      <font>
        <strike val="0"/>
        <color auto="1"/>
      </font>
      <fill>
        <patternFill>
          <fgColor auto="1"/>
          <bgColor theme="9" tint="0.79995117038483843"/>
        </patternFill>
      </fill>
    </dxf>
    <dxf>
      <font>
        <strike val="0"/>
        <color auto="1"/>
      </font>
      <fill>
        <patternFill>
          <fgColor auto="1"/>
          <bgColor theme="9" tint="0.79995117038483843"/>
        </patternFill>
      </fill>
    </dxf>
    <dxf>
      <font>
        <strike val="0"/>
        <color auto="1"/>
      </font>
      <fill>
        <patternFill>
          <fgColor auto="1"/>
          <bgColor theme="9" tint="0.79995117038483843"/>
        </patternFill>
      </fill>
    </dxf>
    <dxf>
      <font>
        <strike val="0"/>
        <color auto="1"/>
      </font>
      <fill>
        <patternFill>
          <fgColor auto="1"/>
          <bgColor theme="9" tint="0.79995117038483843"/>
        </patternFill>
      </fill>
    </dxf>
    <dxf>
      <font>
        <strike val="0"/>
        <color auto="1"/>
      </font>
      <fill>
        <patternFill>
          <fgColor auto="1"/>
          <bgColor theme="9" tint="0.79995117038483843"/>
        </patternFill>
      </fill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Liberation Serif"/>
        <scheme val="none"/>
      </font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Liberation Serif"/>
        <scheme val="none"/>
      </font>
      <fill>
        <patternFill patternType="none">
          <fgColor indexed="64"/>
          <bgColor auto="1"/>
        </patternFill>
      </fill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Liberation Serif"/>
        <scheme val="none"/>
      </font>
      <fill>
        <patternFill patternType="none">
          <fgColor indexed="64"/>
          <bgColor auto="1"/>
        </patternFill>
      </fill>
      <alignment horizontal="general" vertical="bottom" textRotation="0" wrapText="1" indent="0" justifyLastLine="0" shrinkToFit="0" readingOrder="0"/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numFmt numFmtId="19" formatCode="dd/mm/yyyy"/>
    </dxf>
    <dxf>
      <numFmt numFmtId="27" formatCode="dd/mm/yyyy\ hh:mm"/>
    </dxf>
    <dxf>
      <numFmt numFmtId="165" formatCode="[m]:ss"/>
    </dxf>
  </dxfs>
  <tableStyles count="0" defaultTableStyle="TableStyleMedium2" defaultPivotStyle="PivotStyleLight16"/>
  <colors>
    <mruColors>
      <color rgb="FF4DA72E"/>
      <color rgb="FFDBF2D1"/>
      <color rgb="FF0FDF27"/>
      <color rgb="FF3C8224"/>
      <color rgb="FF54E8DD"/>
      <color rgb="FF00FFEA"/>
      <color rgb="FFFF93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eetMetadata" Target="metadata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Duree des sequences de possession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Nous</c:v>
          </c:tx>
          <c:spPr>
            <a:solidFill>
              <a:srgbClr val="008000"/>
            </a:solidFill>
            <a:ln>
              <a:solidFill>
                <a:srgbClr val="008000"/>
              </a:solidFill>
            </a:ln>
          </c:spPr>
          <c:invertIfNegative val="0"/>
          <c:cat>
            <c:strRef>
              <c:f>'Stats match'!$B$95:$B$99</c:f>
              <c:strCache>
                <c:ptCount val="5"/>
                <c:pt idx="0">
                  <c:v>0-20 s</c:v>
                </c:pt>
                <c:pt idx="1">
                  <c:v>20-40 s</c:v>
                </c:pt>
                <c:pt idx="2">
                  <c:v>40-60 s</c:v>
                </c:pt>
                <c:pt idx="3">
                  <c:v>60-90 s</c:v>
                </c:pt>
                <c:pt idx="4">
                  <c:v>&gt;90 s</c:v>
                </c:pt>
              </c:strCache>
            </c:strRef>
          </c:cat>
          <c:val>
            <c:numRef>
              <c:f>'Stats match'!$C$95:$C$99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FED-B146-A99A-1C542D26BA81}"/>
            </c:ext>
          </c:extLst>
        </c:ser>
        <c:ser>
          <c:idx val="1"/>
          <c:order val="1"/>
          <c:tx>
            <c:v>Adversaire</c:v>
          </c:tx>
          <c:spPr>
            <a:solidFill>
              <a:srgbClr val="000000"/>
            </a:solidFill>
            <a:ln>
              <a:solidFill>
                <a:srgbClr val="000000"/>
              </a:solidFill>
            </a:ln>
          </c:spPr>
          <c:invertIfNegative val="0"/>
          <c:cat>
            <c:strRef>
              <c:f>'Stats match'!$B$95:$B$99</c:f>
              <c:strCache>
                <c:ptCount val="5"/>
                <c:pt idx="0">
                  <c:v>0-20 s</c:v>
                </c:pt>
                <c:pt idx="1">
                  <c:v>20-40 s</c:v>
                </c:pt>
                <c:pt idx="2">
                  <c:v>40-60 s</c:v>
                </c:pt>
                <c:pt idx="3">
                  <c:v>60-90 s</c:v>
                </c:pt>
                <c:pt idx="4">
                  <c:v>&gt;90 s</c:v>
                </c:pt>
              </c:strCache>
            </c:strRef>
          </c:cat>
          <c:val>
            <c:numRef>
              <c:f>'Stats match'!$D$95:$D$99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FED-B146-A99A-1C542D26BA8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126551936"/>
        <c:axId val="1126548800"/>
      </c:barChart>
      <c:catAx>
        <c:axId val="11265519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126548800"/>
        <c:crosses val="autoZero"/>
        <c:auto val="1"/>
        <c:lblAlgn val="ctr"/>
        <c:lblOffset val="100"/>
        <c:noMultiLvlLbl val="0"/>
      </c:catAx>
      <c:valAx>
        <c:axId val="1126548800"/>
        <c:scaling>
          <c:orientation val="minMax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Nombre de sequences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126551936"/>
        <c:crosses val="autoZero"/>
        <c:crossBetween val="between"/>
        <c:majorUnit val="5"/>
      </c:valAx>
    </c:plotArea>
    <c:legend>
      <c:legendPos val="b"/>
      <c:overlay val="0"/>
    </c:legend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254000</xdr:colOff>
      <xdr:row>1</xdr:row>
      <xdr:rowOff>139700</xdr:rowOff>
    </xdr:from>
    <xdr:to>
      <xdr:col>7</xdr:col>
      <xdr:colOff>812800</xdr:colOff>
      <xdr:row>4</xdr:row>
      <xdr:rowOff>63500</xdr:rowOff>
    </xdr:to>
    <xdr:sp macro="[0]!OuvrirPopupAjouterJoueur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0A1727F0-87D1-5F11-DE28-7A3735B5631B}"/>
            </a:ext>
          </a:extLst>
        </xdr:cNvPr>
        <xdr:cNvSpPr/>
      </xdr:nvSpPr>
      <xdr:spPr>
        <a:xfrm>
          <a:off x="6426200" y="304800"/>
          <a:ext cx="1384300" cy="419100"/>
        </a:xfrm>
        <a:prstGeom prst="roundRect">
          <a:avLst/>
        </a:prstGeom>
        <a:solidFill>
          <a:srgbClr val="4DA72E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 b="1"/>
            <a:t>Ajouter</a:t>
          </a:r>
          <a:r>
            <a:rPr lang="fr-FR" sz="1100" b="1" baseline="0"/>
            <a:t> un joueur</a:t>
          </a:r>
          <a:endParaRPr lang="fr-FR" sz="1100" b="1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76200</xdr:colOff>
      <xdr:row>23</xdr:row>
      <xdr:rowOff>25400</xdr:rowOff>
    </xdr:from>
    <xdr:to>
      <xdr:col>2</xdr:col>
      <xdr:colOff>1612900</xdr:colOff>
      <xdr:row>25</xdr:row>
      <xdr:rowOff>139700</xdr:rowOff>
    </xdr:to>
    <xdr:sp macro="[0]!CreerFichierMatch" textlink="">
      <xdr:nvSpPr>
        <xdr:cNvPr id="2" name="BTN_CREER_FICHIER_MATCH">
          <a:extLst>
            <a:ext uri="{FF2B5EF4-FFF2-40B4-BE49-F238E27FC236}">
              <a16:creationId xmlns:a16="http://schemas.microsoft.com/office/drawing/2014/main" id="{37B50303-B735-E35D-5822-7750849B5A6B}"/>
            </a:ext>
          </a:extLst>
        </xdr:cNvPr>
        <xdr:cNvSpPr/>
      </xdr:nvSpPr>
      <xdr:spPr>
        <a:xfrm>
          <a:off x="711200" y="4064000"/>
          <a:ext cx="2895600" cy="444500"/>
        </a:xfrm>
        <a:prstGeom prst="roundRect">
          <a:avLst/>
        </a:prstGeom>
        <a:solidFill>
          <a:srgbClr val="4DA72E"/>
        </a:solidFill>
        <a:ln>
          <a:solidFill>
            <a:srgbClr val="4DA72E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600"/>
            <a:t>Créer le fichier de match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0</xdr:colOff>
      <xdr:row>28</xdr:row>
      <xdr:rowOff>222250</xdr:rowOff>
    </xdr:from>
    <xdr:to>
      <xdr:col>17</xdr:col>
      <xdr:colOff>50800</xdr:colOff>
      <xdr:row>28</xdr:row>
      <xdr:rowOff>920750</xdr:rowOff>
    </xdr:to>
    <xdr:sp macro="[0]!ConnecterVideo" textlink="">
      <xdr:nvSpPr>
        <xdr:cNvPr id="2" name="BTN_CONNECTER_VIDEO">
          <a:extLst>
            <a:ext uri="{FF2B5EF4-FFF2-40B4-BE49-F238E27FC236}">
              <a16:creationId xmlns:a16="http://schemas.microsoft.com/office/drawing/2014/main" id="{FC82E7DA-7143-9244-8319-DD90B3A9674E}"/>
            </a:ext>
          </a:extLst>
        </xdr:cNvPr>
        <xdr:cNvSpPr>
          <a:spLocks/>
        </xdr:cNvSpPr>
      </xdr:nvSpPr>
      <xdr:spPr>
        <a:xfrm>
          <a:off x="254000" y="7016750"/>
          <a:ext cx="1765300" cy="698500"/>
        </a:xfrm>
        <a:prstGeom prst="roundRect">
          <a:avLst/>
        </a:prstGeom>
        <a:solidFill>
          <a:srgbClr val="2F7E20"/>
        </a:solidFill>
        <a:ln>
          <a:solidFill>
            <a:srgbClr val="1F5A15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fr-FR" sz="1600">
              <a:solidFill>
                <a:srgbClr val="FFFFFF"/>
              </a:solidFill>
              <a:latin typeface="+mn-lt"/>
              <a:ea typeface="+mn-ea"/>
              <a:cs typeface="+mn-cs"/>
            </a:rPr>
            <a:t>Connecter lecteur vidéo</a:t>
          </a:r>
        </a:p>
      </xdr:txBody>
    </xdr:sp>
    <xdr:clientData/>
  </xdr:twoCellAnchor>
  <xdr:twoCellAnchor editAs="absolute">
    <xdr:from>
      <xdr:col>21</xdr:col>
      <xdr:colOff>25400</xdr:colOff>
      <xdr:row>28</xdr:row>
      <xdr:rowOff>177800</xdr:rowOff>
    </xdr:from>
    <xdr:to>
      <xdr:col>48</xdr:col>
      <xdr:colOff>63500</xdr:colOff>
      <xdr:row>28</xdr:row>
      <xdr:rowOff>1117600</xdr:rowOff>
    </xdr:to>
    <xdr:sp macro="" textlink="">
      <xdr:nvSpPr>
        <xdr:cNvPr id="3" name="ETAT_CONNEXION_VIDEO">
          <a:extLst>
            <a:ext uri="{FF2B5EF4-FFF2-40B4-BE49-F238E27FC236}">
              <a16:creationId xmlns:a16="http://schemas.microsoft.com/office/drawing/2014/main" id="{98B939E8-AC03-1E46-8B78-5DC0844DC765}"/>
            </a:ext>
          </a:extLst>
        </xdr:cNvPr>
        <xdr:cNvSpPr>
          <a:spLocks/>
        </xdr:cNvSpPr>
      </xdr:nvSpPr>
      <xdr:spPr>
        <a:xfrm>
          <a:off x="2451100" y="6972300"/>
          <a:ext cx="3124200" cy="939800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FR" sz="1100">
              <a:solidFill>
                <a:schemeClr val="tx1"/>
              </a:solidFill>
            </a:rPr>
            <a:t>Aucun lecteur connecté
</a:t>
          </a:r>
        </a:p>
        <a:p>
          <a:pPr algn="l"/>
          <a:r>
            <a:rPr lang="fr-FR" sz="1100">
              <a:solidFill>
                <a:schemeClr val="tx1"/>
              </a:solidFill>
            </a:rPr>
            <a:t>Cliquez sur Connecter lorsque votre vidéo est prête.</a:t>
          </a:r>
        </a:p>
      </xdr:txBody>
    </xdr:sp>
    <xdr:clientData/>
  </xdr:twoCellAnchor>
  <xdr:twoCellAnchor editAs="absolute">
    <xdr:from>
      <xdr:col>19</xdr:col>
      <xdr:colOff>76200</xdr:colOff>
      <xdr:row>28</xdr:row>
      <xdr:rowOff>279400</xdr:rowOff>
    </xdr:from>
    <xdr:to>
      <xdr:col>21</xdr:col>
      <xdr:colOff>29583</xdr:colOff>
      <xdr:row>28</xdr:row>
      <xdr:rowOff>453136</xdr:rowOff>
    </xdr:to>
    <xdr:sp macro="" textlink="">
      <xdr:nvSpPr>
        <xdr:cNvPr id="4" name="PASTILLE_CONNEXION_VIDEO">
          <a:extLst>
            <a:ext uri="{FF2B5EF4-FFF2-40B4-BE49-F238E27FC236}">
              <a16:creationId xmlns:a16="http://schemas.microsoft.com/office/drawing/2014/main" id="{62BF7106-59C4-2C46-B850-2E01299234BA}"/>
            </a:ext>
          </a:extLst>
        </xdr:cNvPr>
        <xdr:cNvSpPr>
          <a:spLocks noChangeAspect="1"/>
        </xdr:cNvSpPr>
      </xdr:nvSpPr>
      <xdr:spPr>
        <a:xfrm>
          <a:off x="2273300" y="7073900"/>
          <a:ext cx="181983" cy="173736"/>
        </a:xfrm>
        <a:prstGeom prst="ellipse">
          <a:avLst/>
        </a:prstGeom>
        <a:solidFill>
          <a:srgbClr val="DC3545"/>
        </a:solidFill>
        <a:ln>
          <a:solidFill>
            <a:srgbClr val="DC3545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52</xdr:col>
      <xdr:colOff>0</xdr:colOff>
      <xdr:row>0</xdr:row>
      <xdr:rowOff>0</xdr:rowOff>
    </xdr:from>
    <xdr:to>
      <xdr:col>56</xdr:col>
      <xdr:colOff>0</xdr:colOff>
      <xdr:row>1</xdr:row>
      <xdr:rowOff>12700</xdr:rowOff>
    </xdr:to>
    <xdr:sp macro="[0]!BasculerDispositionSaisieVideo" textlink="">
      <xdr:nvSpPr>
        <xdr:cNvPr id="5" name="BTN_SWITCH_MODE">
          <a:extLst>
            <a:ext uri="{FF2B5EF4-FFF2-40B4-BE49-F238E27FC236}">
              <a16:creationId xmlns:a16="http://schemas.microsoft.com/office/drawing/2014/main" id="{2A3F7744-FEBC-BFBB-5528-5BE59A147EC0}"/>
            </a:ext>
          </a:extLst>
        </xdr:cNvPr>
        <xdr:cNvSpPr>
          <a:spLocks/>
        </xdr:cNvSpPr>
      </xdr:nvSpPr>
      <xdr:spPr>
        <a:xfrm>
          <a:off x="7531100" y="0"/>
          <a:ext cx="558800" cy="508000"/>
        </a:xfrm>
        <a:prstGeom prst="roundRect">
          <a:avLst/>
        </a:prstGeom>
        <a:solidFill>
          <a:srgbClr val="4DA72E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800" b="1">
              <a:solidFill>
                <a:schemeClr val="lt1"/>
              </a:solidFill>
              <a:latin typeface="+mn-lt"/>
              <a:ea typeface="+mn-ea"/>
              <a:cs typeface="+mn-cs"/>
            </a:rPr>
            <a:t>Mode bandeau</a:t>
          </a:r>
          <a:endParaRPr lang="fr-FR" sz="1800" b="1">
            <a:solidFill>
              <a:schemeClr val="bg1"/>
            </a:solidFill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625324</xdr:colOff>
      <xdr:row>51</xdr:row>
      <xdr:rowOff>25399</xdr:rowOff>
    </xdr:from>
    <xdr:to>
      <xdr:col>8</xdr:col>
      <xdr:colOff>482600</xdr:colOff>
      <xdr:row>54</xdr:row>
      <xdr:rowOff>55638</xdr:rowOff>
    </xdr:to>
    <xdr:sp macro="[0]!RecalculerStatsMatch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3CC72E9A-2D51-FBBA-34A2-1C922211E546}"/>
            </a:ext>
          </a:extLst>
        </xdr:cNvPr>
        <xdr:cNvSpPr/>
      </xdr:nvSpPr>
      <xdr:spPr>
        <a:xfrm>
          <a:off x="4828419" y="8250161"/>
          <a:ext cx="2427514" cy="483810"/>
        </a:xfrm>
        <a:prstGeom prst="roundRect">
          <a:avLst/>
        </a:prstGeom>
      </xdr:spPr>
      <xdr:style>
        <a:lnRef idx="2">
          <a:schemeClr val="accent6">
            <a:shade val="15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200" b="1"/>
            <a:t>Recalculer les temps de jeu effectis</a:t>
          </a:r>
        </a:p>
      </xdr:txBody>
    </xdr:sp>
    <xdr:clientData/>
  </xdr:twoCellAnchor>
  <xdr:twoCellAnchor>
    <xdr:from>
      <xdr:col>1</xdr:col>
      <xdr:colOff>0</xdr:colOff>
      <xdr:row>111</xdr:row>
      <xdr:rowOff>0</xdr:rowOff>
    </xdr:from>
    <xdr:to>
      <xdr:col>7</xdr:col>
      <xdr:colOff>647700</xdr:colOff>
      <xdr:row>134</xdr:row>
      <xdr:rowOff>12700</xdr:rowOff>
    </xdr:to>
    <xdr:graphicFrame macro="">
      <xdr:nvGraphicFramePr>
        <xdr:cNvPr id="3" name="GRAPHIQUE_SEQUENCES_POSSESSION">
          <a:extLst>
            <a:ext uri="{FF2B5EF4-FFF2-40B4-BE49-F238E27FC236}">
              <a16:creationId xmlns:a16="http://schemas.microsoft.com/office/drawing/2014/main" id="{B6BE3CFF-08A2-1053-FD33-0294D859819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279399</xdr:colOff>
      <xdr:row>7</xdr:row>
      <xdr:rowOff>0</xdr:rowOff>
    </xdr:from>
    <xdr:to>
      <xdr:col>6</xdr:col>
      <xdr:colOff>44632</xdr:colOff>
      <xdr:row>9</xdr:row>
      <xdr:rowOff>38100</xdr:rowOff>
    </xdr:to>
    <xdr:sp macro="[0]!ValiderPopupAjouterJoueur" textlink="">
      <xdr:nvSpPr>
        <xdr:cNvPr id="2" name="BTN_POPUP_AJOUTER">
          <a:extLst>
            <a:ext uri="{FF2B5EF4-FFF2-40B4-BE49-F238E27FC236}">
              <a16:creationId xmlns:a16="http://schemas.microsoft.com/office/drawing/2014/main" id="{84505B72-C8D7-5167-1ECD-9992154343A8}"/>
            </a:ext>
          </a:extLst>
        </xdr:cNvPr>
        <xdr:cNvSpPr/>
      </xdr:nvSpPr>
      <xdr:spPr>
        <a:xfrm>
          <a:off x="8925949" y="4337476"/>
          <a:ext cx="682229" cy="370816"/>
        </a:xfrm>
        <a:prstGeom prst="roundRect">
          <a:avLst/>
        </a:prstGeom>
        <a:solidFill>
          <a:srgbClr val="4DA72E"/>
        </a:solidFill>
        <a:ln w="508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50800" cap="flat" cmpd="sng" algn="ctr">
              <a:solidFill>
                <a:srgbClr val="000000"/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Ajouter</a:t>
          </a:r>
        </a:p>
      </xdr:txBody>
    </xdr:sp>
    <xdr:clientData/>
  </xdr:twoCellAnchor>
  <xdr:twoCellAnchor>
    <xdr:from>
      <xdr:col>4</xdr:col>
      <xdr:colOff>266699</xdr:colOff>
      <xdr:row>10</xdr:row>
      <xdr:rowOff>25400</xdr:rowOff>
    </xdr:from>
    <xdr:to>
      <xdr:col>6</xdr:col>
      <xdr:colOff>48690</xdr:colOff>
      <xdr:row>11</xdr:row>
      <xdr:rowOff>166358</xdr:rowOff>
    </xdr:to>
    <xdr:sp macro="[0]!AnnulerPopupAjouterJoueur" textlink="">
      <xdr:nvSpPr>
        <xdr:cNvPr id="3" name="BTN_POPUP_ANNULER">
          <a:extLst>
            <a:ext uri="{FF2B5EF4-FFF2-40B4-BE49-F238E27FC236}">
              <a16:creationId xmlns:a16="http://schemas.microsoft.com/office/drawing/2014/main" id="{7646DF26-71D5-9669-4481-8D76D5C583E5}"/>
            </a:ext>
          </a:extLst>
        </xdr:cNvPr>
        <xdr:cNvSpPr/>
      </xdr:nvSpPr>
      <xdr:spPr>
        <a:xfrm>
          <a:off x="8913249" y="4861950"/>
          <a:ext cx="698987" cy="307315"/>
        </a:xfrm>
        <a:prstGeom prst="roundRect">
          <a:avLst/>
        </a:prstGeom>
        <a:solidFill>
          <a:schemeClr val="accent1"/>
        </a:solidFill>
        <a:ln w="508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50800" cap="flat" cmpd="sng" algn="ctr">
              <a:solidFill>
                <a:srgbClr val="000000"/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Annuler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BC8D92C-BAC5-B84A-942F-9991F3427889}" name="LstEffectif" displayName="LstEffectif" ref="A1:F72" totalsRowShown="0" headerRowDxfId="69" dataDxfId="68">
  <autoFilter ref="A1:F72" xr:uid="{DBC8D92C-BAC5-B84A-942F-9991F3427889}"/>
  <sortState xmlns:xlrd2="http://schemas.microsoft.com/office/spreadsheetml/2017/richdata2" ref="A2:F72">
    <sortCondition ref="B1:B72"/>
  </sortState>
  <tableColumns count="6">
    <tableColumn id="1" xr3:uid="{85EDFBC5-8A9C-C242-B7F2-D31BF1334751}" name="id" dataDxfId="67"/>
    <tableColumn id="2" xr3:uid="{0C1B8A30-A3B8-DA4D-B893-C4C99FF33E90}" name="nom" dataDxfId="66"/>
    <tableColumn id="3" xr3:uid="{8AE5AF32-0026-9B41-8B0B-16B9ED0F3727}" name="prenom" dataDxfId="65"/>
    <tableColumn id="6" xr3:uid="{D5D3A7D0-7C7D-684B-8AA7-DABBCC7051CF}" name="1ère ligne" dataDxfId="64"/>
    <tableColumn id="4" xr3:uid="{4CE41A86-7158-6B42-B932-A5275F10AB48}" name="prenom NOM" dataDxfId="63">
      <calculatedColumnFormula>LstEffectif[[#This Row],[prenom]] &amp; " " &amp; LstEffectif[[#This Row],[nom]]</calculatedColumnFormula>
    </tableColumn>
    <tableColumn id="5" xr3:uid="{EB017694-E6D2-7440-91BF-61113926AB7D}" name="NOM Prénom" dataDxfId="62">
      <calculatedColumnFormula>LstEffectif[[#This Row],[nom]] &amp; " " &amp; LstEffectif[[#This Row],[prenom]]</calculatedColumnFormula>
    </tableColumn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37D6424-D1EC-894D-B963-D36ABCA682C4}" name="LstEquipesPoule" displayName="LstEquipesPoule" ref="J1:J11" totalsRowShown="0" headerRowDxfId="61" dataDxfId="60">
  <autoFilter ref="J1:J11" xr:uid="{037D6424-D1EC-894D-B963-D36ABCA682C4}"/>
  <tableColumns count="1">
    <tableColumn id="1" xr3:uid="{63806632-B9ED-294D-800A-F2FDB2EC48D2}" name="EQUIPES_A_AFFRONTER" dataDxfId="59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D3756BE4-92E7-4947-91EF-BBE57EFF13F8}" name="COMPO" displayName="COMPO" ref="E6:H29" totalsRowShown="0" tableBorderDxfId="58">
  <autoFilter ref="E6:H29" xr:uid="{D3756BE4-92E7-4947-91EF-BBE57EFF13F8}"/>
  <tableColumns count="4">
    <tableColumn id="1" xr3:uid="{EA03E9A9-04D0-3047-BC15-336318EE9B9D}" name="Poste"/>
    <tableColumn id="2" xr3:uid="{856A43E9-70B2-6E47-8858-94DE48B1839A}" name="Nom du joueur"/>
    <tableColumn id="4" xr3:uid="{62914EDB-413E-EA42-AD3A-7CB019F63518}" name="Avant ou 3/4"/>
    <tableColumn id="5" xr3:uid="{A2741B2D-0F30-7E42-A289-425898538D06}" name="temps de jeu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274E98FB-BCE1-0347-AD79-C8025C407DEC}" name="JournalActions" displayName="JournalActions" ref="A1:Q2" insertRow="1" totalsRowShown="0">
  <autoFilter ref="A1:Q2" xr:uid="{274E98FB-BCE1-0347-AD79-C8025C407DEC}"/>
  <tableColumns count="17">
    <tableColumn id="1" xr3:uid="{1C6F1113-17EB-A449-86BF-30B1CE9CAC0A}" name="temps video" dataDxfId="72"/>
    <tableColumn id="2" xr3:uid="{BB9E6042-63C4-8B44-A680-A0834418DCFD}" name="Mi-temps"/>
    <tableColumn id="3" xr3:uid="{FB582DC9-C560-C540-90DE-BC2A7F7642FF}" name="Joueur"/>
    <tableColumn id="9" xr3:uid="{E2EB226B-738E-5341-B46D-5645BE156C0D}" name="Groupe fautif"/>
    <tableColumn id="4" xr3:uid="{6910E752-45B7-C043-8391-986DAF08BB3C}" name="Action"/>
    <tableColumn id="5" xr3:uid="{30C078D3-FD8C-8941-89C1-432BFE9E81DC}" name="Motif penalite"/>
    <tableColumn id="6" xr3:uid="{C6EC9A52-8158-7E4E-83E9-3584CD43B936}" name="Possession"/>
    <tableColumn id="7" xr3:uid="{834BAE38-B2DD-5F48-A00F-7B1113FB82E0}" name="Commentaire"/>
    <tableColumn id="8" xr3:uid="{E20C89CF-9EAF-2342-8190-77C66BCF3B42}" name="Horodatage saisie" dataDxfId="71"/>
    <tableColumn id="10" xr3:uid="{3EE428A6-32C2-F147-8C8E-3AEEE1B1AE6F}" name="ID match"/>
    <tableColumn id="11" xr3:uid="{9FC9DA5A-0ABC-CB4D-81B7-5108D1287F16}" name="Saison"/>
    <tableColumn id="12" xr3:uid="{35EAF0A6-63AD-F345-8AB6-13F20608EAD0}" name="Date match" dataDxfId="70"/>
    <tableColumn id="13" xr3:uid="{49D27AB2-B48F-EA44-90FF-87E3AFEDED72}" name="Adversaire"/>
    <tableColumn id="14" xr3:uid="{691DE690-946C-A542-9588-6EE22F7B62B1}" name="Lieu"/>
    <tableColumn id="15" xr3:uid="{18F5C68C-DE2A-9841-B274-25AAC1CB731D}" name="Phase"/>
    <tableColumn id="16" xr3:uid="{450F8E86-8FE6-0045-A0C0-129879D2D934}" name="Journee"/>
    <tableColumn id="17" xr3:uid="{322579C2-0E95-2F43-8BE1-43F51C43C350}" name="Resultat"/>
  </tableColumns>
  <tableStyleInfo name="TableStyleMedium7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1BC259CC-2467-644D-900B-02D4F95FCC56}" name="DetailTouches" displayName="DetailTouches" ref="A2:J3" totalsRowShown="0">
  <autoFilter ref="A2:J3" xr:uid="{1BC259CC-2467-644D-900B-02D4F95FCC56}"/>
  <tableColumns count="10">
    <tableColumn id="1" xr3:uid="{29E94664-85C6-8341-9568-C2C37D97888A}" name="Temps video" dataDxfId="41"/>
    <tableColumn id="2" xr3:uid="{55A3C72E-11B1-DE4C-A8AA-CB6DB1EFD242}" name="Mi-temps"/>
    <tableColumn id="3" xr3:uid="{4AE31CAA-4626-F642-B76C-C72B804D292F}" name="Lance pour"/>
    <tableColumn id="4" xr3:uid="{1EA86226-F559-1043-9A84-6FF95B3B874A}" name="Issue"/>
    <tableColumn id="5" xr3:uid="{2C4366BF-5214-BC47-A083-90D03DA6854F}" name="Sauteur"/>
    <tableColumn id="6" xr3:uid="{9D288BC5-6D48-C24C-9619-DA2FF23FBD25}" name="Zone saut"/>
    <tableColumn id="7" xr3:uid="{C5782212-F6FF-1047-ACE1-2423FE276759}" name="Ballon"/>
    <tableColumn id="8" xr3:uid="{C5B2376F-1A1B-EE42-93FF-D1229E4F9C28}" name="Zone terrain"/>
    <tableColumn id="9" xr3:uid="{F1D9F9BC-6535-E847-80D5-69098CD85B42}" name="Alignement"/>
    <tableColumn id="10" xr3:uid="{40E35BB9-1748-7C41-8DA3-305B06F71737}" name="Observations"/>
  </tableColumns>
  <tableStyleInfo name="TableStyleMedium2" showFirstColumn="0" showLastColumn="0" showRowStripes="0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A1FE138B-7A57-FD4E-B0BC-4BF4203BE379}" name="DetailMelees" displayName="DetailMelees" ref="A18:J19" insertRow="1" totalsRowShown="0">
  <autoFilter ref="A18:J19" xr:uid="{A1FE138B-7A57-FD4E-B0BC-4BF4203BE379}"/>
  <tableColumns count="10">
    <tableColumn id="1" xr3:uid="{9154875D-F6A2-FD43-A363-B5D480E2C8C9}" name="Temps video" dataDxfId="40"/>
    <tableColumn id="2" xr3:uid="{B3C15621-3E96-6848-870A-E1606D2022B1}" name="Mi-temps"/>
    <tableColumn id="3" xr3:uid="{82E522EF-5DF0-A04D-AFD6-8A58284D960F}" name="Introduction pour"/>
    <tableColumn id="4" xr3:uid="{5779EC3B-EA51-BF4B-81EB-CFE3E9CACA34}" name="Issue"/>
    <tableColumn id="5" xr3:uid="{FFAF75C5-1430-7640-B33A-CDF548EF256F}" name="Zone longueur"/>
    <tableColumn id="6" xr3:uid="{18D5B587-DA93-C049-940F-FA2A855A20A5}" name="Zone largeur"/>
    <tableColumn id="7" xr3:uid="{EFF3CB7A-10D5-9D42-B368-93E6B4853022}" name="Jeu avant" dataDxfId="39"/>
    <tableColumn id="8" xr3:uid="{D9175B18-6528-4648-B15C-FF2CC25EEBE4}" name="Jeu 3/4" dataDxfId="38"/>
    <tableColumn id="9" xr3:uid="{CAE0CE17-6518-8346-8125-3B7CA02D88C1}" name="Jeu pied" dataDxfId="37"/>
    <tableColumn id="10" xr3:uid="{9D4C3BED-381E-2945-8DDD-9AF72C0A70C5}" name="Observations"/>
  </tableColumns>
  <tableStyleInfo name="TableStyleMedium3" showFirstColumn="0" showLastColumn="0" showRowStripes="0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6D1F5F0A-5FD5-AC4E-A195-33A78A5E0E58}" name="TblActionsJournal" displayName="TblActionsJournal" ref="Q1:R70" totalsRowShown="0" headerRowDxfId="36" dataDxfId="34" headerRowBorderDxfId="35" tableBorderDxfId="33" totalsRowBorderDxfId="32">
  <autoFilter ref="Q1:R70" xr:uid="{6D1F5F0A-5FD5-AC4E-A195-33A78A5E0E58}"/>
  <tableColumns count="2">
    <tableColumn id="1" xr3:uid="{8A0D5429-5616-B849-BD27-167A576FE99E}" name="Nom de cellule à créer" dataDxfId="31"/>
    <tableColumn id="2" xr3:uid="{19545507-672A-9F40-8818-E4C9060AA52B}" name="Libellé" dataDxfId="30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B8C62D80-770F-3946-AD82-347B6A7ECFCE}" name="TblMTJournal" displayName="TblMTJournal" ref="I5:I7" totalsRowShown="0" headerRowDxfId="29" headerRowBorderDxfId="28" tableBorderDxfId="27" totalsRowBorderDxfId="26">
  <autoFilter ref="I5:I7" xr:uid="{B8C62D80-770F-3946-AD82-347B6A7ECFCE}"/>
  <tableColumns count="1">
    <tableColumn id="1" xr3:uid="{F415A74A-D2C3-8A43-ABDD-66FDE9C19538}" name="LISTE_MT_JOURNAL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323D7D7C-137F-E94A-BA0B-2518345251B7}" name="TblEquipesJournal" displayName="TblEquipesJournal" ref="I1:I3" totalsRowShown="0" headerRowDxfId="25" headerRowBorderDxfId="24" tableBorderDxfId="23" totalsRowBorderDxfId="22">
  <autoFilter ref="I1:I3" xr:uid="{323D7D7C-137F-E94A-BA0B-2518345251B7}"/>
  <tableColumns count="1">
    <tableColumn id="1" xr3:uid="{7CCADFBF-889D-204A-A382-A874BDAF58FA}" name="LISTE_EQUIPES_JOURNAL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CC940AF9-E81A-F746-8EAD-392809C3CFBE}" name="TblLecteurVideo" displayName="TblLecteurVideo" ref="I14:I20" totalsRowShown="0" headerRowDxfId="21" dataDxfId="20">
  <autoFilter ref="I14:I20" xr:uid="{CC940AF9-E81A-F746-8EAD-392809C3CFBE}"/>
  <tableColumns count="1">
    <tableColumn id="1" xr3:uid="{816CA1DF-3681-2948-A622-26353E2B9A97}" name="LISTE_LECTEUR_VIDEO" dataDxfId="19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10677972-8008-8F43-9CE8-795A65A91EE1}" name="LstLignePoste" displayName="LstLignePoste" ref="N1:N3" totalsRowShown="0">
  <autoFilter ref="N1:N3" xr:uid="{10677972-8008-8F43-9CE8-795A65A91EE1}"/>
  <tableColumns count="1">
    <tableColumn id="1" xr3:uid="{A5A95A53-246B-1848-90BD-5E21FAC4AF9C}" name="AVANT_OU_ARRIERE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61FC7709-08E5-D048-A38B-441B18CF5D35}" name="LstLieuxMatch" displayName="LstLieuxMatch" ref="C1:C4" totalsRowShown="0" headerRowDxfId="18" dataDxfId="17">
  <autoFilter ref="C1:C4" xr:uid="{61FC7709-08E5-D048-A38B-441B18CF5D35}"/>
  <tableColumns count="1">
    <tableColumn id="1" xr3:uid="{C41B523D-40DA-AF48-A2C2-015B04960B0A}" name="LIEU_MATCH" dataDxfId="16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86EA01CF-5567-6445-9906-AD2B60CA0A8A}" name="LstPhases" displayName="LstPhases" ref="C6:C10" totalsRowShown="0" headerRowDxfId="15" dataDxfId="14">
  <autoFilter ref="C6:C10" xr:uid="{86EA01CF-5567-6445-9906-AD2B60CA0A8A}"/>
  <tableColumns count="1">
    <tableColumn id="1" xr3:uid="{B57F8324-6F25-7B40-9B20-1BFDF9708631}" name="PHASE" dataDxfId="13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DAA9B017-78F0-D447-B788-CF8333AEAC38}" name="Tableau14" displayName="Tableau14" ref="C12:C15" totalsRowShown="0" headerRowDxfId="12" dataDxfId="11">
  <autoFilter ref="C12:C15" xr:uid="{DAA9B017-78F0-D447-B788-CF8333AEAC38}"/>
  <tableColumns count="1">
    <tableColumn id="1" xr3:uid="{C5E86C3D-762A-054E-B864-5A67DBB9A8CA}" name="RESULTAT" dataDxfId="10"/>
  </tableColumns>
  <tableStyleInfo name="TableStyleMedium2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F661D9E2-619C-DA44-92C5-8A09E8E281AC}" name="LstEquipesClub" displayName="LstEquipesClub" ref="C17:C21" totalsRowShown="0" headerRowDxfId="9" dataDxfId="8">
  <autoFilter ref="C17:C21" xr:uid="{F661D9E2-619C-DA44-92C5-8A09E8E281AC}"/>
  <tableColumns count="1">
    <tableColumn id="1" xr3:uid="{ADD3AF05-089E-D149-9728-7C2A6F62FA22}" name="EQUIPE_NIV" dataDxfId="7"/>
  </tableColumns>
  <tableStyleInfo name="TableStyleMedium2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391966D0-8F83-3948-82BB-835638F7D3FE}" name="LstJoueursJournal" displayName="LstJoueursJournal" ref="K1:K25" totalsRowShown="0" headerRowDxfId="6" dataDxfId="4" headerRowBorderDxfId="5" tableBorderDxfId="3" totalsRowBorderDxfId="2">
  <autoFilter ref="K1:K25" xr:uid="{391966D0-8F83-3948-82BB-835638F7D3FE}"/>
  <tableColumns count="1">
    <tableColumn id="1" xr3:uid="{F45BF991-6668-F741-B07C-7905B99AC752}" name="LISTE_JOUEURS_JOURNAL" dataDxfId="1"/>
  </tableColumns>
  <tableStyleInfo name="TableStyleMedium2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D95D83A0-5745-2141-A2F6-5BA24A0A240F}" name="Tableau15" displayName="Tableau15" ref="K27:K30" totalsRowShown="0" headerRowDxfId="0">
  <autoFilter ref="K27:K30" xr:uid="{D95D83A0-5745-2141-A2F6-5BA24A0A240F}"/>
  <tableColumns count="1">
    <tableColumn id="1" xr3:uid="{BD5AC7D0-B5F9-CA48-BBA6-B2152F4429D1}" name="OUI_NON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table" Target="../tables/table5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4.xml"/><Relationship Id="rId3" Type="http://schemas.openxmlformats.org/officeDocument/2006/relationships/table" Target="../tables/table9.xml"/><Relationship Id="rId7" Type="http://schemas.openxmlformats.org/officeDocument/2006/relationships/table" Target="../tables/table13.xml"/><Relationship Id="rId2" Type="http://schemas.openxmlformats.org/officeDocument/2006/relationships/table" Target="../tables/table8.xml"/><Relationship Id="rId1" Type="http://schemas.openxmlformats.org/officeDocument/2006/relationships/table" Target="../tables/table7.xml"/><Relationship Id="rId6" Type="http://schemas.openxmlformats.org/officeDocument/2006/relationships/table" Target="../tables/table12.xml"/><Relationship Id="rId11" Type="http://schemas.openxmlformats.org/officeDocument/2006/relationships/table" Target="../tables/table17.xml"/><Relationship Id="rId5" Type="http://schemas.openxmlformats.org/officeDocument/2006/relationships/table" Target="../tables/table11.xml"/><Relationship Id="rId10" Type="http://schemas.openxmlformats.org/officeDocument/2006/relationships/table" Target="../tables/table16.xml"/><Relationship Id="rId4" Type="http://schemas.openxmlformats.org/officeDocument/2006/relationships/table" Target="../tables/table10.xml"/><Relationship Id="rId9" Type="http://schemas.openxmlformats.org/officeDocument/2006/relationships/table" Target="../tables/table15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6EE86A-F9D1-9543-8720-6739DB62972C}">
  <sheetPr codeName="Feuil3"/>
  <dimension ref="A1:AGB336"/>
  <sheetViews>
    <sheetView topLeftCell="B1" workbookViewId="0">
      <selection activeCell="H31" sqref="H31"/>
    </sheetView>
    <sheetView topLeftCell="B1" workbookViewId="1"/>
  </sheetViews>
  <sheetFormatPr baseColWidth="10" defaultRowHeight="13"/>
  <cols>
    <col min="1" max="1" width="6.6640625" hidden="1" customWidth="1"/>
    <col min="2" max="2" width="19.6640625" customWidth="1"/>
    <col min="3" max="4" width="14.83203125" customWidth="1"/>
    <col min="5" max="5" width="24.1640625" hidden="1" customWidth="1"/>
    <col min="6" max="6" width="25.1640625" hidden="1" customWidth="1"/>
    <col min="7" max="9" width="10.83203125" style="3"/>
    <col min="10" max="10" width="19" style="3" bestFit="1" customWidth="1"/>
    <col min="11" max="11" width="17.5" style="3" bestFit="1" customWidth="1"/>
    <col min="12" max="860" width="10.83203125" style="3"/>
  </cols>
  <sheetData>
    <row r="1" spans="1:10" ht="15">
      <c r="A1" t="s">
        <v>69</v>
      </c>
      <c r="B1" s="96" t="s">
        <v>70</v>
      </c>
      <c r="C1" s="96" t="s">
        <v>71</v>
      </c>
      <c r="D1" s="96" t="s">
        <v>407</v>
      </c>
      <c r="E1" s="96" t="s">
        <v>72</v>
      </c>
      <c r="F1" s="96" t="s">
        <v>112</v>
      </c>
      <c r="J1" t="s">
        <v>385</v>
      </c>
    </row>
    <row r="2" spans="1:10" ht="14">
      <c r="A2">
        <v>1</v>
      </c>
      <c r="B2" s="85" t="s">
        <v>268</v>
      </c>
      <c r="C2" s="85" t="s">
        <v>269</v>
      </c>
      <c r="D2" s="85"/>
      <c r="E2" t="str">
        <f>LstEffectif[[#This Row],[prenom]] &amp; " " &amp; LstEffectif[[#This Row],[nom]]</f>
        <v>Emeric ABADIE</v>
      </c>
      <c r="F2" t="str">
        <f>LstEffectif[[#This Row],[nom]] &amp; " " &amp; LstEffectif[[#This Row],[prenom]]</f>
        <v>ABADIE Emeric</v>
      </c>
      <c r="J2" t="s">
        <v>377</v>
      </c>
    </row>
    <row r="3" spans="1:10" ht="14">
      <c r="A3">
        <v>2</v>
      </c>
      <c r="B3" s="85" t="s">
        <v>268</v>
      </c>
      <c r="C3" s="85" t="s">
        <v>270</v>
      </c>
      <c r="D3" s="85" t="s">
        <v>409</v>
      </c>
      <c r="E3" t="str">
        <f>LstEffectif[[#This Row],[prenom]] &amp; " " &amp; LstEffectif[[#This Row],[nom]]</f>
        <v>Quentin ABADIE</v>
      </c>
      <c r="F3" t="str">
        <f>LstEffectif[[#This Row],[nom]] &amp; " " &amp; LstEffectif[[#This Row],[prenom]]</f>
        <v>ABADIE Quentin</v>
      </c>
      <c r="J3" t="s">
        <v>378</v>
      </c>
    </row>
    <row r="4" spans="1:10" ht="14">
      <c r="A4">
        <v>3</v>
      </c>
      <c r="B4" s="85" t="s">
        <v>268</v>
      </c>
      <c r="C4" s="85" t="s">
        <v>73</v>
      </c>
      <c r="D4" s="85"/>
      <c r="E4" t="str">
        <f>LstEffectif[[#This Row],[prenom]] &amp; " " &amp; LstEffectif[[#This Row],[nom]]</f>
        <v>Thomas ABADIE</v>
      </c>
      <c r="F4" t="str">
        <f>LstEffectif[[#This Row],[nom]] &amp; " " &amp; LstEffectif[[#This Row],[prenom]]</f>
        <v>ABADIE Thomas</v>
      </c>
      <c r="J4" t="s">
        <v>379</v>
      </c>
    </row>
    <row r="5" spans="1:10" ht="14">
      <c r="A5">
        <v>4</v>
      </c>
      <c r="B5" s="85" t="s">
        <v>271</v>
      </c>
      <c r="C5" s="85" t="s">
        <v>272</v>
      </c>
      <c r="D5" s="85"/>
      <c r="E5" t="str">
        <f>LstEffectif[[#This Row],[prenom]] &amp; " " &amp; LstEffectif[[#This Row],[nom]]</f>
        <v>Rudy BALAGNA</v>
      </c>
      <c r="F5" t="str">
        <f>LstEffectif[[#This Row],[nom]] &amp; " " &amp; LstEffectif[[#This Row],[prenom]]</f>
        <v>BALAGNA Rudy</v>
      </c>
      <c r="J5" t="s">
        <v>380</v>
      </c>
    </row>
    <row r="6" spans="1:10" ht="14">
      <c r="A6">
        <v>5</v>
      </c>
      <c r="B6" s="85" t="s">
        <v>273</v>
      </c>
      <c r="C6" s="85" t="s">
        <v>274</v>
      </c>
      <c r="D6" s="85"/>
      <c r="E6" t="str">
        <f>LstEffectif[[#This Row],[prenom]] &amp; " " &amp; LstEffectif[[#This Row],[nom]]</f>
        <v>Lucas BAQUE</v>
      </c>
      <c r="F6" t="str">
        <f>LstEffectif[[#This Row],[nom]] &amp; " " &amp; LstEffectif[[#This Row],[prenom]]</f>
        <v>BAQUE Lucas</v>
      </c>
      <c r="J6" t="s">
        <v>381</v>
      </c>
    </row>
    <row r="7" spans="1:10" ht="14">
      <c r="A7">
        <v>68</v>
      </c>
      <c r="B7" s="85" t="s">
        <v>273</v>
      </c>
      <c r="C7" s="85" t="s">
        <v>411</v>
      </c>
      <c r="D7" s="85" t="s">
        <v>409</v>
      </c>
      <c r="E7" t="str">
        <f>LstEffectif[[#This Row],[prenom]] &amp; " " &amp; LstEffectif[[#This Row],[nom]]</f>
        <v>Mickael BAQUE</v>
      </c>
      <c r="F7" t="str">
        <f>LstEffectif[[#This Row],[nom]] &amp; " " &amp; LstEffectif[[#This Row],[prenom]]</f>
        <v>BAQUE Mickael</v>
      </c>
      <c r="J7" t="s">
        <v>590</v>
      </c>
    </row>
    <row r="8" spans="1:10" ht="14">
      <c r="A8">
        <v>6</v>
      </c>
      <c r="B8" s="85" t="s">
        <v>275</v>
      </c>
      <c r="C8" s="85" t="s">
        <v>276</v>
      </c>
      <c r="D8" s="85"/>
      <c r="E8" t="str">
        <f>LstEffectif[[#This Row],[prenom]] &amp; " " &amp; LstEffectif[[#This Row],[nom]]</f>
        <v>Julian BARATGIN</v>
      </c>
      <c r="F8" t="str">
        <f>LstEffectif[[#This Row],[nom]] &amp; " " &amp; LstEffectif[[#This Row],[prenom]]</f>
        <v>BARATGIN Julian</v>
      </c>
      <c r="J8" s="15" t="s">
        <v>382</v>
      </c>
    </row>
    <row r="9" spans="1:10" ht="14">
      <c r="A9">
        <v>7</v>
      </c>
      <c r="B9" s="85" t="s">
        <v>277</v>
      </c>
      <c r="C9" s="85" t="s">
        <v>278</v>
      </c>
      <c r="D9" s="85"/>
      <c r="E9" t="str">
        <f>LstEffectif[[#This Row],[prenom]] &amp; " " &amp; LstEffectif[[#This Row],[nom]]</f>
        <v>Etienne BARBE</v>
      </c>
      <c r="F9" t="str">
        <f>LstEffectif[[#This Row],[nom]] &amp; " " &amp; LstEffectif[[#This Row],[prenom]]</f>
        <v>BARBE Etienne</v>
      </c>
      <c r="J9" t="s">
        <v>383</v>
      </c>
    </row>
    <row r="10" spans="1:10" ht="14">
      <c r="A10">
        <v>8</v>
      </c>
      <c r="B10" s="85" t="s">
        <v>279</v>
      </c>
      <c r="C10" s="85" t="s">
        <v>280</v>
      </c>
      <c r="D10" s="85"/>
      <c r="E10" t="str">
        <f>LstEffectif[[#This Row],[prenom]] &amp; " " &amp; LstEffectif[[#This Row],[nom]]</f>
        <v>Francois BARRAILH</v>
      </c>
      <c r="F10" t="str">
        <f>LstEffectif[[#This Row],[nom]] &amp; " " &amp; LstEffectif[[#This Row],[prenom]]</f>
        <v>BARRAILH Francois</v>
      </c>
      <c r="J10" t="s">
        <v>384</v>
      </c>
    </row>
    <row r="11" spans="1:10" ht="14">
      <c r="A11">
        <v>9</v>
      </c>
      <c r="B11" s="85" t="s">
        <v>281</v>
      </c>
      <c r="C11" s="85" t="s">
        <v>282</v>
      </c>
      <c r="D11" s="85"/>
      <c r="E11" t="str">
        <f>LstEffectif[[#This Row],[prenom]] &amp; " " &amp; LstEffectif[[#This Row],[nom]]</f>
        <v>Sebastien BARTHIE</v>
      </c>
      <c r="F11" t="str">
        <f>LstEffectif[[#This Row],[nom]] &amp; " " &amp; LstEffectif[[#This Row],[prenom]]</f>
        <v>BARTHIE Sebastien</v>
      </c>
      <c r="J11" t="s">
        <v>386</v>
      </c>
    </row>
    <row r="12" spans="1:10" ht="14">
      <c r="A12">
        <v>10</v>
      </c>
      <c r="B12" s="85" t="s">
        <v>283</v>
      </c>
      <c r="C12" s="85" t="s">
        <v>284</v>
      </c>
      <c r="D12" s="85" t="s">
        <v>409</v>
      </c>
      <c r="E12" t="str">
        <f>LstEffectif[[#This Row],[prenom]] &amp; " " &amp; LstEffectif[[#This Row],[nom]]</f>
        <v>Bastien BAUP</v>
      </c>
      <c r="F12" t="str">
        <f>LstEffectif[[#This Row],[nom]] &amp; " " &amp; LstEffectif[[#This Row],[prenom]]</f>
        <v>BAUP Bastien</v>
      </c>
    </row>
    <row r="13" spans="1:10" ht="14">
      <c r="A13">
        <v>11</v>
      </c>
      <c r="B13" s="85" t="s">
        <v>285</v>
      </c>
      <c r="C13" s="85" t="s">
        <v>286</v>
      </c>
      <c r="D13" s="85"/>
      <c r="E13" t="str">
        <f>LstEffectif[[#This Row],[prenom]] &amp; " " &amp; LstEffectif[[#This Row],[nom]]</f>
        <v>Jean BAYLE</v>
      </c>
      <c r="F13" t="str">
        <f>LstEffectif[[#This Row],[nom]] &amp; " " &amp; LstEffectif[[#This Row],[prenom]]</f>
        <v>BAYLE Jean</v>
      </c>
    </row>
    <row r="14" spans="1:10" ht="14">
      <c r="A14">
        <v>12</v>
      </c>
      <c r="B14" s="85" t="s">
        <v>287</v>
      </c>
      <c r="C14" s="85" t="s">
        <v>288</v>
      </c>
      <c r="D14" s="85"/>
      <c r="E14" t="str">
        <f>LstEffectif[[#This Row],[prenom]] &amp; " " &amp; LstEffectif[[#This Row],[nom]]</f>
        <v>Pierre BIFFI</v>
      </c>
      <c r="F14" t="str">
        <f>LstEffectif[[#This Row],[nom]] &amp; " " &amp; LstEffectif[[#This Row],[prenom]]</f>
        <v>BIFFI Pierre</v>
      </c>
    </row>
    <row r="15" spans="1:10" ht="14">
      <c r="A15">
        <v>71</v>
      </c>
      <c r="B15" s="85" t="s">
        <v>287</v>
      </c>
      <c r="C15" s="85" t="s">
        <v>288</v>
      </c>
      <c r="D15" s="85"/>
      <c r="E15" t="str">
        <f>LstEffectif[[#This Row],[prenom]] &amp; " " &amp; LstEffectif[[#This Row],[nom]]</f>
        <v>Pierre BIFFI</v>
      </c>
      <c r="F15" t="str">
        <f>LstEffectif[[#This Row],[nom]] &amp; " " &amp; LstEffectif[[#This Row],[prenom]]</f>
        <v>BIFFI Pierre</v>
      </c>
    </row>
    <row r="16" spans="1:10" ht="14">
      <c r="A16">
        <v>13</v>
      </c>
      <c r="B16" s="85" t="s">
        <v>289</v>
      </c>
      <c r="C16" s="85" t="s">
        <v>290</v>
      </c>
      <c r="D16" s="85"/>
      <c r="E16" t="str">
        <f>LstEffectif[[#This Row],[prenom]] &amp; " " &amp; LstEffectif[[#This Row],[nom]]</f>
        <v>Clement BLANCHARD</v>
      </c>
      <c r="F16" t="str">
        <f>LstEffectif[[#This Row],[nom]] &amp; " " &amp; LstEffectif[[#This Row],[prenom]]</f>
        <v>BLANCHARD Clement</v>
      </c>
    </row>
    <row r="17" spans="1:6" ht="14">
      <c r="A17">
        <v>14</v>
      </c>
      <c r="B17" s="85" t="s">
        <v>291</v>
      </c>
      <c r="C17" s="85" t="s">
        <v>292</v>
      </c>
      <c r="D17" s="85"/>
      <c r="E17" t="str">
        <f>LstEffectif[[#This Row],[prenom]] &amp; " " &amp; LstEffectif[[#This Row],[nom]]</f>
        <v>Paul BOISVIN</v>
      </c>
      <c r="F17" t="str">
        <f>LstEffectif[[#This Row],[nom]] &amp; " " &amp; LstEffectif[[#This Row],[prenom]]</f>
        <v>BOISVIN Paul</v>
      </c>
    </row>
    <row r="18" spans="1:6" ht="14">
      <c r="A18">
        <v>15</v>
      </c>
      <c r="B18" s="85" t="s">
        <v>293</v>
      </c>
      <c r="C18" s="85" t="s">
        <v>294</v>
      </c>
      <c r="D18" s="85"/>
      <c r="E18" t="str">
        <f>LstEffectif[[#This Row],[prenom]] &amp; " " &amp; LstEffectif[[#This Row],[nom]]</f>
        <v>Anthony BOURREC</v>
      </c>
      <c r="F18" t="str">
        <f>LstEffectif[[#This Row],[nom]] &amp; " " &amp; LstEffectif[[#This Row],[prenom]]</f>
        <v>BOURREC Anthony</v>
      </c>
    </row>
    <row r="19" spans="1:6" ht="14">
      <c r="A19">
        <v>16</v>
      </c>
      <c r="B19" s="85" t="s">
        <v>293</v>
      </c>
      <c r="C19" s="85" t="s">
        <v>295</v>
      </c>
      <c r="D19" s="85"/>
      <c r="E19" t="str">
        <f>LstEffectif[[#This Row],[prenom]] &amp; " " &amp; LstEffectif[[#This Row],[nom]]</f>
        <v>Dorian BOURREC</v>
      </c>
      <c r="F19" t="str">
        <f>LstEffectif[[#This Row],[nom]] &amp; " " &amp; LstEffectif[[#This Row],[prenom]]</f>
        <v>BOURREC Dorian</v>
      </c>
    </row>
    <row r="20" spans="1:6" ht="14">
      <c r="A20">
        <v>17</v>
      </c>
      <c r="B20" s="85" t="s">
        <v>296</v>
      </c>
      <c r="C20" s="85" t="s">
        <v>297</v>
      </c>
      <c r="D20" s="85"/>
      <c r="E20" t="str">
        <f>LstEffectif[[#This Row],[prenom]] &amp; " " &amp; LstEffectif[[#This Row],[nom]]</f>
        <v>Julien BOUTAN</v>
      </c>
      <c r="F20" t="str">
        <f>LstEffectif[[#This Row],[nom]] &amp; " " &amp; LstEffectif[[#This Row],[prenom]]</f>
        <v>BOUTAN Julien</v>
      </c>
    </row>
    <row r="21" spans="1:6" ht="14">
      <c r="A21">
        <v>18</v>
      </c>
      <c r="B21" s="85" t="s">
        <v>298</v>
      </c>
      <c r="C21" s="85" t="s">
        <v>299</v>
      </c>
      <c r="D21" s="85" t="s">
        <v>409</v>
      </c>
      <c r="E21" t="str">
        <f>LstEffectif[[#This Row],[prenom]] &amp; " " &amp; LstEffectif[[#This Row],[nom]]</f>
        <v>Romain BOUTELOUP</v>
      </c>
      <c r="F21" t="str">
        <f>LstEffectif[[#This Row],[nom]] &amp; " " &amp; LstEffectif[[#This Row],[prenom]]</f>
        <v>BOUTELOUP Romain</v>
      </c>
    </row>
    <row r="22" spans="1:6" ht="14">
      <c r="A22">
        <v>19</v>
      </c>
      <c r="B22" s="85" t="s">
        <v>300</v>
      </c>
      <c r="C22" s="85" t="s">
        <v>299</v>
      </c>
      <c r="D22" s="85"/>
      <c r="E22" t="str">
        <f>LstEffectif[[#This Row],[prenom]] &amp; " " &amp; LstEffectif[[#This Row],[nom]]</f>
        <v>Romain BREIL</v>
      </c>
      <c r="F22" t="str">
        <f>LstEffectif[[#This Row],[nom]] &amp; " " &amp; LstEffectif[[#This Row],[prenom]]</f>
        <v>BREIL Romain</v>
      </c>
    </row>
    <row r="23" spans="1:6" ht="14">
      <c r="A23">
        <v>20</v>
      </c>
      <c r="B23" s="85" t="s">
        <v>301</v>
      </c>
      <c r="C23" s="85" t="s">
        <v>302</v>
      </c>
      <c r="D23" s="85"/>
      <c r="E23" t="str">
        <f>LstEffectif[[#This Row],[prenom]] &amp; " " &amp; LstEffectif[[#This Row],[nom]]</f>
        <v>Ludovic CARRAU</v>
      </c>
      <c r="F23" t="str">
        <f>LstEffectif[[#This Row],[nom]] &amp; " " &amp; LstEffectif[[#This Row],[prenom]]</f>
        <v>CARRAU Ludovic</v>
      </c>
    </row>
    <row r="24" spans="1:6" ht="14">
      <c r="A24">
        <v>21</v>
      </c>
      <c r="B24" s="85" t="s">
        <v>303</v>
      </c>
      <c r="C24" s="85" t="s">
        <v>304</v>
      </c>
      <c r="D24" s="85"/>
      <c r="E24" t="str">
        <f>LstEffectif[[#This Row],[prenom]] &amp; " " &amp; LstEffectif[[#This Row],[nom]]</f>
        <v>Tom CASTERA</v>
      </c>
      <c r="F24" t="str">
        <f>LstEffectif[[#This Row],[nom]] &amp; " " &amp; LstEffectif[[#This Row],[prenom]]</f>
        <v>CASTERA Tom</v>
      </c>
    </row>
    <row r="25" spans="1:6" ht="14">
      <c r="A25">
        <v>22</v>
      </c>
      <c r="B25" s="85" t="s">
        <v>305</v>
      </c>
      <c r="C25" s="85" t="s">
        <v>306</v>
      </c>
      <c r="D25" s="85"/>
      <c r="E25" t="str">
        <f>LstEffectif[[#This Row],[prenom]] &amp; " " &amp; LstEffectif[[#This Row],[nom]]</f>
        <v>Sacha CESCA</v>
      </c>
      <c r="F25" t="str">
        <f>LstEffectif[[#This Row],[nom]] &amp; " " &amp; LstEffectif[[#This Row],[prenom]]</f>
        <v>CESCA Sacha</v>
      </c>
    </row>
    <row r="26" spans="1:6" ht="12" customHeight="1">
      <c r="A26">
        <v>23</v>
      </c>
      <c r="B26" s="85" t="s">
        <v>305</v>
      </c>
      <c r="C26" s="85" t="s">
        <v>307</v>
      </c>
      <c r="D26" s="85"/>
      <c r="E26" t="str">
        <f>LstEffectif[[#This Row],[prenom]] &amp; " " &amp; LstEffectif[[#This Row],[nom]]</f>
        <v>Simon CESCA</v>
      </c>
      <c r="F26" t="str">
        <f>LstEffectif[[#This Row],[nom]] &amp; " " &amp; LstEffectif[[#This Row],[prenom]]</f>
        <v>CESCA Simon</v>
      </c>
    </row>
    <row r="27" spans="1:6" s="3" customFormat="1" ht="14">
      <c r="A27">
        <v>24</v>
      </c>
      <c r="B27" s="85" t="s">
        <v>308</v>
      </c>
      <c r="C27" s="85" t="s">
        <v>309</v>
      </c>
      <c r="D27" s="85"/>
      <c r="E27" t="str">
        <f>LstEffectif[[#This Row],[prenom]] &amp; " " &amp; LstEffectif[[#This Row],[nom]]</f>
        <v>Baptiste CORREGER</v>
      </c>
      <c r="F27" t="str">
        <f>LstEffectif[[#This Row],[nom]] &amp; " " &amp; LstEffectif[[#This Row],[prenom]]</f>
        <v>CORREGER Baptiste</v>
      </c>
    </row>
    <row r="28" spans="1:6" s="3" customFormat="1" ht="14">
      <c r="A28">
        <v>25</v>
      </c>
      <c r="B28" s="85" t="s">
        <v>310</v>
      </c>
      <c r="C28" s="85" t="s">
        <v>299</v>
      </c>
      <c r="D28" s="85"/>
      <c r="E28" t="str">
        <f>LstEffectif[[#This Row],[prenom]] &amp; " " &amp; LstEffectif[[#This Row],[nom]]</f>
        <v>Romain COURREGES</v>
      </c>
      <c r="F28" t="str">
        <f>LstEffectif[[#This Row],[nom]] &amp; " " &amp; LstEffectif[[#This Row],[prenom]]</f>
        <v>COURREGES Romain</v>
      </c>
    </row>
    <row r="29" spans="1:6" s="3" customFormat="1" ht="14">
      <c r="A29">
        <v>26</v>
      </c>
      <c r="B29" s="85" t="s">
        <v>311</v>
      </c>
      <c r="C29" s="85" t="s">
        <v>312</v>
      </c>
      <c r="D29" s="85" t="s">
        <v>409</v>
      </c>
      <c r="E29" t="str">
        <f>LstEffectif[[#This Row],[prenom]] &amp; " " &amp; LstEffectif[[#This Row],[nom]]</f>
        <v>Jonah DALLA ROSA</v>
      </c>
      <c r="F29" t="str">
        <f>LstEffectif[[#This Row],[nom]] &amp; " " &amp; LstEffectif[[#This Row],[prenom]]</f>
        <v>DALLA ROSA Jonah</v>
      </c>
    </row>
    <row r="30" spans="1:6" s="3" customFormat="1" ht="14">
      <c r="A30">
        <v>27</v>
      </c>
      <c r="B30" s="85" t="s">
        <v>313</v>
      </c>
      <c r="C30" s="85" t="s">
        <v>73</v>
      </c>
      <c r="D30" s="85"/>
      <c r="E30" t="str">
        <f>LstEffectif[[#This Row],[prenom]] &amp; " " &amp; LstEffectif[[#This Row],[nom]]</f>
        <v>Thomas DUTREY</v>
      </c>
      <c r="F30" t="str">
        <f>LstEffectif[[#This Row],[nom]] &amp; " " &amp; LstEffectif[[#This Row],[prenom]]</f>
        <v>DUTREY Thomas</v>
      </c>
    </row>
    <row r="31" spans="1:6" s="3" customFormat="1" ht="14">
      <c r="A31">
        <v>28</v>
      </c>
      <c r="B31" s="85" t="s">
        <v>314</v>
      </c>
      <c r="C31" s="85" t="s">
        <v>315</v>
      </c>
      <c r="D31" s="85"/>
      <c r="E31" t="str">
        <f>LstEffectif[[#This Row],[prenom]] &amp; " " &amp; LstEffectif[[#This Row],[nom]]</f>
        <v>Maël FITAN</v>
      </c>
      <c r="F31" t="str">
        <f>LstEffectif[[#This Row],[nom]] &amp; " " &amp; LstEffectif[[#This Row],[prenom]]</f>
        <v>FITAN Maël</v>
      </c>
    </row>
    <row r="32" spans="1:6" s="3" customFormat="1" ht="14">
      <c r="A32">
        <v>29</v>
      </c>
      <c r="B32" s="85" t="s">
        <v>316</v>
      </c>
      <c r="C32" s="85" t="s">
        <v>317</v>
      </c>
      <c r="D32" s="85"/>
      <c r="E32" t="str">
        <f>LstEffectif[[#This Row],[prenom]] &amp; " " &amp; LstEffectif[[#This Row],[nom]]</f>
        <v>Neot GABRELLE</v>
      </c>
      <c r="F32" t="str">
        <f>LstEffectif[[#This Row],[nom]] &amp; " " &amp; LstEffectif[[#This Row],[prenom]]</f>
        <v>GABRELLE Neot</v>
      </c>
    </row>
    <row r="33" spans="1:6" s="3" customFormat="1" ht="14">
      <c r="A33">
        <v>30</v>
      </c>
      <c r="B33" s="85" t="s">
        <v>318</v>
      </c>
      <c r="C33" s="85" t="s">
        <v>319</v>
      </c>
      <c r="D33" s="85" t="s">
        <v>409</v>
      </c>
      <c r="E33" t="str">
        <f>LstEffectif[[#This Row],[prenom]] &amp; " " &amp; LstEffectif[[#This Row],[nom]]</f>
        <v>Pierrick GALLINARO</v>
      </c>
      <c r="F33" t="str">
        <f>LstEffectif[[#This Row],[nom]] &amp; " " &amp; LstEffectif[[#This Row],[prenom]]</f>
        <v>GALLINARO Pierrick</v>
      </c>
    </row>
    <row r="34" spans="1:6" s="3" customFormat="1" ht="14">
      <c r="A34">
        <v>31</v>
      </c>
      <c r="B34" s="85" t="s">
        <v>320</v>
      </c>
      <c r="C34" s="85" t="s">
        <v>282</v>
      </c>
      <c r="D34" s="85"/>
      <c r="E34" t="str">
        <f>LstEffectif[[#This Row],[prenom]] &amp; " " &amp; LstEffectif[[#This Row],[nom]]</f>
        <v>Sebastien GARROS</v>
      </c>
      <c r="F34" t="str">
        <f>LstEffectif[[#This Row],[nom]] &amp; " " &amp; LstEffectif[[#This Row],[prenom]]</f>
        <v>GARROS Sebastien</v>
      </c>
    </row>
    <row r="35" spans="1:6" s="3" customFormat="1" ht="14">
      <c r="A35">
        <v>32</v>
      </c>
      <c r="B35" s="85" t="s">
        <v>321</v>
      </c>
      <c r="C35" s="85" t="s">
        <v>266</v>
      </c>
      <c r="D35" s="85" t="s">
        <v>409</v>
      </c>
      <c r="E35" t="str">
        <f>LstEffectif[[#This Row],[prenom]] &amp; " " &amp; LstEffectif[[#This Row],[nom]]</f>
        <v>Nicolas GODEMARD</v>
      </c>
      <c r="F35" t="str">
        <f>LstEffectif[[#This Row],[nom]] &amp; " " &amp; LstEffectif[[#This Row],[prenom]]</f>
        <v>GODEMARD Nicolas</v>
      </c>
    </row>
    <row r="36" spans="1:6" s="3" customFormat="1" ht="14">
      <c r="A36">
        <v>33</v>
      </c>
      <c r="B36" s="85" t="s">
        <v>322</v>
      </c>
      <c r="C36" s="85" t="s">
        <v>323</v>
      </c>
      <c r="D36" s="85"/>
      <c r="E36" t="str">
        <f>LstEffectif[[#This Row],[prenom]] &amp; " " &amp; LstEffectif[[#This Row],[nom]]</f>
        <v>Kevin HENNI</v>
      </c>
      <c r="F36" t="str">
        <f>LstEffectif[[#This Row],[nom]] &amp; " " &amp; LstEffectif[[#This Row],[prenom]]</f>
        <v>HENNI Kevin</v>
      </c>
    </row>
    <row r="37" spans="1:6" s="3" customFormat="1" ht="14">
      <c r="A37">
        <v>34</v>
      </c>
      <c r="B37" s="85" t="s">
        <v>324</v>
      </c>
      <c r="C37" s="85" t="s">
        <v>325</v>
      </c>
      <c r="D37" s="85"/>
      <c r="E37" t="str">
        <f>LstEffectif[[#This Row],[prenom]] &amp; " " &amp; LstEffectif[[#This Row],[nom]]</f>
        <v>Joris JOUNAUX</v>
      </c>
      <c r="F37" t="str">
        <f>LstEffectif[[#This Row],[nom]] &amp; " " &amp; LstEffectif[[#This Row],[prenom]]</f>
        <v>JOUNAUX Joris</v>
      </c>
    </row>
    <row r="38" spans="1:6" s="3" customFormat="1" ht="14">
      <c r="A38">
        <v>35</v>
      </c>
      <c r="B38" s="85" t="s">
        <v>324</v>
      </c>
      <c r="C38" s="85" t="s">
        <v>326</v>
      </c>
      <c r="D38" s="85"/>
      <c r="E38" t="str">
        <f>LstEffectif[[#This Row],[prenom]] &amp; " " &amp; LstEffectif[[#This Row],[nom]]</f>
        <v>Charline JOUNAUX</v>
      </c>
      <c r="F38" t="str">
        <f>LstEffectif[[#This Row],[nom]] &amp; " " &amp; LstEffectif[[#This Row],[prenom]]</f>
        <v>JOUNAUX Charline</v>
      </c>
    </row>
    <row r="39" spans="1:6" s="3" customFormat="1" ht="14">
      <c r="A39">
        <v>36</v>
      </c>
      <c r="B39" s="85" t="s">
        <v>327</v>
      </c>
      <c r="C39" s="85" t="s">
        <v>284</v>
      </c>
      <c r="D39" s="85"/>
      <c r="E39" t="str">
        <f>LstEffectif[[#This Row],[prenom]] &amp; " " &amp; LstEffectif[[#This Row],[nom]]</f>
        <v>Bastien KAPFER</v>
      </c>
      <c r="F39" t="str">
        <f>LstEffectif[[#This Row],[nom]] &amp; " " &amp; LstEffectif[[#This Row],[prenom]]</f>
        <v>KAPFER Bastien</v>
      </c>
    </row>
    <row r="40" spans="1:6" s="3" customFormat="1" ht="14">
      <c r="A40">
        <v>69</v>
      </c>
      <c r="B40" s="85" t="s">
        <v>327</v>
      </c>
      <c r="C40" s="85" t="s">
        <v>302</v>
      </c>
      <c r="D40" s="85"/>
      <c r="E40" t="str">
        <f>LstEffectif[[#This Row],[prenom]] &amp; " " &amp; LstEffectif[[#This Row],[nom]]</f>
        <v>Ludovic KAPFER</v>
      </c>
      <c r="F40" t="str">
        <f>LstEffectif[[#This Row],[nom]] &amp; " " &amp; LstEffectif[[#This Row],[prenom]]</f>
        <v>KAPFER Ludovic</v>
      </c>
    </row>
    <row r="41" spans="1:6" s="3" customFormat="1" ht="14">
      <c r="A41">
        <v>37</v>
      </c>
      <c r="B41" s="85" t="s">
        <v>328</v>
      </c>
      <c r="C41" s="85" t="s">
        <v>297</v>
      </c>
      <c r="D41" s="85"/>
      <c r="E41" t="str">
        <f>LstEffectif[[#This Row],[prenom]] &amp; " " &amp; LstEffectif[[#This Row],[nom]]</f>
        <v>Julien LACOMBE</v>
      </c>
      <c r="F41" t="str">
        <f>LstEffectif[[#This Row],[nom]] &amp; " " &amp; LstEffectif[[#This Row],[prenom]]</f>
        <v>LACOMBE Julien</v>
      </c>
    </row>
    <row r="42" spans="1:6" s="3" customFormat="1" ht="14">
      <c r="A42">
        <v>38</v>
      </c>
      <c r="B42" s="85" t="s">
        <v>329</v>
      </c>
      <c r="C42" s="85" t="s">
        <v>330</v>
      </c>
      <c r="D42" s="85"/>
      <c r="E42" t="str">
        <f>LstEffectif[[#This Row],[prenom]] &amp; " " &amp; LstEffectif[[#This Row],[nom]]</f>
        <v>Jean Baptiste LAUDET</v>
      </c>
      <c r="F42" t="str">
        <f>LstEffectif[[#This Row],[nom]] &amp; " " &amp; LstEffectif[[#This Row],[prenom]]</f>
        <v>LAUDET Jean Baptiste</v>
      </c>
    </row>
    <row r="43" spans="1:6" s="3" customFormat="1" ht="14">
      <c r="A43">
        <v>39</v>
      </c>
      <c r="B43" s="85" t="s">
        <v>331</v>
      </c>
      <c r="C43" s="85" t="s">
        <v>274</v>
      </c>
      <c r="D43" s="85"/>
      <c r="E43" t="str">
        <f>LstEffectif[[#This Row],[prenom]] &amp; " " &amp; LstEffectif[[#This Row],[nom]]</f>
        <v>Lucas LESPINASSE</v>
      </c>
      <c r="F43" t="str">
        <f>LstEffectif[[#This Row],[nom]] &amp; " " &amp; LstEffectif[[#This Row],[prenom]]</f>
        <v>LESPINASSE Lucas</v>
      </c>
    </row>
    <row r="44" spans="1:6" s="3" customFormat="1" ht="14">
      <c r="A44">
        <v>40</v>
      </c>
      <c r="B44" s="85" t="s">
        <v>332</v>
      </c>
      <c r="C44" s="85" t="s">
        <v>333</v>
      </c>
      <c r="D44" s="85"/>
      <c r="E44" t="str">
        <f>LstEffectif[[#This Row],[prenom]] &amp; " " &amp; LstEffectif[[#This Row],[nom]]</f>
        <v>Antonio LOUREIRO LABAZUY</v>
      </c>
      <c r="F44" t="str">
        <f>LstEffectif[[#This Row],[nom]] &amp; " " &amp; LstEffectif[[#This Row],[prenom]]</f>
        <v>LOUREIRO LABAZUY Antonio</v>
      </c>
    </row>
    <row r="45" spans="1:6" s="3" customFormat="1" ht="14">
      <c r="A45">
        <v>41</v>
      </c>
      <c r="B45" s="85" t="s">
        <v>334</v>
      </c>
      <c r="C45" s="85" t="s">
        <v>292</v>
      </c>
      <c r="D45" s="85" t="s">
        <v>409</v>
      </c>
      <c r="E45" t="str">
        <f>LstEffectif[[#This Row],[prenom]] &amp; " " &amp; LstEffectif[[#This Row],[nom]]</f>
        <v>Paul MICHELIN</v>
      </c>
      <c r="F45" t="str">
        <f>LstEffectif[[#This Row],[nom]] &amp; " " &amp; LstEffectif[[#This Row],[prenom]]</f>
        <v>MICHELIN Paul</v>
      </c>
    </row>
    <row r="46" spans="1:6" s="3" customFormat="1" ht="14">
      <c r="A46">
        <v>42</v>
      </c>
      <c r="B46" s="85" t="s">
        <v>335</v>
      </c>
      <c r="C46" s="85" t="s">
        <v>336</v>
      </c>
      <c r="D46" s="85"/>
      <c r="E46" t="str">
        <f>LstEffectif[[#This Row],[prenom]] &amp; " " &amp; LstEffectif[[#This Row],[nom]]</f>
        <v>Leo Paul MORANT</v>
      </c>
      <c r="F46" t="str">
        <f>LstEffectif[[#This Row],[nom]] &amp; " " &amp; LstEffectif[[#This Row],[prenom]]</f>
        <v>MORANT Leo Paul</v>
      </c>
    </row>
    <row r="47" spans="1:6" s="3" customFormat="1" ht="14">
      <c r="A47">
        <v>43</v>
      </c>
      <c r="B47" s="85" t="s">
        <v>337</v>
      </c>
      <c r="C47" s="85" t="s">
        <v>338</v>
      </c>
      <c r="D47" s="85"/>
      <c r="E47" t="str">
        <f>LstEffectif[[#This Row],[prenom]] &amp; " " &amp; LstEffectif[[#This Row],[nom]]</f>
        <v>Alexis MOUDENS</v>
      </c>
      <c r="F47" t="str">
        <f>LstEffectif[[#This Row],[nom]] &amp; " " &amp; LstEffectif[[#This Row],[prenom]]</f>
        <v>MOUDENS Alexis</v>
      </c>
    </row>
    <row r="48" spans="1:6" s="3" customFormat="1" ht="14">
      <c r="A48">
        <v>44</v>
      </c>
      <c r="B48" s="85" t="s">
        <v>339</v>
      </c>
      <c r="C48" s="85" t="s">
        <v>340</v>
      </c>
      <c r="D48" s="85"/>
      <c r="E48" t="str">
        <f>LstEffectif[[#This Row],[prenom]] &amp; " " &amp; LstEffectif[[#This Row],[nom]]</f>
        <v>Antton MOURGUES</v>
      </c>
      <c r="F48" t="str">
        <f>LstEffectif[[#This Row],[nom]] &amp; " " &amp; LstEffectif[[#This Row],[prenom]]</f>
        <v>MOURGUES Antton</v>
      </c>
    </row>
    <row r="49" spans="1:6" s="3" customFormat="1" ht="14">
      <c r="A49">
        <v>45</v>
      </c>
      <c r="B49" s="85" t="s">
        <v>341</v>
      </c>
      <c r="C49" s="85" t="s">
        <v>342</v>
      </c>
      <c r="D49" s="85"/>
      <c r="E49" t="str">
        <f>LstEffectif[[#This Row],[prenom]] &amp; " " &amp; LstEffectif[[#This Row],[nom]]</f>
        <v>Thibaud MOURLAN</v>
      </c>
      <c r="F49" t="str">
        <f>LstEffectif[[#This Row],[nom]] &amp; " " &amp; LstEffectif[[#This Row],[prenom]]</f>
        <v>MOURLAN Thibaud</v>
      </c>
    </row>
    <row r="50" spans="1:6" s="3" customFormat="1" ht="14">
      <c r="A50">
        <v>46</v>
      </c>
      <c r="B50" s="85" t="s">
        <v>343</v>
      </c>
      <c r="C50" s="85" t="s">
        <v>344</v>
      </c>
      <c r="D50" s="85" t="s">
        <v>409</v>
      </c>
      <c r="E50" t="str">
        <f>LstEffectif[[#This Row],[prenom]] &amp; " " &amp; LstEffectif[[#This Row],[nom]]</f>
        <v>Martin MULLIER</v>
      </c>
      <c r="F50" t="str">
        <f>LstEffectif[[#This Row],[nom]] &amp; " " &amp; LstEffectif[[#This Row],[prenom]]</f>
        <v>MULLIER Martin</v>
      </c>
    </row>
    <row r="51" spans="1:6" s="3" customFormat="1" ht="14">
      <c r="A51">
        <v>47</v>
      </c>
      <c r="B51" s="85" t="s">
        <v>343</v>
      </c>
      <c r="C51" s="85" t="s">
        <v>345</v>
      </c>
      <c r="D51" s="85"/>
      <c r="E51" t="str">
        <f>LstEffectif[[#This Row],[prenom]] &amp; " " &amp; LstEffectif[[#This Row],[nom]]</f>
        <v>Victor MULLIER</v>
      </c>
      <c r="F51" t="str">
        <f>LstEffectif[[#This Row],[nom]] &amp; " " &amp; LstEffectif[[#This Row],[prenom]]</f>
        <v>MULLIER Victor</v>
      </c>
    </row>
    <row r="52" spans="1:6" s="3" customFormat="1" ht="14">
      <c r="A52">
        <v>48</v>
      </c>
      <c r="B52" s="85" t="s">
        <v>346</v>
      </c>
      <c r="C52" s="85" t="s">
        <v>347</v>
      </c>
      <c r="D52" s="85"/>
      <c r="E52" t="str">
        <f>LstEffectif[[#This Row],[prenom]] &amp; " " &amp; LstEffectif[[#This Row],[nom]]</f>
        <v>Tomy Lee NGUYEN</v>
      </c>
      <c r="F52" t="str">
        <f>LstEffectif[[#This Row],[nom]] &amp; " " &amp; LstEffectif[[#This Row],[prenom]]</f>
        <v>NGUYEN Tomy Lee</v>
      </c>
    </row>
    <row r="53" spans="1:6" s="3" customFormat="1" ht="14">
      <c r="A53">
        <v>49</v>
      </c>
      <c r="B53" s="85" t="s">
        <v>348</v>
      </c>
      <c r="C53" s="85" t="s">
        <v>349</v>
      </c>
      <c r="D53" s="85"/>
      <c r="E53" t="str">
        <f>LstEffectif[[#This Row],[prenom]] &amp; " " &amp; LstEffectif[[#This Row],[nom]]</f>
        <v>Alys NOILHAN</v>
      </c>
      <c r="F53" t="str">
        <f>LstEffectif[[#This Row],[nom]] &amp; " " &amp; LstEffectif[[#This Row],[prenom]]</f>
        <v>NOILHAN Alys</v>
      </c>
    </row>
    <row r="54" spans="1:6" s="3" customFormat="1" ht="14">
      <c r="A54">
        <v>50</v>
      </c>
      <c r="B54" s="85" t="s">
        <v>350</v>
      </c>
      <c r="C54" s="85" t="s">
        <v>323</v>
      </c>
      <c r="D54" s="85"/>
      <c r="E54" t="str">
        <f>LstEffectif[[#This Row],[prenom]] &amp; " " &amp; LstEffectif[[#This Row],[nom]]</f>
        <v>Kevin OLIVERA</v>
      </c>
      <c r="F54" t="str">
        <f>LstEffectif[[#This Row],[nom]] &amp; " " &amp; LstEffectif[[#This Row],[prenom]]</f>
        <v>OLIVERA Kevin</v>
      </c>
    </row>
    <row r="55" spans="1:6" s="3" customFormat="1" ht="14">
      <c r="A55">
        <v>51</v>
      </c>
      <c r="B55" s="85" t="s">
        <v>351</v>
      </c>
      <c r="C55" s="85" t="s">
        <v>352</v>
      </c>
      <c r="D55" s="85"/>
      <c r="E55" t="str">
        <f>LstEffectif[[#This Row],[prenom]] &amp; " " &amp; LstEffectif[[#This Row],[nom]]</f>
        <v>Maxime PIQUEMIL</v>
      </c>
      <c r="F55" t="str">
        <f>LstEffectif[[#This Row],[nom]] &amp; " " &amp; LstEffectif[[#This Row],[prenom]]</f>
        <v>PIQUEMIL Maxime</v>
      </c>
    </row>
    <row r="56" spans="1:6" s="3" customFormat="1" ht="14">
      <c r="A56">
        <v>52</v>
      </c>
      <c r="B56" s="85" t="s">
        <v>353</v>
      </c>
      <c r="C56" s="85" t="s">
        <v>297</v>
      </c>
      <c r="D56" s="85" t="s">
        <v>409</v>
      </c>
      <c r="E56" t="str">
        <f>LstEffectif[[#This Row],[prenom]] &amp; " " &amp; LstEffectif[[#This Row],[nom]]</f>
        <v>Julien POUYADOU</v>
      </c>
      <c r="F56" t="str">
        <f>LstEffectif[[#This Row],[nom]] &amp; " " &amp; LstEffectif[[#This Row],[prenom]]</f>
        <v>POUYADOU Julien</v>
      </c>
    </row>
    <row r="57" spans="1:6" s="3" customFormat="1" ht="14">
      <c r="A57">
        <v>53</v>
      </c>
      <c r="B57" s="85" t="s">
        <v>354</v>
      </c>
      <c r="C57" s="85" t="s">
        <v>267</v>
      </c>
      <c r="D57" s="85"/>
      <c r="E57" t="str">
        <f>LstEffectif[[#This Row],[prenom]] &amp; " " &amp; LstEffectif[[#This Row],[nom]]</f>
        <v>Louis RECURT</v>
      </c>
      <c r="F57" t="str">
        <f>LstEffectif[[#This Row],[nom]] &amp; " " &amp; LstEffectif[[#This Row],[prenom]]</f>
        <v>RECURT Louis</v>
      </c>
    </row>
    <row r="58" spans="1:6" s="3" customFormat="1" ht="14">
      <c r="A58">
        <v>54</v>
      </c>
      <c r="B58" s="85" t="s">
        <v>355</v>
      </c>
      <c r="C58" s="85" t="s">
        <v>356</v>
      </c>
      <c r="D58" s="85" t="s">
        <v>409</v>
      </c>
      <c r="E58" t="str">
        <f>LstEffectif[[#This Row],[prenom]] &amp; " " &amp; LstEffectif[[#This Row],[nom]]</f>
        <v>Damien RICHARD</v>
      </c>
      <c r="F58" t="str">
        <f>LstEffectif[[#This Row],[nom]] &amp; " " &amp; LstEffectif[[#This Row],[prenom]]</f>
        <v>RICHARD Damien</v>
      </c>
    </row>
    <row r="59" spans="1:6" s="3" customFormat="1" ht="14">
      <c r="A59">
        <v>55</v>
      </c>
      <c r="B59" s="85" t="s">
        <v>357</v>
      </c>
      <c r="C59" s="85" t="s">
        <v>235</v>
      </c>
      <c r="D59" s="85" t="s">
        <v>409</v>
      </c>
      <c r="E59" t="str">
        <f>LstEffectif[[#This Row],[prenom]] &amp; " " &amp; LstEffectif[[#This Row],[nom]]</f>
        <v>Gregory RICHIARDONNE</v>
      </c>
      <c r="F59" t="str">
        <f>LstEffectif[[#This Row],[nom]] &amp; " " &amp; LstEffectif[[#This Row],[prenom]]</f>
        <v>RICHIARDONNE Gregory</v>
      </c>
    </row>
    <row r="60" spans="1:6" s="3" customFormat="1" ht="14">
      <c r="A60">
        <v>56</v>
      </c>
      <c r="B60" s="85" t="s">
        <v>358</v>
      </c>
      <c r="C60" s="85" t="s">
        <v>359</v>
      </c>
      <c r="D60" s="85" t="s">
        <v>409</v>
      </c>
      <c r="E60" t="str">
        <f>LstEffectif[[#This Row],[prenom]] &amp; " " &amp; LstEffectif[[#This Row],[nom]]</f>
        <v>Jimmy ROBERT</v>
      </c>
      <c r="F60" t="str">
        <f>LstEffectif[[#This Row],[nom]] &amp; " " &amp; LstEffectif[[#This Row],[prenom]]</f>
        <v>ROBERT Jimmy</v>
      </c>
    </row>
    <row r="61" spans="1:6" s="3" customFormat="1" ht="14">
      <c r="A61">
        <v>57</v>
      </c>
      <c r="B61" s="85" t="s">
        <v>360</v>
      </c>
      <c r="C61" s="85" t="s">
        <v>361</v>
      </c>
      <c r="D61" s="85"/>
      <c r="E61" t="str">
        <f>LstEffectif[[#This Row],[prenom]] &amp; " " &amp; LstEffectif[[#This Row],[nom]]</f>
        <v>Mathis ROUSSEL</v>
      </c>
      <c r="F61" t="str">
        <f>LstEffectif[[#This Row],[nom]] &amp; " " &amp; LstEffectif[[#This Row],[prenom]]</f>
        <v>ROUSSEL Mathis</v>
      </c>
    </row>
    <row r="62" spans="1:6" s="3" customFormat="1" ht="14">
      <c r="A62">
        <v>58</v>
      </c>
      <c r="B62" s="85" t="s">
        <v>362</v>
      </c>
      <c r="C62" s="85" t="s">
        <v>363</v>
      </c>
      <c r="D62" s="85"/>
      <c r="E62" t="str">
        <f>LstEffectif[[#This Row],[prenom]] &amp; " " &amp; LstEffectif[[#This Row],[nom]]</f>
        <v>Fabien SALLES</v>
      </c>
      <c r="F62" t="str">
        <f>LstEffectif[[#This Row],[nom]] &amp; " " &amp; LstEffectif[[#This Row],[prenom]]</f>
        <v>SALLES Fabien</v>
      </c>
    </row>
    <row r="63" spans="1:6" s="3" customFormat="1" ht="14">
      <c r="A63">
        <v>59</v>
      </c>
      <c r="B63" s="85" t="s">
        <v>362</v>
      </c>
      <c r="C63" s="85" t="s">
        <v>295</v>
      </c>
      <c r="D63" s="85"/>
      <c r="E63" t="str">
        <f>LstEffectif[[#This Row],[prenom]] &amp; " " &amp; LstEffectif[[#This Row],[nom]]</f>
        <v>Dorian SALLES</v>
      </c>
      <c r="F63" t="str">
        <f>LstEffectif[[#This Row],[nom]] &amp; " " &amp; LstEffectif[[#This Row],[prenom]]</f>
        <v>SALLES Dorian</v>
      </c>
    </row>
    <row r="64" spans="1:6" s="3" customFormat="1" ht="14">
      <c r="A64">
        <v>60</v>
      </c>
      <c r="B64" s="85" t="s">
        <v>364</v>
      </c>
      <c r="C64" s="85" t="s">
        <v>365</v>
      </c>
      <c r="D64" s="85"/>
      <c r="E64" t="str">
        <f>LstEffectif[[#This Row],[prenom]] &amp; " " &amp; LstEffectif[[#This Row],[nom]]</f>
        <v>Dylan SIMOES</v>
      </c>
      <c r="F64" t="str">
        <f>LstEffectif[[#This Row],[nom]] &amp; " " &amp; LstEffectif[[#This Row],[prenom]]</f>
        <v>SIMOES Dylan</v>
      </c>
    </row>
    <row r="65" spans="1:6" s="3" customFormat="1" ht="14">
      <c r="A65">
        <v>61</v>
      </c>
      <c r="B65" s="85" t="s">
        <v>366</v>
      </c>
      <c r="C65" s="85" t="s">
        <v>270</v>
      </c>
      <c r="D65" s="85" t="s">
        <v>409</v>
      </c>
      <c r="E65" t="str">
        <f>LstEffectif[[#This Row],[prenom]] &amp; " " &amp; LstEffectif[[#This Row],[nom]]</f>
        <v>Quentin SOUVILLE</v>
      </c>
      <c r="F65" t="str">
        <f>LstEffectif[[#This Row],[nom]] &amp; " " &amp; LstEffectif[[#This Row],[prenom]]</f>
        <v>SOUVILLE Quentin</v>
      </c>
    </row>
    <row r="66" spans="1:6" s="3" customFormat="1" ht="14">
      <c r="A66">
        <v>70</v>
      </c>
      <c r="B66" s="85" t="s">
        <v>508</v>
      </c>
      <c r="C66" s="85" t="s">
        <v>507</v>
      </c>
      <c r="D66" s="85"/>
      <c r="E66" t="str">
        <f>LstEffectif[[#This Row],[prenom]] &amp; " " &amp; LstEffectif[[#This Row],[nom]]</f>
        <v>Titouan STEFANI</v>
      </c>
      <c r="F66" t="str">
        <f>LstEffectif[[#This Row],[nom]] &amp; " " &amp; LstEffectif[[#This Row],[prenom]]</f>
        <v>STEFANI Titouan</v>
      </c>
    </row>
    <row r="67" spans="1:6" s="3" customFormat="1" ht="14">
      <c r="A67">
        <v>62</v>
      </c>
      <c r="B67" s="85" t="s">
        <v>367</v>
      </c>
      <c r="C67" s="85" t="s">
        <v>368</v>
      </c>
      <c r="D67" s="85"/>
      <c r="E67" t="str">
        <f>LstEffectif[[#This Row],[prenom]] &amp; " " &amp; LstEffectif[[#This Row],[nom]]</f>
        <v>Gatien SUSPENE</v>
      </c>
      <c r="F67" t="str">
        <f>LstEffectif[[#This Row],[nom]] &amp; " " &amp; LstEffectif[[#This Row],[prenom]]</f>
        <v>SUSPENE Gatien</v>
      </c>
    </row>
    <row r="68" spans="1:6" s="3" customFormat="1" ht="14">
      <c r="A68">
        <v>63</v>
      </c>
      <c r="B68" s="85" t="s">
        <v>369</v>
      </c>
      <c r="C68" s="85" t="s">
        <v>370</v>
      </c>
      <c r="D68" s="85"/>
      <c r="E68" t="str">
        <f>LstEffectif[[#This Row],[prenom]] &amp; " " &amp; LstEffectif[[#This Row],[nom]]</f>
        <v>Faid TABTI</v>
      </c>
      <c r="F68" t="str">
        <f>LstEffectif[[#This Row],[nom]] &amp; " " &amp; LstEffectif[[#This Row],[prenom]]</f>
        <v>TABTI Faid</v>
      </c>
    </row>
    <row r="69" spans="1:6" s="3" customFormat="1" ht="14">
      <c r="A69">
        <v>64</v>
      </c>
      <c r="B69" s="85" t="s">
        <v>371</v>
      </c>
      <c r="C69" s="85" t="s">
        <v>295</v>
      </c>
      <c r="D69" s="85"/>
      <c r="E69" t="str">
        <f>LstEffectif[[#This Row],[prenom]] &amp; " " &amp; LstEffectif[[#This Row],[nom]]</f>
        <v>Dorian TOUVAT</v>
      </c>
      <c r="F69" t="str">
        <f>LstEffectif[[#This Row],[nom]] &amp; " " &amp; LstEffectif[[#This Row],[prenom]]</f>
        <v>TOUVAT Dorian</v>
      </c>
    </row>
    <row r="70" spans="1:6" s="3" customFormat="1" ht="14">
      <c r="A70">
        <v>65</v>
      </c>
      <c r="B70" s="85" t="s">
        <v>372</v>
      </c>
      <c r="C70" s="85" t="s">
        <v>373</v>
      </c>
      <c r="D70" s="85"/>
      <c r="E70" t="str">
        <f>LstEffectif[[#This Row],[prenom]] &amp; " " &amp; LstEffectif[[#This Row],[nom]]</f>
        <v>Aymeric VANDEKERKOF</v>
      </c>
      <c r="F70" t="str">
        <f>LstEffectif[[#This Row],[nom]] &amp; " " &amp; LstEffectif[[#This Row],[prenom]]</f>
        <v>VANDEKERKOF Aymeric</v>
      </c>
    </row>
    <row r="71" spans="1:6" s="3" customFormat="1" ht="14">
      <c r="A71">
        <v>66</v>
      </c>
      <c r="B71" s="85" t="s">
        <v>374</v>
      </c>
      <c r="C71" s="85" t="s">
        <v>282</v>
      </c>
      <c r="D71" s="85"/>
      <c r="E71" t="str">
        <f>LstEffectif[[#This Row],[prenom]] &amp; " " &amp; LstEffectif[[#This Row],[nom]]</f>
        <v>Sebastien VINCENT</v>
      </c>
      <c r="F71" t="str">
        <f>LstEffectif[[#This Row],[nom]] &amp; " " &amp; LstEffectif[[#This Row],[prenom]]</f>
        <v>VINCENT Sebastien</v>
      </c>
    </row>
    <row r="72" spans="1:6" s="3" customFormat="1" ht="14">
      <c r="A72">
        <v>67</v>
      </c>
      <c r="B72" s="85" t="s">
        <v>375</v>
      </c>
      <c r="C72" s="85" t="s">
        <v>376</v>
      </c>
      <c r="D72" s="85"/>
      <c r="E72" t="str">
        <f>LstEffectif[[#This Row],[prenom]] &amp; " " &amp; LstEffectif[[#This Row],[nom]]</f>
        <v>Fritz Lane ZIGI MBITTA</v>
      </c>
      <c r="F72" t="str">
        <f>LstEffectif[[#This Row],[nom]] &amp; " " &amp; LstEffectif[[#This Row],[prenom]]</f>
        <v>ZIGI MBITTA Fritz Lane</v>
      </c>
    </row>
    <row r="73" spans="1:6" s="3" customFormat="1"/>
    <row r="74" spans="1:6" s="3" customFormat="1"/>
    <row r="75" spans="1:6" s="3" customFormat="1"/>
    <row r="76" spans="1:6" s="3" customFormat="1"/>
    <row r="77" spans="1:6" s="3" customFormat="1"/>
    <row r="78" spans="1:6" s="3" customFormat="1"/>
    <row r="79" spans="1:6" s="3" customFormat="1"/>
    <row r="80" spans="1:6" s="3" customFormat="1"/>
    <row r="81" s="3" customFormat="1"/>
    <row r="82" s="3" customFormat="1"/>
    <row r="83" s="3" customFormat="1"/>
    <row r="84" s="3" customFormat="1"/>
    <row r="85" s="3" customFormat="1"/>
    <row r="86" s="3" customFormat="1"/>
    <row r="87" s="3" customFormat="1"/>
    <row r="88" s="3" customFormat="1"/>
    <row r="89" s="3" customFormat="1"/>
    <row r="90" s="3" customFormat="1"/>
    <row r="91" s="3" customFormat="1"/>
    <row r="92" s="3" customFormat="1"/>
    <row r="93" s="3" customFormat="1"/>
    <row r="94" s="3" customFormat="1"/>
    <row r="95" s="3" customFormat="1"/>
    <row r="96" s="3" customFormat="1"/>
    <row r="97" s="3" customFormat="1"/>
    <row r="98" s="3" customFormat="1"/>
    <row r="99" s="3" customFormat="1"/>
    <row r="100" s="3" customFormat="1"/>
    <row r="101" s="3" customFormat="1"/>
    <row r="102" s="3" customFormat="1"/>
    <row r="103" s="3" customFormat="1"/>
    <row r="104" s="3" customFormat="1"/>
    <row r="105" s="3" customFormat="1"/>
    <row r="106" s="3" customFormat="1"/>
    <row r="107" s="3" customFormat="1"/>
    <row r="108" s="3" customFormat="1"/>
    <row r="109" s="3" customFormat="1"/>
    <row r="110" s="3" customFormat="1"/>
    <row r="111" s="3" customFormat="1"/>
    <row r="112" s="3" customFormat="1"/>
    <row r="113" s="3" customFormat="1"/>
    <row r="114" s="3" customFormat="1"/>
    <row r="115" s="3" customFormat="1"/>
    <row r="116" s="3" customFormat="1"/>
    <row r="117" s="3" customFormat="1"/>
    <row r="118" s="3" customFormat="1"/>
    <row r="119" s="3" customFormat="1"/>
    <row r="120" s="3" customFormat="1"/>
    <row r="121" s="3" customFormat="1"/>
    <row r="122" s="3" customFormat="1"/>
    <row r="123" s="3" customFormat="1"/>
    <row r="124" s="3" customFormat="1"/>
    <row r="125" s="3" customFormat="1"/>
    <row r="126" s="3" customFormat="1"/>
    <row r="127" s="3" customFormat="1"/>
    <row r="128" s="3" customFormat="1"/>
    <row r="129" s="3" customFormat="1"/>
    <row r="130" s="3" customFormat="1"/>
    <row r="131" s="3" customFormat="1"/>
    <row r="132" s="3" customFormat="1"/>
    <row r="133" s="3" customFormat="1"/>
    <row r="134" s="3" customFormat="1"/>
    <row r="135" s="3" customFormat="1"/>
    <row r="136" s="3" customFormat="1"/>
    <row r="137" s="3" customFormat="1"/>
    <row r="138" s="3" customFormat="1"/>
    <row r="139" s="3" customFormat="1"/>
    <row r="140" s="3" customFormat="1"/>
    <row r="141" s="3" customFormat="1"/>
    <row r="142" s="3" customFormat="1"/>
    <row r="143" s="3" customFormat="1"/>
    <row r="144" s="3" customFormat="1"/>
    <row r="145" s="3" customFormat="1"/>
    <row r="146" s="3" customFormat="1"/>
    <row r="147" s="3" customFormat="1"/>
    <row r="148" s="3" customFormat="1"/>
    <row r="149" s="3" customFormat="1"/>
    <row r="150" s="3" customFormat="1"/>
    <row r="151" s="3" customFormat="1"/>
    <row r="152" s="3" customFormat="1"/>
    <row r="153" s="3" customFormat="1"/>
    <row r="154" s="3" customFormat="1"/>
    <row r="155" s="3" customFormat="1"/>
    <row r="156" s="3" customFormat="1"/>
    <row r="157" s="3" customFormat="1"/>
    <row r="158" s="3" customFormat="1"/>
    <row r="159" s="3" customFormat="1"/>
    <row r="160" s="3" customFormat="1"/>
    <row r="161" s="3" customFormat="1"/>
    <row r="162" s="3" customFormat="1"/>
    <row r="163" s="3" customFormat="1"/>
    <row r="164" s="3" customFormat="1"/>
    <row r="165" s="3" customFormat="1"/>
    <row r="166" s="3" customFormat="1"/>
    <row r="167" s="3" customFormat="1"/>
    <row r="168" s="3" customFormat="1"/>
    <row r="169" s="3" customFormat="1"/>
    <row r="170" s="3" customFormat="1"/>
    <row r="171" s="3" customFormat="1"/>
    <row r="172" s="3" customFormat="1"/>
    <row r="173" s="3" customFormat="1"/>
    <row r="174" s="3" customFormat="1"/>
    <row r="175" s="3" customFormat="1"/>
    <row r="176" s="3" customFormat="1"/>
    <row r="177" s="3" customFormat="1"/>
    <row r="178" s="3" customFormat="1"/>
    <row r="179" s="3" customFormat="1"/>
    <row r="180" s="3" customFormat="1"/>
    <row r="181" s="3" customFormat="1"/>
    <row r="182" s="3" customFormat="1"/>
    <row r="183" s="3" customFormat="1"/>
    <row r="184" s="3" customFormat="1"/>
    <row r="185" s="3" customFormat="1"/>
    <row r="186" s="3" customFormat="1"/>
    <row r="187" s="3" customFormat="1"/>
    <row r="188" s="3" customFormat="1"/>
    <row r="189" s="3" customFormat="1"/>
    <row r="190" s="3" customFormat="1"/>
    <row r="191" s="3" customFormat="1"/>
    <row r="192" s="3" customFormat="1"/>
    <row r="193" s="3" customFormat="1"/>
    <row r="194" s="3" customFormat="1"/>
    <row r="195" s="3" customFormat="1"/>
    <row r="196" s="3" customFormat="1"/>
    <row r="197" s="3" customFormat="1"/>
    <row r="198" s="3" customFormat="1"/>
    <row r="199" s="3" customFormat="1"/>
    <row r="200" s="3" customFormat="1"/>
    <row r="201" s="3" customFormat="1"/>
    <row r="202" s="3" customFormat="1"/>
    <row r="203" s="3" customFormat="1"/>
    <row r="204" s="3" customFormat="1"/>
    <row r="205" s="3" customFormat="1"/>
    <row r="206" s="3" customFormat="1"/>
    <row r="207" s="3" customFormat="1"/>
    <row r="208" s="3" customFormat="1"/>
    <row r="209" s="3" customFormat="1"/>
    <row r="210" s="3" customFormat="1"/>
    <row r="211" s="3" customFormat="1"/>
    <row r="212" s="3" customFormat="1"/>
    <row r="213" s="3" customFormat="1"/>
    <row r="214" s="3" customFormat="1"/>
    <row r="215" s="3" customFormat="1"/>
    <row r="216" s="3" customFormat="1"/>
    <row r="217" s="3" customFormat="1"/>
    <row r="218" s="3" customFormat="1"/>
    <row r="219" s="3" customFormat="1"/>
    <row r="220" s="3" customFormat="1"/>
    <row r="221" s="3" customFormat="1"/>
    <row r="222" s="3" customFormat="1"/>
    <row r="223" s="3" customFormat="1"/>
    <row r="224" s="3" customFormat="1"/>
    <row r="225" s="3" customFormat="1"/>
    <row r="226" s="3" customFormat="1"/>
    <row r="227" s="3" customFormat="1"/>
    <row r="228" s="3" customFormat="1"/>
    <row r="229" s="3" customFormat="1"/>
    <row r="230" s="3" customFormat="1"/>
    <row r="231" s="3" customFormat="1"/>
    <row r="232" s="3" customFormat="1"/>
    <row r="233" s="3" customFormat="1"/>
    <row r="234" s="3" customFormat="1"/>
    <row r="235" s="3" customFormat="1"/>
    <row r="236" s="3" customFormat="1"/>
    <row r="237" s="3" customFormat="1"/>
    <row r="238" s="3" customFormat="1"/>
    <row r="239" s="3" customFormat="1"/>
    <row r="240" s="3" customFormat="1"/>
    <row r="241" s="3" customFormat="1"/>
    <row r="242" s="3" customFormat="1"/>
    <row r="243" s="3" customFormat="1"/>
    <row r="244" s="3" customFormat="1"/>
    <row r="245" s="3" customFormat="1"/>
    <row r="246" s="3" customFormat="1"/>
    <row r="247" s="3" customFormat="1"/>
    <row r="248" s="3" customFormat="1"/>
    <row r="249" s="3" customFormat="1"/>
    <row r="250" s="3" customFormat="1"/>
    <row r="251" s="3" customFormat="1"/>
    <row r="252" s="3" customFormat="1"/>
    <row r="253" s="3" customFormat="1"/>
    <row r="254" s="3" customFormat="1"/>
    <row r="255" s="3" customFormat="1"/>
    <row r="256" s="3" customFormat="1"/>
    <row r="257" s="3" customFormat="1"/>
    <row r="258" s="3" customFormat="1"/>
    <row r="259" s="3" customFormat="1"/>
    <row r="260" s="3" customFormat="1"/>
    <row r="261" s="3" customFormat="1"/>
    <row r="262" s="3" customFormat="1"/>
    <row r="263" s="3" customFormat="1"/>
    <row r="264" s="3" customFormat="1"/>
    <row r="265" s="3" customFormat="1"/>
    <row r="266" s="3" customFormat="1"/>
    <row r="267" s="3" customFormat="1"/>
    <row r="268" s="3" customFormat="1"/>
    <row r="269" s="3" customFormat="1"/>
    <row r="270" s="3" customFormat="1"/>
    <row r="271" s="3" customFormat="1"/>
    <row r="272" s="3" customFormat="1"/>
    <row r="273" s="3" customFormat="1"/>
    <row r="274" s="3" customFormat="1"/>
    <row r="275" s="3" customFormat="1"/>
    <row r="276" s="3" customFormat="1"/>
    <row r="277" s="3" customFormat="1"/>
    <row r="278" s="3" customFormat="1"/>
    <row r="279" s="3" customFormat="1"/>
    <row r="280" s="3" customFormat="1"/>
    <row r="281" s="3" customFormat="1"/>
    <row r="282" s="3" customFormat="1"/>
    <row r="283" s="3" customFormat="1"/>
    <row r="284" s="3" customFormat="1"/>
    <row r="285" s="3" customFormat="1"/>
    <row r="286" s="3" customFormat="1"/>
    <row r="287" s="3" customFormat="1"/>
    <row r="288" s="3" customFormat="1"/>
    <row r="289" spans="1:6" s="3" customFormat="1"/>
    <row r="290" spans="1:6" s="3" customFormat="1"/>
    <row r="291" spans="1:6" s="3" customFormat="1"/>
    <row r="292" spans="1:6" s="3" customFormat="1"/>
    <row r="293" spans="1:6" s="3" customFormat="1"/>
    <row r="294" spans="1:6" s="3" customFormat="1"/>
    <row r="295" spans="1:6" s="3" customFormat="1"/>
    <row r="296" spans="1:6" s="3" customFormat="1"/>
    <row r="297" spans="1:6" s="3" customFormat="1"/>
    <row r="298" spans="1:6" s="3" customFormat="1"/>
    <row r="299" spans="1:6" s="3" customFormat="1"/>
    <row r="300" spans="1:6" s="3" customFormat="1">
      <c r="A300"/>
      <c r="B300"/>
      <c r="C300"/>
      <c r="D300"/>
      <c r="E300"/>
      <c r="F300"/>
    </row>
    <row r="301" spans="1:6" s="3" customFormat="1">
      <c r="A301"/>
      <c r="B301"/>
      <c r="C301"/>
      <c r="D301"/>
      <c r="E301"/>
      <c r="F301"/>
    </row>
    <row r="302" spans="1:6" s="3" customFormat="1">
      <c r="A302"/>
      <c r="B302"/>
      <c r="C302"/>
      <c r="D302"/>
      <c r="E302"/>
      <c r="F302"/>
    </row>
    <row r="303" spans="1:6" s="3" customFormat="1">
      <c r="A303"/>
      <c r="B303"/>
      <c r="C303"/>
      <c r="D303"/>
      <c r="E303"/>
      <c r="F303"/>
    </row>
    <row r="304" spans="1:6" s="3" customFormat="1">
      <c r="A304"/>
      <c r="B304"/>
      <c r="C304"/>
      <c r="D304"/>
      <c r="E304"/>
      <c r="F304"/>
    </row>
    <row r="305" spans="1:6" s="3" customFormat="1">
      <c r="A305"/>
      <c r="B305"/>
      <c r="C305"/>
      <c r="D305"/>
      <c r="E305"/>
      <c r="F305"/>
    </row>
    <row r="306" spans="1:6" s="3" customFormat="1">
      <c r="A306"/>
      <c r="B306"/>
      <c r="C306"/>
      <c r="D306"/>
      <c r="E306"/>
      <c r="F306"/>
    </row>
    <row r="307" spans="1:6" s="3" customFormat="1">
      <c r="A307"/>
      <c r="B307"/>
      <c r="C307"/>
      <c r="D307"/>
      <c r="E307"/>
      <c r="F307"/>
    </row>
    <row r="308" spans="1:6" s="3" customFormat="1">
      <c r="A308"/>
      <c r="B308"/>
      <c r="C308"/>
      <c r="D308"/>
      <c r="E308"/>
      <c r="F308"/>
    </row>
    <row r="309" spans="1:6" s="3" customFormat="1">
      <c r="A309"/>
      <c r="B309"/>
      <c r="C309"/>
      <c r="D309"/>
      <c r="E309"/>
      <c r="F309"/>
    </row>
    <row r="310" spans="1:6" s="3" customFormat="1">
      <c r="A310"/>
      <c r="B310"/>
      <c r="C310"/>
      <c r="D310"/>
      <c r="E310"/>
      <c r="F310"/>
    </row>
    <row r="311" spans="1:6" s="3" customFormat="1">
      <c r="A311"/>
      <c r="B311"/>
      <c r="C311"/>
      <c r="D311"/>
      <c r="E311"/>
      <c r="F311"/>
    </row>
    <row r="312" spans="1:6" s="3" customFormat="1">
      <c r="A312"/>
      <c r="B312"/>
      <c r="C312"/>
      <c r="D312"/>
      <c r="E312"/>
      <c r="F312"/>
    </row>
    <row r="313" spans="1:6" s="3" customFormat="1">
      <c r="A313"/>
      <c r="B313"/>
      <c r="C313"/>
      <c r="D313"/>
      <c r="E313"/>
      <c r="F313"/>
    </row>
    <row r="314" spans="1:6" s="3" customFormat="1">
      <c r="A314"/>
      <c r="B314"/>
      <c r="C314"/>
      <c r="D314"/>
      <c r="E314"/>
      <c r="F314"/>
    </row>
    <row r="315" spans="1:6" s="3" customFormat="1">
      <c r="A315"/>
      <c r="B315"/>
      <c r="C315"/>
      <c r="D315"/>
      <c r="E315"/>
      <c r="F315"/>
    </row>
    <row r="316" spans="1:6" s="3" customFormat="1">
      <c r="A316"/>
      <c r="B316"/>
      <c r="C316"/>
      <c r="D316"/>
      <c r="E316"/>
      <c r="F316"/>
    </row>
    <row r="317" spans="1:6" s="3" customFormat="1">
      <c r="A317"/>
      <c r="B317"/>
      <c r="C317"/>
      <c r="D317"/>
      <c r="E317"/>
      <c r="F317"/>
    </row>
    <row r="318" spans="1:6" s="3" customFormat="1">
      <c r="A318"/>
      <c r="B318"/>
      <c r="C318"/>
      <c r="D318"/>
      <c r="E318"/>
      <c r="F318"/>
    </row>
    <row r="319" spans="1:6" s="3" customFormat="1">
      <c r="A319"/>
      <c r="B319"/>
      <c r="C319"/>
      <c r="D319"/>
      <c r="E319"/>
      <c r="F319"/>
    </row>
    <row r="320" spans="1:6" s="3" customFormat="1">
      <c r="A320"/>
      <c r="B320"/>
      <c r="C320"/>
      <c r="D320"/>
      <c r="E320"/>
      <c r="F320"/>
    </row>
    <row r="321" spans="1:6" s="3" customFormat="1">
      <c r="A321"/>
      <c r="B321"/>
      <c r="C321"/>
      <c r="D321"/>
      <c r="E321"/>
      <c r="F321"/>
    </row>
    <row r="322" spans="1:6" s="3" customFormat="1">
      <c r="A322"/>
      <c r="B322"/>
      <c r="C322"/>
      <c r="D322"/>
      <c r="E322"/>
      <c r="F322"/>
    </row>
    <row r="323" spans="1:6" s="3" customFormat="1">
      <c r="A323"/>
      <c r="B323"/>
      <c r="C323"/>
      <c r="D323"/>
      <c r="E323"/>
      <c r="F323"/>
    </row>
    <row r="324" spans="1:6" s="3" customFormat="1">
      <c r="A324"/>
      <c r="B324"/>
      <c r="C324"/>
      <c r="D324"/>
      <c r="E324"/>
      <c r="F324"/>
    </row>
    <row r="325" spans="1:6" s="3" customFormat="1">
      <c r="A325"/>
      <c r="B325"/>
      <c r="C325"/>
      <c r="D325"/>
      <c r="E325"/>
      <c r="F325"/>
    </row>
    <row r="326" spans="1:6" s="3" customFormat="1">
      <c r="A326"/>
      <c r="B326"/>
      <c r="C326"/>
      <c r="D326"/>
      <c r="E326"/>
      <c r="F326"/>
    </row>
    <row r="327" spans="1:6" s="3" customFormat="1">
      <c r="A327"/>
      <c r="B327"/>
      <c r="C327"/>
      <c r="D327"/>
      <c r="E327"/>
      <c r="F327"/>
    </row>
    <row r="328" spans="1:6" s="3" customFormat="1">
      <c r="A328"/>
      <c r="B328"/>
      <c r="C328"/>
      <c r="D328"/>
      <c r="E328"/>
      <c r="F328"/>
    </row>
    <row r="329" spans="1:6" s="3" customFormat="1">
      <c r="A329"/>
      <c r="B329"/>
      <c r="C329"/>
      <c r="D329"/>
      <c r="E329"/>
      <c r="F329"/>
    </row>
    <row r="330" spans="1:6" s="3" customFormat="1">
      <c r="A330"/>
      <c r="B330"/>
      <c r="C330"/>
      <c r="D330"/>
      <c r="E330"/>
      <c r="F330"/>
    </row>
    <row r="331" spans="1:6" s="3" customFormat="1">
      <c r="A331"/>
      <c r="B331"/>
      <c r="C331"/>
      <c r="D331"/>
      <c r="E331"/>
      <c r="F331"/>
    </row>
    <row r="332" spans="1:6" s="3" customFormat="1">
      <c r="A332"/>
      <c r="B332"/>
      <c r="C332"/>
      <c r="D332"/>
      <c r="E332"/>
      <c r="F332"/>
    </row>
    <row r="333" spans="1:6" s="3" customFormat="1">
      <c r="A333"/>
      <c r="B333"/>
      <c r="C333"/>
      <c r="D333"/>
      <c r="E333"/>
      <c r="F333"/>
    </row>
    <row r="334" spans="1:6" s="3" customFormat="1">
      <c r="A334"/>
      <c r="B334"/>
      <c r="C334"/>
      <c r="D334"/>
      <c r="E334"/>
      <c r="F334"/>
    </row>
    <row r="335" spans="1:6" s="3" customFormat="1">
      <c r="A335"/>
      <c r="B335"/>
      <c r="C335"/>
      <c r="D335"/>
      <c r="E335"/>
      <c r="F335"/>
    </row>
    <row r="336" spans="1:6" s="3" customFormat="1">
      <c r="A336"/>
      <c r="B336"/>
      <c r="C336"/>
      <c r="D336"/>
      <c r="E336"/>
      <c r="F336"/>
    </row>
  </sheetData>
  <dataValidations count="1">
    <dataValidation type="list" allowBlank="1" showInputMessage="1" showErrorMessage="1" sqref="D2:D72" xr:uid="{0FA0F834-317F-4C42-A1D9-EEF2FDF7CF9C}">
      <formula1>OUI_NON</formula1>
    </dataValidation>
  </dataValidations>
  <pageMargins left="0.7" right="0.7" top="0.75" bottom="0.75" header="0.3" footer="0.3"/>
  <drawing r:id="rId1"/>
  <tableParts count="2">
    <tablePart r:id="rId2"/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B60976-CCCF-6B43-9472-2E520DB7F0C7}">
  <sheetPr codeName="Feuil5"/>
  <dimension ref="A1:NU137"/>
  <sheetViews>
    <sheetView tabSelected="1" workbookViewId="0">
      <selection activeCell="C33" sqref="C33"/>
    </sheetView>
    <sheetView workbookViewId="1"/>
  </sheetViews>
  <sheetFormatPr baseColWidth="10" defaultRowHeight="13"/>
  <cols>
    <col min="1" max="1" width="8.33203125" style="63" bestFit="1" customWidth="1"/>
    <col min="2" max="2" width="17.83203125" customWidth="1"/>
    <col min="3" max="3" width="24.83203125" customWidth="1"/>
    <col min="4" max="4" width="14.1640625" style="63" bestFit="1" customWidth="1"/>
    <col min="5" max="5" width="8.33203125" bestFit="1" customWidth="1"/>
    <col min="6" max="6" width="25.1640625" bestFit="1" customWidth="1"/>
    <col min="7" max="7" width="13.83203125" bestFit="1" customWidth="1"/>
    <col min="8" max="8" width="14.1640625" bestFit="1" customWidth="1"/>
    <col min="9" max="385" width="10.83203125" style="3"/>
  </cols>
  <sheetData>
    <row r="1" spans="1:8" s="3" customFormat="1" ht="14" thickBot="1">
      <c r="A1" s="63"/>
      <c r="D1" s="63"/>
    </row>
    <row r="2" spans="1:8" ht="19" customHeight="1">
      <c r="B2" s="170" t="s">
        <v>200</v>
      </c>
      <c r="C2" s="170"/>
      <c r="E2" s="171" t="str">
        <f>"FEUILLE COMPO "&amp;MATCH_NOUS</f>
        <v>FEUILLE COMPO MXV</v>
      </c>
      <c r="F2" s="172"/>
      <c r="G2" s="172"/>
      <c r="H2" s="173"/>
    </row>
    <row r="3" spans="1:8" ht="19" customHeight="1">
      <c r="B3" s="170"/>
      <c r="C3" s="170"/>
      <c r="E3" s="174"/>
      <c r="F3" s="175"/>
      <c r="G3" s="175"/>
      <c r="H3" s="176"/>
    </row>
    <row r="4" spans="1:8" ht="19" customHeight="1" thickBot="1">
      <c r="B4" s="170"/>
      <c r="C4" s="170"/>
      <c r="E4" s="177"/>
      <c r="F4" s="178"/>
      <c r="G4" s="178"/>
      <c r="H4" s="179"/>
    </row>
    <row r="5" spans="1:8" s="3" customFormat="1">
      <c r="A5" s="63"/>
      <c r="D5" s="63"/>
    </row>
    <row r="6" spans="1:8">
      <c r="B6" s="42" t="s">
        <v>180</v>
      </c>
      <c r="C6" s="43" t="s">
        <v>387</v>
      </c>
      <c r="E6" t="s">
        <v>67</v>
      </c>
      <c r="F6" t="s">
        <v>68</v>
      </c>
      <c r="G6" t="s">
        <v>151</v>
      </c>
      <c r="H6" t="s">
        <v>150</v>
      </c>
    </row>
    <row r="7" spans="1:8">
      <c r="B7" s="3"/>
      <c r="C7" s="3"/>
      <c r="E7">
        <v>1</v>
      </c>
      <c r="F7" t="s">
        <v>480</v>
      </c>
      <c r="G7" t="s">
        <v>153</v>
      </c>
    </row>
    <row r="8" spans="1:8">
      <c r="B8" s="42" t="s">
        <v>208</v>
      </c>
      <c r="C8" s="43">
        <v>46314</v>
      </c>
      <c r="E8">
        <v>2</v>
      </c>
      <c r="F8" t="s">
        <v>492</v>
      </c>
      <c r="G8" t="s">
        <v>153</v>
      </c>
    </row>
    <row r="9" spans="1:8">
      <c r="B9" s="3"/>
      <c r="C9" s="3"/>
      <c r="E9">
        <v>3</v>
      </c>
      <c r="F9" t="s">
        <v>482</v>
      </c>
      <c r="G9" t="s">
        <v>153</v>
      </c>
    </row>
    <row r="10" spans="1:8">
      <c r="B10" s="42" t="s">
        <v>505</v>
      </c>
      <c r="C10" s="43" t="s">
        <v>506</v>
      </c>
      <c r="E10">
        <v>4</v>
      </c>
      <c r="F10" t="s">
        <v>509</v>
      </c>
      <c r="G10" t="s">
        <v>153</v>
      </c>
    </row>
    <row r="11" spans="1:8">
      <c r="B11" s="3"/>
      <c r="C11" s="3"/>
      <c r="E11">
        <v>5</v>
      </c>
      <c r="F11" t="s">
        <v>483</v>
      </c>
      <c r="G11" t="s">
        <v>153</v>
      </c>
    </row>
    <row r="12" spans="1:8">
      <c r="B12" s="42" t="s">
        <v>181</v>
      </c>
      <c r="C12" s="43" t="s">
        <v>380</v>
      </c>
      <c r="E12">
        <v>6</v>
      </c>
      <c r="F12" t="s">
        <v>510</v>
      </c>
      <c r="G12" t="s">
        <v>153</v>
      </c>
    </row>
    <row r="13" spans="1:8">
      <c r="B13" s="3"/>
      <c r="C13" s="3"/>
      <c r="E13">
        <v>7</v>
      </c>
      <c r="F13" t="s">
        <v>493</v>
      </c>
      <c r="G13" t="s">
        <v>153</v>
      </c>
    </row>
    <row r="14" spans="1:8">
      <c r="B14" s="42" t="s">
        <v>207</v>
      </c>
      <c r="C14" s="43" t="s">
        <v>186</v>
      </c>
      <c r="E14">
        <v>8</v>
      </c>
      <c r="F14" t="s">
        <v>484</v>
      </c>
      <c r="G14" t="s">
        <v>153</v>
      </c>
    </row>
    <row r="15" spans="1:8">
      <c r="B15" s="3"/>
      <c r="C15" s="3"/>
      <c r="E15" s="35">
        <v>9</v>
      </c>
      <c r="F15" s="35" t="s">
        <v>485</v>
      </c>
      <c r="G15" s="35" t="s">
        <v>169</v>
      </c>
      <c r="H15" s="35"/>
    </row>
    <row r="16" spans="1:8">
      <c r="B16" s="42" t="s">
        <v>182</v>
      </c>
      <c r="C16" s="43" t="s">
        <v>178</v>
      </c>
      <c r="E16">
        <v>10</v>
      </c>
      <c r="F16" t="s">
        <v>486</v>
      </c>
      <c r="G16" t="s">
        <v>169</v>
      </c>
    </row>
    <row r="17" spans="1:8">
      <c r="B17" s="3"/>
      <c r="C17" s="64"/>
      <c r="E17">
        <v>11</v>
      </c>
      <c r="F17" t="s">
        <v>487</v>
      </c>
      <c r="G17" t="s">
        <v>169</v>
      </c>
    </row>
    <row r="18" spans="1:8">
      <c r="B18" s="42" t="s">
        <v>183</v>
      </c>
      <c r="C18" s="44">
        <v>4</v>
      </c>
      <c r="E18">
        <v>12</v>
      </c>
      <c r="F18" t="s">
        <v>488</v>
      </c>
      <c r="G18" t="s">
        <v>169</v>
      </c>
    </row>
    <row r="19" spans="1:8">
      <c r="B19" s="3"/>
      <c r="C19" s="3"/>
      <c r="E19">
        <v>13</v>
      </c>
      <c r="F19" t="s">
        <v>489</v>
      </c>
      <c r="G19" t="s">
        <v>169</v>
      </c>
    </row>
    <row r="20" spans="1:8">
      <c r="B20" s="42" t="s">
        <v>184</v>
      </c>
      <c r="C20" s="43" t="s">
        <v>193</v>
      </c>
      <c r="E20">
        <v>14</v>
      </c>
      <c r="F20" t="s">
        <v>490</v>
      </c>
      <c r="G20" t="s">
        <v>169</v>
      </c>
    </row>
    <row r="21" spans="1:8">
      <c r="B21" s="3"/>
      <c r="C21" s="64"/>
      <c r="E21" s="30">
        <v>15</v>
      </c>
      <c r="F21" s="30" t="s">
        <v>491</v>
      </c>
      <c r="G21" s="30" t="s">
        <v>169</v>
      </c>
      <c r="H21" s="30"/>
    </row>
    <row r="22" spans="1:8">
      <c r="B22" s="42" t="s">
        <v>206</v>
      </c>
      <c r="C22" s="43" t="s">
        <v>202</v>
      </c>
      <c r="E22">
        <v>16</v>
      </c>
      <c r="F22" t="s">
        <v>481</v>
      </c>
      <c r="G22" t="s">
        <v>153</v>
      </c>
    </row>
    <row r="23" spans="1:8">
      <c r="B23" s="3"/>
      <c r="C23" s="3"/>
      <c r="E23">
        <v>17</v>
      </c>
      <c r="F23" t="s">
        <v>511</v>
      </c>
      <c r="G23" t="s">
        <v>153</v>
      </c>
    </row>
    <row r="24" spans="1:8">
      <c r="B24" s="3"/>
      <c r="C24" s="3"/>
      <c r="E24">
        <v>18</v>
      </c>
      <c r="F24" t="s">
        <v>512</v>
      </c>
      <c r="G24" t="s">
        <v>153</v>
      </c>
    </row>
    <row r="25" spans="1:8">
      <c r="B25" s="3"/>
      <c r="C25" s="3"/>
      <c r="E25">
        <v>19</v>
      </c>
      <c r="F25" t="s">
        <v>479</v>
      </c>
      <c r="G25" t="s">
        <v>153</v>
      </c>
    </row>
    <row r="26" spans="1:8">
      <c r="B26" s="3"/>
      <c r="C26" s="3"/>
      <c r="E26">
        <v>20</v>
      </c>
      <c r="F26" t="s">
        <v>495</v>
      </c>
      <c r="G26" t="s">
        <v>169</v>
      </c>
    </row>
    <row r="27" spans="1:8">
      <c r="B27" s="3"/>
      <c r="C27" s="3"/>
      <c r="E27">
        <v>21</v>
      </c>
      <c r="F27" t="s">
        <v>494</v>
      </c>
      <c r="G27" t="s">
        <v>169</v>
      </c>
    </row>
    <row r="28" spans="1:8">
      <c r="B28" s="3"/>
      <c r="C28" s="3"/>
      <c r="E28">
        <v>22</v>
      </c>
      <c r="F28" t="s">
        <v>513</v>
      </c>
      <c r="G28" t="s">
        <v>169</v>
      </c>
    </row>
    <row r="29" spans="1:8" s="3" customFormat="1" hidden="1">
      <c r="A29" s="63"/>
      <c r="D29" s="63"/>
    </row>
    <row r="30" spans="1:8" s="3" customFormat="1">
      <c r="A30" s="63"/>
      <c r="D30" s="63"/>
    </row>
    <row r="31" spans="1:8" s="3" customFormat="1">
      <c r="A31" s="63"/>
      <c r="D31" s="63"/>
    </row>
    <row r="32" spans="1:8" s="3" customFormat="1">
      <c r="A32" s="63"/>
      <c r="D32" s="63"/>
    </row>
    <row r="33" spans="1:6" s="3" customFormat="1">
      <c r="A33" s="63"/>
      <c r="D33" s="63"/>
    </row>
    <row r="34" spans="1:6" s="3" customFormat="1">
      <c r="A34" s="63"/>
      <c r="D34" s="63"/>
      <c r="F34" s="97"/>
    </row>
    <row r="35" spans="1:6" s="3" customFormat="1">
      <c r="A35" s="63"/>
      <c r="D35" s="63"/>
    </row>
    <row r="36" spans="1:6" s="3" customFormat="1">
      <c r="A36" s="63"/>
      <c r="D36" s="63"/>
      <c r="F36" s="3" t="s">
        <v>66</v>
      </c>
    </row>
    <row r="37" spans="1:6" s="3" customFormat="1">
      <c r="A37" s="63"/>
      <c r="D37" s="63"/>
    </row>
    <row r="38" spans="1:6" s="3" customFormat="1">
      <c r="A38" s="63"/>
      <c r="D38" s="63"/>
    </row>
    <row r="39" spans="1:6" s="3" customFormat="1">
      <c r="A39" s="63"/>
      <c r="D39" s="63"/>
    </row>
    <row r="40" spans="1:6" s="3" customFormat="1">
      <c r="A40" s="63"/>
      <c r="D40" s="63"/>
    </row>
    <row r="41" spans="1:6" s="3" customFormat="1">
      <c r="A41" s="63"/>
      <c r="D41" s="63"/>
    </row>
    <row r="42" spans="1:6" s="3" customFormat="1">
      <c r="A42" s="63"/>
      <c r="D42" s="63"/>
    </row>
    <row r="43" spans="1:6" s="3" customFormat="1">
      <c r="A43" s="63"/>
      <c r="D43" s="63"/>
    </row>
    <row r="44" spans="1:6" s="3" customFormat="1">
      <c r="A44" s="63"/>
      <c r="D44" s="63"/>
    </row>
    <row r="45" spans="1:6" s="3" customFormat="1">
      <c r="A45" s="63"/>
      <c r="D45" s="63"/>
    </row>
    <row r="46" spans="1:6" s="3" customFormat="1">
      <c r="A46" s="63"/>
      <c r="D46" s="63"/>
    </row>
    <row r="47" spans="1:6" s="3" customFormat="1">
      <c r="A47" s="63"/>
      <c r="D47" s="63"/>
    </row>
    <row r="48" spans="1:6" s="3" customFormat="1">
      <c r="A48" s="63"/>
      <c r="D48" s="63"/>
    </row>
    <row r="49" spans="1:4" s="3" customFormat="1">
      <c r="A49" s="63"/>
      <c r="D49" s="63"/>
    </row>
    <row r="50" spans="1:4" s="3" customFormat="1">
      <c r="A50" s="63"/>
      <c r="D50" s="63"/>
    </row>
    <row r="51" spans="1:4" s="3" customFormat="1">
      <c r="A51" s="63"/>
      <c r="D51" s="63"/>
    </row>
    <row r="52" spans="1:4" s="3" customFormat="1">
      <c r="A52" s="63"/>
      <c r="D52" s="63"/>
    </row>
    <row r="53" spans="1:4" s="3" customFormat="1">
      <c r="A53" s="63"/>
      <c r="D53" s="63"/>
    </row>
    <row r="54" spans="1:4" s="3" customFormat="1">
      <c r="A54" s="63"/>
      <c r="D54" s="63"/>
    </row>
    <row r="55" spans="1:4" s="3" customFormat="1">
      <c r="A55" s="63"/>
      <c r="D55" s="63"/>
    </row>
    <row r="56" spans="1:4" s="3" customFormat="1">
      <c r="A56" s="63"/>
      <c r="D56" s="63"/>
    </row>
    <row r="57" spans="1:4" s="3" customFormat="1">
      <c r="A57" s="63"/>
      <c r="D57" s="63"/>
    </row>
    <row r="58" spans="1:4" s="3" customFormat="1">
      <c r="A58" s="63"/>
      <c r="D58" s="63"/>
    </row>
    <row r="59" spans="1:4" s="3" customFormat="1" hidden="1">
      <c r="A59" s="63"/>
      <c r="B59" s="3" t="s">
        <v>185</v>
      </c>
      <c r="C59" s="3" t="s">
        <v>627</v>
      </c>
      <c r="D59" s="63"/>
    </row>
    <row r="60" spans="1:4" s="3" customFormat="1">
      <c r="A60" s="63"/>
      <c r="D60" s="63"/>
    </row>
    <row r="61" spans="1:4" s="3" customFormat="1">
      <c r="A61" s="63"/>
      <c r="D61" s="63"/>
    </row>
    <row r="62" spans="1:4" s="3" customFormat="1">
      <c r="A62" s="63"/>
      <c r="D62" s="63"/>
    </row>
    <row r="63" spans="1:4" s="3" customFormat="1">
      <c r="A63" s="63"/>
      <c r="D63" s="63"/>
    </row>
    <row r="64" spans="1:4" s="3" customFormat="1">
      <c r="A64" s="63"/>
      <c r="D64" s="63"/>
    </row>
    <row r="65" spans="1:4" s="3" customFormat="1">
      <c r="A65" s="63"/>
      <c r="D65" s="63"/>
    </row>
    <row r="66" spans="1:4" s="3" customFormat="1">
      <c r="A66" s="63"/>
      <c r="D66" s="63"/>
    </row>
    <row r="67" spans="1:4" s="3" customFormat="1">
      <c r="A67" s="63"/>
      <c r="D67" s="63"/>
    </row>
    <row r="68" spans="1:4" s="3" customFormat="1">
      <c r="A68" s="63"/>
      <c r="D68" s="63"/>
    </row>
    <row r="69" spans="1:4" s="3" customFormat="1">
      <c r="A69" s="63"/>
      <c r="D69" s="63"/>
    </row>
    <row r="70" spans="1:4" s="3" customFormat="1">
      <c r="A70" s="63"/>
      <c r="D70" s="63"/>
    </row>
    <row r="71" spans="1:4" s="3" customFormat="1">
      <c r="A71" s="63"/>
      <c r="D71" s="63"/>
    </row>
    <row r="72" spans="1:4" s="3" customFormat="1">
      <c r="A72" s="63"/>
      <c r="D72" s="63"/>
    </row>
    <row r="73" spans="1:4" s="3" customFormat="1">
      <c r="A73" s="63"/>
      <c r="D73" s="63"/>
    </row>
    <row r="74" spans="1:4" s="3" customFormat="1">
      <c r="A74" s="63"/>
      <c r="D74" s="63"/>
    </row>
    <row r="75" spans="1:4" s="3" customFormat="1">
      <c r="A75" s="63"/>
      <c r="D75" s="63"/>
    </row>
    <row r="76" spans="1:4" s="3" customFormat="1">
      <c r="A76" s="63"/>
      <c r="D76" s="63"/>
    </row>
    <row r="77" spans="1:4" s="3" customFormat="1">
      <c r="A77" s="63"/>
      <c r="D77" s="63"/>
    </row>
    <row r="78" spans="1:4" s="3" customFormat="1">
      <c r="A78" s="63"/>
      <c r="D78" s="63"/>
    </row>
    <row r="79" spans="1:4" s="3" customFormat="1">
      <c r="A79" s="63"/>
      <c r="D79" s="63"/>
    </row>
    <row r="80" spans="1:4" s="3" customFormat="1">
      <c r="A80" s="63"/>
      <c r="D80" s="63"/>
    </row>
    <row r="81" spans="1:4" s="3" customFormat="1">
      <c r="A81" s="63"/>
      <c r="D81" s="63"/>
    </row>
    <row r="82" spans="1:4" s="3" customFormat="1">
      <c r="A82" s="63"/>
      <c r="D82" s="63"/>
    </row>
    <row r="83" spans="1:4" s="3" customFormat="1">
      <c r="A83" s="63"/>
      <c r="D83" s="63"/>
    </row>
    <row r="84" spans="1:4" s="3" customFormat="1">
      <c r="A84" s="63"/>
      <c r="D84" s="63"/>
    </row>
    <row r="85" spans="1:4" s="3" customFormat="1">
      <c r="A85" s="63"/>
      <c r="D85" s="63"/>
    </row>
    <row r="86" spans="1:4" s="3" customFormat="1">
      <c r="A86" s="63"/>
      <c r="D86" s="63"/>
    </row>
    <row r="87" spans="1:4" s="3" customFormat="1">
      <c r="A87" s="63"/>
      <c r="D87" s="63"/>
    </row>
    <row r="88" spans="1:4" s="3" customFormat="1">
      <c r="A88" s="63"/>
      <c r="D88" s="63"/>
    </row>
    <row r="89" spans="1:4" s="3" customFormat="1">
      <c r="A89" s="63"/>
      <c r="D89" s="63"/>
    </row>
    <row r="90" spans="1:4" s="3" customFormat="1">
      <c r="A90" s="63"/>
      <c r="D90" s="63"/>
    </row>
    <row r="91" spans="1:4" s="3" customFormat="1">
      <c r="A91" s="63"/>
      <c r="D91" s="63"/>
    </row>
    <row r="92" spans="1:4" s="3" customFormat="1">
      <c r="A92" s="63"/>
      <c r="D92" s="63"/>
    </row>
    <row r="93" spans="1:4" s="3" customFormat="1">
      <c r="A93" s="63"/>
      <c r="D93" s="63"/>
    </row>
    <row r="94" spans="1:4" s="3" customFormat="1">
      <c r="A94" s="63"/>
      <c r="D94" s="63"/>
    </row>
    <row r="95" spans="1:4" s="3" customFormat="1">
      <c r="A95" s="63"/>
      <c r="D95" s="63"/>
    </row>
    <row r="96" spans="1:4" s="3" customFormat="1">
      <c r="A96" s="63"/>
      <c r="D96" s="63"/>
    </row>
    <row r="97" spans="1:4" s="3" customFormat="1">
      <c r="A97" s="63"/>
      <c r="D97" s="63"/>
    </row>
    <row r="98" spans="1:4" s="3" customFormat="1">
      <c r="A98" s="63"/>
      <c r="D98" s="63"/>
    </row>
    <row r="99" spans="1:4" s="3" customFormat="1">
      <c r="A99" s="63"/>
      <c r="D99" s="63"/>
    </row>
    <row r="100" spans="1:4" s="3" customFormat="1">
      <c r="A100" s="63"/>
      <c r="D100" s="63"/>
    </row>
    <row r="101" spans="1:4" s="3" customFormat="1">
      <c r="A101" s="63"/>
      <c r="D101" s="63"/>
    </row>
    <row r="102" spans="1:4" s="3" customFormat="1">
      <c r="A102" s="63"/>
      <c r="D102" s="63"/>
    </row>
    <row r="103" spans="1:4" s="3" customFormat="1">
      <c r="A103" s="63"/>
      <c r="D103" s="63"/>
    </row>
    <row r="104" spans="1:4" s="3" customFormat="1">
      <c r="A104" s="63"/>
      <c r="D104" s="63"/>
    </row>
    <row r="105" spans="1:4" s="3" customFormat="1">
      <c r="A105" s="63"/>
      <c r="D105" s="63"/>
    </row>
    <row r="106" spans="1:4" s="3" customFormat="1">
      <c r="A106" s="63"/>
      <c r="D106" s="63"/>
    </row>
    <row r="107" spans="1:4" s="3" customFormat="1">
      <c r="A107" s="63"/>
      <c r="D107" s="63"/>
    </row>
    <row r="108" spans="1:4" s="3" customFormat="1">
      <c r="A108" s="63"/>
      <c r="D108" s="63"/>
    </row>
    <row r="109" spans="1:4" s="3" customFormat="1">
      <c r="A109" s="63"/>
      <c r="D109" s="63"/>
    </row>
    <row r="110" spans="1:4" s="3" customFormat="1">
      <c r="A110" s="63"/>
      <c r="D110" s="63"/>
    </row>
    <row r="111" spans="1:4" s="3" customFormat="1">
      <c r="A111" s="63"/>
      <c r="D111" s="63"/>
    </row>
    <row r="112" spans="1:4" s="3" customFormat="1">
      <c r="A112" s="63"/>
      <c r="D112" s="63"/>
    </row>
    <row r="113" spans="1:4" s="3" customFormat="1">
      <c r="A113" s="63"/>
      <c r="D113" s="63"/>
    </row>
    <row r="114" spans="1:4" s="3" customFormat="1">
      <c r="A114" s="63"/>
      <c r="D114" s="63"/>
    </row>
    <row r="115" spans="1:4" s="3" customFormat="1">
      <c r="A115" s="63"/>
      <c r="D115" s="63"/>
    </row>
    <row r="116" spans="1:4" s="3" customFormat="1">
      <c r="A116" s="63"/>
      <c r="D116" s="63"/>
    </row>
    <row r="117" spans="1:4" s="3" customFormat="1">
      <c r="A117" s="63"/>
      <c r="D117" s="63"/>
    </row>
    <row r="118" spans="1:4" s="3" customFormat="1">
      <c r="A118" s="63"/>
      <c r="D118" s="63"/>
    </row>
    <row r="119" spans="1:4" s="3" customFormat="1">
      <c r="A119" s="63"/>
      <c r="D119" s="63"/>
    </row>
    <row r="120" spans="1:4" s="3" customFormat="1">
      <c r="A120" s="63"/>
      <c r="D120" s="63"/>
    </row>
    <row r="121" spans="1:4" s="3" customFormat="1">
      <c r="A121" s="63"/>
      <c r="D121" s="63"/>
    </row>
    <row r="122" spans="1:4" s="3" customFormat="1">
      <c r="A122" s="63"/>
      <c r="D122" s="63"/>
    </row>
    <row r="123" spans="1:4" s="3" customFormat="1">
      <c r="A123" s="63"/>
      <c r="D123" s="63"/>
    </row>
    <row r="124" spans="1:4" s="3" customFormat="1">
      <c r="A124" s="63"/>
      <c r="D124" s="63"/>
    </row>
    <row r="125" spans="1:4" s="3" customFormat="1">
      <c r="A125" s="63"/>
      <c r="D125" s="63"/>
    </row>
    <row r="126" spans="1:4" s="3" customFormat="1">
      <c r="A126" s="63"/>
      <c r="D126" s="63"/>
    </row>
    <row r="127" spans="1:4" s="3" customFormat="1">
      <c r="A127" s="63"/>
      <c r="D127" s="63"/>
    </row>
    <row r="128" spans="1:4" s="3" customFormat="1">
      <c r="A128" s="63"/>
      <c r="D128" s="63"/>
    </row>
    <row r="129" spans="1:4" s="3" customFormat="1">
      <c r="A129" s="63"/>
      <c r="D129" s="63"/>
    </row>
    <row r="130" spans="1:4" s="3" customFormat="1">
      <c r="A130" s="63"/>
      <c r="D130" s="63"/>
    </row>
    <row r="131" spans="1:4" s="3" customFormat="1">
      <c r="A131" s="63"/>
      <c r="D131" s="63"/>
    </row>
    <row r="132" spans="1:4" s="3" customFormat="1">
      <c r="A132" s="63"/>
      <c r="D132" s="63"/>
    </row>
    <row r="133" spans="1:4" s="3" customFormat="1">
      <c r="A133" s="63"/>
      <c r="D133" s="63"/>
    </row>
    <row r="134" spans="1:4" s="3" customFormat="1">
      <c r="A134" s="63"/>
      <c r="D134" s="63"/>
    </row>
    <row r="135" spans="1:4" s="3" customFormat="1">
      <c r="A135" s="63"/>
      <c r="D135" s="63"/>
    </row>
    <row r="136" spans="1:4" s="3" customFormat="1">
      <c r="A136" s="63"/>
      <c r="D136" s="63"/>
    </row>
    <row r="137" spans="1:4" s="3" customFormat="1">
      <c r="A137" s="63"/>
      <c r="D137" s="63"/>
    </row>
  </sheetData>
  <mergeCells count="2">
    <mergeCell ref="B2:C4"/>
    <mergeCell ref="E2:H4"/>
  </mergeCells>
  <phoneticPr fontId="17" type="noConversion"/>
  <dataValidations count="7">
    <dataValidation type="list" allowBlank="1" showInputMessage="1" showErrorMessage="1" sqref="F7:F29" xr:uid="{7D95346C-CBAC-6743-84C7-A8CE22F7DA4F}">
      <formula1>LST_JOUEURS</formula1>
    </dataValidation>
    <dataValidation type="list" allowBlank="1" showInputMessage="1" showErrorMessage="1" sqref="G7:G29" xr:uid="{178F1CEA-1845-2443-98A3-BC0541626C35}">
      <formula1>AVANT_OU_ARRIERE</formula1>
    </dataValidation>
    <dataValidation type="list" allowBlank="1" showInputMessage="1" showErrorMessage="1" sqref="C12" xr:uid="{F7A7C27F-D003-1E4F-AF79-F53A658AD26A}">
      <formula1>EQUIPES_POULE</formula1>
    </dataValidation>
    <dataValidation type="list" allowBlank="1" showInputMessage="1" showErrorMessage="1" sqref="C14" xr:uid="{6107EDA2-EC1C-E544-8B52-424496E072D8}">
      <formula1>LIEU_MATCH</formula1>
    </dataValidation>
    <dataValidation type="list" allowBlank="1" showInputMessage="1" showErrorMessage="1" sqref="C16" xr:uid="{9507B46F-597C-A643-BAF7-A46B2C035C88}">
      <formula1>PHASE</formula1>
    </dataValidation>
    <dataValidation type="list" allowBlank="1" showInputMessage="1" showErrorMessage="1" sqref="C20" xr:uid="{DB77E999-E38C-8943-80F9-737EC98FD811}">
      <formula1>RESULTAT</formula1>
    </dataValidation>
    <dataValidation type="list" allowBlank="1" showInputMessage="1" showErrorMessage="1" sqref="C22" xr:uid="{C2784C45-6D6D-6C40-B2BA-432DAE632954}">
      <formula1>EQUIPE_NIV</formula1>
    </dataValidation>
  </dataValidations>
  <pageMargins left="0.7" right="0.7" top="0.75" bottom="0.75" header="0.3" footer="0.3"/>
  <drawing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A71A98-B23C-CC42-9091-5CDEE0D942F9}">
  <sheetPr codeName="shSaisieVideo"/>
  <dimension ref="A1:ZS2379"/>
  <sheetViews>
    <sheetView topLeftCell="BR1" zoomScaleNormal="100" workbookViewId="0">
      <selection activeCell="AW8" sqref="AW8"/>
    </sheetView>
    <sheetView workbookViewId="1"/>
  </sheetViews>
  <sheetFormatPr baseColWidth="10" defaultColWidth="10.83203125" defaultRowHeight="13" customHeight="1"/>
  <cols>
    <col min="1" max="1" width="1.83203125" customWidth="1"/>
    <col min="2" max="16" width="1.5" customWidth="1"/>
    <col min="17" max="51" width="1.5" style="3" customWidth="1"/>
    <col min="52" max="52" width="1.83203125" style="3" customWidth="1"/>
    <col min="53" max="53" width="2.6640625" style="3" customWidth="1"/>
    <col min="54" max="54" width="12.5" style="3" customWidth="1"/>
    <col min="55" max="55" width="1.83203125" style="3" customWidth="1"/>
    <col min="56" max="56" width="10.83203125" style="3" customWidth="1"/>
    <col min="57" max="57" width="1.83203125" style="3" customWidth="1"/>
    <col min="58" max="58" width="10.83203125" style="3" customWidth="1"/>
    <col min="59" max="59" width="1.83203125" style="3" customWidth="1"/>
    <col min="60" max="60" width="10.83203125" style="3" customWidth="1"/>
    <col min="61" max="61" width="1.83203125" style="3" customWidth="1"/>
    <col min="62" max="62" width="10.83203125" style="3" customWidth="1"/>
    <col min="63" max="63" width="1.83203125" style="3" customWidth="1"/>
    <col min="64" max="64" width="10.83203125" style="3" customWidth="1"/>
    <col min="65" max="65" width="1.83203125" style="3" customWidth="1"/>
    <col min="66" max="66" width="10.83203125" style="3" customWidth="1"/>
    <col min="67" max="67" width="1.83203125" style="3" customWidth="1"/>
    <col min="68" max="68" width="12.83203125" style="3" customWidth="1"/>
    <col min="69" max="69" width="1.83203125" style="3" customWidth="1"/>
    <col min="70" max="70" width="10.83203125" style="3" customWidth="1"/>
    <col min="71" max="71" width="1.83203125" style="3" customWidth="1"/>
    <col min="72" max="695" width="10.83203125" style="3"/>
  </cols>
  <sheetData>
    <row r="1" spans="1:88" ht="39" customHeight="1">
      <c r="A1" s="138"/>
      <c r="B1" s="224" t="str">
        <f>"Match "&amp;IF(MATCH_PHASE="Aller","A",IF(MATCH_PHASE="Retour","R",IF(MATCH_PHASE="Amical","AMI","PF")))&amp;" "&amp;MATCH_JOURNEE&amp;IF(MATCH_LIEU="Extérieur"," : "&amp;MATCH_ADV&amp;" / "&amp;MATCH_NOUS," : "&amp;MATCH_NOUS&amp;" / "&amp;MATCH_ADV)</f>
        <v>Match A 4 : RC Muret / MXV</v>
      </c>
      <c r="C1" s="225"/>
      <c r="D1" s="225"/>
      <c r="E1" s="225"/>
      <c r="F1" s="225"/>
      <c r="G1" s="225"/>
      <c r="H1" s="225"/>
      <c r="I1" s="225"/>
      <c r="J1" s="225"/>
      <c r="K1" s="225"/>
      <c r="L1" s="225"/>
      <c r="M1" s="225"/>
      <c r="N1" s="225"/>
      <c r="O1" s="225"/>
      <c r="P1" s="225"/>
      <c r="Q1" s="225"/>
      <c r="R1" s="225"/>
      <c r="S1" s="225"/>
      <c r="T1" s="225"/>
      <c r="U1" s="225"/>
      <c r="V1" s="225"/>
      <c r="W1" s="225"/>
      <c r="X1" s="225"/>
      <c r="Y1" s="225"/>
      <c r="Z1" s="225"/>
      <c r="AA1" s="225"/>
      <c r="AB1" s="225"/>
      <c r="AC1" s="225"/>
      <c r="AD1" s="225"/>
      <c r="AE1" s="225"/>
      <c r="AF1" s="225"/>
      <c r="AG1" s="225"/>
      <c r="AH1" s="225"/>
      <c r="AI1" s="225"/>
      <c r="AJ1" s="225"/>
      <c r="AK1" s="225"/>
      <c r="AL1" s="225"/>
      <c r="AM1" s="225"/>
      <c r="AN1" s="225"/>
      <c r="AO1" s="225"/>
      <c r="AP1" s="225"/>
      <c r="AQ1" s="225"/>
      <c r="AR1" s="225"/>
      <c r="AS1" s="225"/>
      <c r="AT1" s="225"/>
      <c r="AU1" s="225"/>
      <c r="AV1" s="225"/>
      <c r="AW1" s="225"/>
      <c r="AX1" s="225"/>
      <c r="AY1" s="225"/>
      <c r="AZ1" s="138"/>
      <c r="BA1" s="138"/>
      <c r="BB1" s="138"/>
      <c r="BC1" s="138"/>
      <c r="BD1" s="138"/>
      <c r="BE1" s="138"/>
      <c r="BF1" s="138"/>
      <c r="BG1" s="138"/>
      <c r="BH1" s="138"/>
      <c r="BI1" s="138"/>
      <c r="BJ1" s="138"/>
      <c r="BK1" s="138"/>
      <c r="BL1" s="138"/>
      <c r="BM1" s="138"/>
      <c r="BN1" s="138"/>
      <c r="BO1" s="138"/>
      <c r="BP1" s="138"/>
      <c r="BQ1" s="138"/>
      <c r="BR1" s="138"/>
      <c r="BS1" s="138"/>
      <c r="BT1" s="138"/>
      <c r="BU1" s="138"/>
      <c r="BV1" s="138"/>
      <c r="BW1" s="138"/>
      <c r="BX1" s="138"/>
      <c r="BY1" s="138"/>
      <c r="BZ1" s="138"/>
      <c r="CA1" s="138"/>
      <c r="CB1" s="138"/>
      <c r="CC1" s="138"/>
      <c r="CD1" s="138"/>
      <c r="CE1" s="138"/>
      <c r="CF1" s="138"/>
      <c r="CG1" s="138"/>
      <c r="CH1" s="138"/>
      <c r="CI1" s="138"/>
      <c r="CJ1" s="138"/>
    </row>
    <row r="2" spans="1:88" ht="10" customHeight="1" thickBot="1">
      <c r="A2" s="138"/>
      <c r="B2" s="138"/>
      <c r="C2" s="138"/>
      <c r="D2" s="138"/>
      <c r="E2" s="138"/>
      <c r="F2" s="138"/>
      <c r="G2" s="138"/>
      <c r="H2" s="138"/>
      <c r="I2" s="138"/>
      <c r="J2" s="138"/>
      <c r="K2" s="138"/>
      <c r="L2" s="138"/>
      <c r="M2" s="138"/>
      <c r="N2" s="138"/>
      <c r="O2" s="138"/>
      <c r="P2" s="138"/>
      <c r="Q2" s="138"/>
      <c r="R2" s="138"/>
      <c r="S2" s="138"/>
      <c r="T2" s="138"/>
      <c r="U2" s="138"/>
      <c r="V2" s="138"/>
      <c r="W2" s="138"/>
      <c r="X2" s="138"/>
      <c r="Y2" s="138"/>
      <c r="Z2" s="138"/>
      <c r="AA2" s="138"/>
      <c r="AB2" s="138"/>
      <c r="AC2" s="138"/>
      <c r="AD2" s="138"/>
      <c r="AE2" s="138"/>
      <c r="AF2" s="138"/>
      <c r="AG2" s="138"/>
      <c r="AH2" s="138"/>
      <c r="AI2" s="138"/>
      <c r="AJ2" s="138"/>
      <c r="AK2" s="138"/>
      <c r="AL2" s="138"/>
      <c r="AM2" s="138"/>
      <c r="AN2" s="138"/>
      <c r="AO2" s="138"/>
      <c r="AP2" s="138"/>
      <c r="AQ2" s="138"/>
      <c r="AR2" s="138"/>
      <c r="AS2" s="138"/>
      <c r="AT2" s="138"/>
      <c r="AU2" s="138"/>
      <c r="AV2" s="138"/>
      <c r="AW2" s="138"/>
      <c r="AX2" s="138"/>
      <c r="AY2" s="138"/>
      <c r="AZ2" s="138"/>
      <c r="BA2" s="138"/>
      <c r="BB2" s="138"/>
      <c r="BC2" s="138"/>
      <c r="BD2" s="138"/>
      <c r="BE2" s="138"/>
      <c r="BF2" s="138"/>
      <c r="BG2" s="138"/>
      <c r="BH2" s="138"/>
      <c r="BI2" s="138"/>
      <c r="BJ2" s="138"/>
      <c r="BK2" s="138"/>
      <c r="BL2" s="138"/>
      <c r="BM2" s="138"/>
      <c r="BN2" s="138"/>
      <c r="BO2" s="138"/>
      <c r="BP2" s="138"/>
      <c r="BQ2" s="138"/>
      <c r="BR2" s="138"/>
      <c r="BS2" s="138"/>
      <c r="BT2" s="138"/>
      <c r="BU2" s="138"/>
      <c r="BV2" s="138"/>
      <c r="BW2" s="138"/>
      <c r="BX2" s="138"/>
      <c r="BY2" s="138"/>
      <c r="BZ2" s="138"/>
      <c r="CA2" s="138"/>
      <c r="CB2" s="138"/>
      <c r="CC2" s="138"/>
      <c r="CD2" s="138"/>
      <c r="CE2" s="138"/>
      <c r="CF2" s="138"/>
      <c r="CG2" s="138"/>
      <c r="CH2" s="138"/>
      <c r="CI2" s="138"/>
      <c r="CJ2" s="138"/>
    </row>
    <row r="3" spans="1:88" ht="10" customHeight="1">
      <c r="A3" s="138"/>
      <c r="B3" s="140"/>
      <c r="C3" s="141"/>
      <c r="D3" s="141"/>
      <c r="E3" s="141"/>
      <c r="F3" s="141"/>
      <c r="G3" s="141"/>
      <c r="H3" s="141"/>
      <c r="I3" s="141"/>
      <c r="J3" s="141"/>
      <c r="K3" s="141"/>
      <c r="L3" s="141"/>
      <c r="M3" s="141"/>
      <c r="N3" s="141"/>
      <c r="O3" s="141"/>
      <c r="P3" s="141"/>
      <c r="Q3" s="141"/>
      <c r="R3" s="141"/>
      <c r="S3" s="141"/>
      <c r="T3" s="141"/>
      <c r="U3" s="141"/>
      <c r="V3" s="141"/>
      <c r="W3" s="141"/>
      <c r="X3" s="141"/>
      <c r="Y3" s="141"/>
      <c r="Z3" s="141"/>
      <c r="AA3" s="141"/>
      <c r="AB3" s="141"/>
      <c r="AC3" s="141"/>
      <c r="AD3" s="141"/>
      <c r="AE3" s="141"/>
      <c r="AF3" s="141"/>
      <c r="AG3" s="141"/>
      <c r="AH3" s="141"/>
      <c r="AI3" s="141"/>
      <c r="AJ3" s="141"/>
      <c r="AK3" s="141"/>
      <c r="AL3" s="141"/>
      <c r="AM3" s="141"/>
      <c r="AN3" s="141"/>
      <c r="AO3" s="141"/>
      <c r="AP3" s="141"/>
      <c r="AQ3" s="141"/>
      <c r="AR3" s="141"/>
      <c r="AS3" s="141"/>
      <c r="AT3" s="141"/>
      <c r="AU3" s="141"/>
      <c r="AV3" s="141"/>
      <c r="AW3" s="141"/>
      <c r="AX3" s="141"/>
      <c r="AY3" s="142"/>
      <c r="AZ3" s="138"/>
      <c r="BA3" s="140"/>
      <c r="BB3" s="141"/>
      <c r="BC3" s="141"/>
      <c r="BD3" s="141"/>
      <c r="BE3" s="141"/>
      <c r="BF3" s="141"/>
      <c r="BG3" s="141"/>
      <c r="BH3" s="141"/>
      <c r="BI3" s="141"/>
      <c r="BJ3" s="141"/>
      <c r="BK3" s="141"/>
      <c r="BL3" s="141"/>
      <c r="BM3" s="142"/>
      <c r="BN3" s="138"/>
      <c r="BO3" s="138"/>
      <c r="BP3" s="138"/>
      <c r="BQ3" s="138"/>
      <c r="BR3" s="138"/>
      <c r="BS3" s="138"/>
      <c r="BT3" s="138"/>
      <c r="BU3" s="138"/>
      <c r="BV3" s="138"/>
      <c r="BW3" s="138"/>
      <c r="BX3" s="138"/>
      <c r="BY3" s="138"/>
      <c r="BZ3" s="138"/>
      <c r="CA3" s="138"/>
      <c r="CB3" s="138"/>
      <c r="CC3" s="138"/>
      <c r="CD3" s="138"/>
      <c r="CE3" s="138"/>
      <c r="CF3" s="138"/>
      <c r="CG3" s="138"/>
      <c r="CH3" s="138"/>
      <c r="CI3" s="138"/>
      <c r="CJ3" s="138"/>
    </row>
    <row r="4" spans="1:88" ht="42" customHeight="1">
      <c r="A4" s="138"/>
      <c r="B4" s="139"/>
      <c r="C4" s="180" t="s">
        <v>124</v>
      </c>
      <c r="D4" s="181"/>
      <c r="E4" s="181"/>
      <c r="F4" s="181"/>
      <c r="G4" s="181"/>
      <c r="H4" s="181"/>
      <c r="I4" s="181"/>
      <c r="J4" s="181"/>
      <c r="K4" s="138"/>
      <c r="L4" s="198" t="s">
        <v>39</v>
      </c>
      <c r="M4" s="199"/>
      <c r="N4" s="199"/>
      <c r="O4" s="199"/>
      <c r="P4" s="199"/>
      <c r="Q4" s="199"/>
      <c r="R4" s="200"/>
      <c r="S4" s="138"/>
      <c r="T4" s="198" t="s">
        <v>55</v>
      </c>
      <c r="U4" s="199"/>
      <c r="V4" s="199"/>
      <c r="W4" s="199"/>
      <c r="X4" s="199"/>
      <c r="Y4" s="199"/>
      <c r="Z4" s="200"/>
      <c r="AA4" s="138"/>
      <c r="AB4" s="180" t="s">
        <v>628</v>
      </c>
      <c r="AC4" s="181"/>
      <c r="AD4" s="181"/>
      <c r="AE4" s="181"/>
      <c r="AF4" s="181"/>
      <c r="AG4" s="181"/>
      <c r="AH4" s="181"/>
      <c r="AI4" s="138"/>
      <c r="AJ4" s="201" t="s">
        <v>43</v>
      </c>
      <c r="AK4" s="202"/>
      <c r="AL4" s="202"/>
      <c r="AM4" s="202"/>
      <c r="AN4" s="202"/>
      <c r="AO4" s="202"/>
      <c r="AP4" s="203"/>
      <c r="AQ4" s="138"/>
      <c r="AR4" s="201" t="s">
        <v>44</v>
      </c>
      <c r="AS4" s="202"/>
      <c r="AT4" s="202"/>
      <c r="AU4" s="202"/>
      <c r="AV4" s="202"/>
      <c r="AW4" s="202"/>
      <c r="AX4" s="203"/>
      <c r="AY4" s="143"/>
      <c r="AZ4" s="138"/>
      <c r="BA4" s="139"/>
      <c r="BB4" s="162" t="s">
        <v>38</v>
      </c>
      <c r="BC4" s="138"/>
      <c r="BD4" s="14" t="s">
        <v>29</v>
      </c>
      <c r="BE4" s="138"/>
      <c r="BF4" s="14" t="s">
        <v>51</v>
      </c>
      <c r="BG4" s="138"/>
      <c r="BH4" s="14" t="s">
        <v>141</v>
      </c>
      <c r="BI4" s="138"/>
      <c r="BJ4" s="14" t="s">
        <v>30</v>
      </c>
      <c r="BK4" s="138"/>
      <c r="BL4" s="14" t="s">
        <v>31</v>
      </c>
      <c r="BM4" s="143"/>
      <c r="BN4" s="138"/>
      <c r="BO4" s="138"/>
      <c r="BP4" s="138"/>
      <c r="BQ4" s="138"/>
      <c r="BR4" s="138"/>
      <c r="BS4" s="138"/>
      <c r="BT4" s="138"/>
      <c r="BU4" s="138"/>
      <c r="BV4" s="138"/>
      <c r="BW4" s="138"/>
      <c r="BX4" s="138"/>
      <c r="BY4" s="138"/>
      <c r="BZ4" s="138"/>
      <c r="CA4" s="138"/>
      <c r="CB4" s="138"/>
      <c r="CC4" s="138"/>
      <c r="CD4" s="138"/>
      <c r="CE4" s="138"/>
      <c r="CF4" s="138"/>
      <c r="CG4" s="138"/>
      <c r="CH4" s="138"/>
      <c r="CI4" s="138"/>
      <c r="CJ4" s="138"/>
    </row>
    <row r="5" spans="1:88" ht="10" customHeight="1" thickBot="1">
      <c r="A5" s="138"/>
      <c r="B5" s="144"/>
      <c r="C5" s="145"/>
      <c r="D5" s="145"/>
      <c r="E5" s="145"/>
      <c r="F5" s="145"/>
      <c r="G5" s="145"/>
      <c r="H5" s="145"/>
      <c r="I5" s="145"/>
      <c r="J5" s="145"/>
      <c r="K5" s="145"/>
      <c r="L5" s="145"/>
      <c r="M5" s="145"/>
      <c r="N5" s="145"/>
      <c r="O5" s="145"/>
      <c r="P5" s="145"/>
      <c r="Q5" s="145"/>
      <c r="R5" s="145"/>
      <c r="S5" s="145"/>
      <c r="T5" s="145"/>
      <c r="U5" s="145"/>
      <c r="V5" s="145"/>
      <c r="W5" s="145"/>
      <c r="X5" s="145"/>
      <c r="Y5" s="145"/>
      <c r="Z5" s="145"/>
      <c r="AA5" s="145"/>
      <c r="AB5" s="145"/>
      <c r="AC5" s="145"/>
      <c r="AD5" s="145"/>
      <c r="AE5" s="145"/>
      <c r="AF5" s="145"/>
      <c r="AG5" s="145"/>
      <c r="AH5" s="145"/>
      <c r="AI5" s="145"/>
      <c r="AJ5" s="145"/>
      <c r="AK5" s="145"/>
      <c r="AL5" s="145"/>
      <c r="AM5" s="145"/>
      <c r="AN5" s="145"/>
      <c r="AO5" s="145"/>
      <c r="AP5" s="145"/>
      <c r="AQ5" s="145"/>
      <c r="AR5" s="145"/>
      <c r="AS5" s="145"/>
      <c r="AT5" s="145"/>
      <c r="AU5" s="145"/>
      <c r="AV5" s="145"/>
      <c r="AW5" s="145"/>
      <c r="AX5" s="145"/>
      <c r="AY5" s="146"/>
      <c r="AZ5" s="138"/>
      <c r="BA5" s="144"/>
      <c r="BB5" s="145"/>
      <c r="BC5" s="145"/>
      <c r="BD5" s="145"/>
      <c r="BE5" s="145"/>
      <c r="BF5" s="145"/>
      <c r="BG5" s="145"/>
      <c r="BH5" s="145"/>
      <c r="BI5" s="145"/>
      <c r="BJ5" s="145"/>
      <c r="BK5" s="145"/>
      <c r="BL5" s="145"/>
      <c r="BM5" s="146"/>
      <c r="BN5" s="138"/>
      <c r="BO5" s="138"/>
      <c r="BP5" s="138"/>
      <c r="BQ5" s="138"/>
      <c r="BR5" s="138"/>
      <c r="BS5" s="138"/>
      <c r="BT5" s="138"/>
      <c r="BU5" s="138"/>
      <c r="BV5" s="138"/>
      <c r="BW5" s="138"/>
      <c r="BX5" s="138"/>
      <c r="BY5" s="138"/>
      <c r="BZ5" s="138"/>
      <c r="CA5" s="138"/>
      <c r="CB5" s="138"/>
      <c r="CC5" s="138"/>
      <c r="CD5" s="138"/>
      <c r="CE5" s="138"/>
      <c r="CF5" s="138"/>
      <c r="CG5" s="138"/>
      <c r="CH5" s="138"/>
      <c r="CI5" s="138"/>
      <c r="CJ5" s="138"/>
    </row>
    <row r="6" spans="1:88" ht="10" customHeight="1" thickBot="1">
      <c r="A6" s="138"/>
      <c r="B6" s="138"/>
      <c r="C6" s="138"/>
      <c r="D6" s="138"/>
      <c r="E6" s="138"/>
      <c r="F6" s="138"/>
      <c r="G6" s="138"/>
      <c r="H6" s="138"/>
      <c r="I6" s="138"/>
      <c r="J6" s="138"/>
      <c r="K6" s="138"/>
      <c r="L6" s="138"/>
      <c r="M6" s="138"/>
      <c r="N6" s="138"/>
      <c r="O6" s="138"/>
      <c r="P6" s="138"/>
      <c r="Q6" s="138"/>
      <c r="R6" s="138"/>
      <c r="S6" s="138"/>
      <c r="T6" s="138"/>
      <c r="U6" s="138"/>
      <c r="V6" s="138"/>
      <c r="W6" s="138"/>
      <c r="X6" s="138"/>
      <c r="Y6" s="138"/>
      <c r="Z6" s="138"/>
      <c r="AA6" s="138"/>
      <c r="AB6" s="138"/>
      <c r="AC6" s="138"/>
      <c r="AD6" s="138"/>
      <c r="AE6" s="138"/>
      <c r="AF6" s="138"/>
      <c r="AG6" s="138"/>
      <c r="AH6" s="138"/>
      <c r="AI6" s="138"/>
      <c r="AJ6" s="138"/>
      <c r="AK6" s="138"/>
      <c r="AL6" s="138"/>
      <c r="AM6" s="138"/>
      <c r="AN6" s="138"/>
      <c r="AO6" s="138"/>
      <c r="AP6" s="138"/>
      <c r="AQ6" s="138"/>
      <c r="AR6" s="138"/>
      <c r="AS6" s="138"/>
      <c r="AT6" s="138"/>
      <c r="AU6" s="138"/>
      <c r="AV6" s="138"/>
      <c r="AW6" s="138"/>
      <c r="AX6" s="138"/>
      <c r="AY6" s="138"/>
      <c r="AZ6" s="138"/>
      <c r="BA6" s="138"/>
      <c r="BB6" s="138"/>
      <c r="BC6" s="138"/>
      <c r="BD6" s="138"/>
      <c r="BE6" s="138"/>
      <c r="BF6" s="138"/>
      <c r="BG6" s="138"/>
      <c r="BH6" s="138"/>
      <c r="BI6" s="138"/>
      <c r="BJ6" s="138"/>
      <c r="BK6" s="138"/>
      <c r="BL6" s="138"/>
      <c r="BM6" s="138"/>
      <c r="BN6" s="138"/>
      <c r="BO6" s="138"/>
      <c r="BP6" s="138"/>
      <c r="BQ6" s="138"/>
      <c r="BR6" s="138"/>
      <c r="BS6" s="138"/>
      <c r="BT6" s="138"/>
      <c r="BU6" s="138"/>
      <c r="BV6" s="138"/>
      <c r="BW6" s="138"/>
      <c r="BX6" s="138"/>
      <c r="BY6" s="138"/>
      <c r="BZ6" s="138"/>
      <c r="CA6" s="138"/>
      <c r="CB6" s="138"/>
      <c r="CC6" s="138"/>
      <c r="CD6" s="138"/>
      <c r="CE6" s="138"/>
      <c r="CF6" s="138"/>
      <c r="CG6" s="138"/>
      <c r="CH6" s="138"/>
      <c r="CI6" s="138"/>
      <c r="CJ6" s="138"/>
    </row>
    <row r="7" spans="1:88" ht="10" customHeight="1">
      <c r="A7" s="138"/>
      <c r="B7" s="140"/>
      <c r="C7" s="141"/>
      <c r="D7" s="141"/>
      <c r="E7" s="141"/>
      <c r="F7" s="141"/>
      <c r="G7" s="141"/>
      <c r="H7" s="141"/>
      <c r="I7" s="141"/>
      <c r="J7" s="141"/>
      <c r="K7" s="141"/>
      <c r="L7" s="141"/>
      <c r="M7" s="141"/>
      <c r="N7" s="141"/>
      <c r="O7" s="141"/>
      <c r="P7" s="141"/>
      <c r="Q7" s="141"/>
      <c r="R7" s="141"/>
      <c r="S7" s="141"/>
      <c r="T7" s="141"/>
      <c r="U7" s="141"/>
      <c r="V7" s="141"/>
      <c r="W7" s="141"/>
      <c r="X7" s="141"/>
      <c r="Y7" s="141"/>
      <c r="Z7" s="141"/>
      <c r="AA7" s="141"/>
      <c r="AB7" s="141"/>
      <c r="AC7" s="141"/>
      <c r="AD7" s="141"/>
      <c r="AE7" s="141"/>
      <c r="AF7" s="141"/>
      <c r="AG7" s="141"/>
      <c r="AH7" s="141"/>
      <c r="AI7" s="141"/>
      <c r="AJ7" s="141"/>
      <c r="AK7" s="141"/>
      <c r="AL7" s="141"/>
      <c r="AM7" s="141"/>
      <c r="AN7" s="141"/>
      <c r="AO7" s="141"/>
      <c r="AP7" s="141"/>
      <c r="AQ7" s="141"/>
      <c r="AR7" s="141"/>
      <c r="AS7" s="141"/>
      <c r="AT7" s="141"/>
      <c r="AU7" s="141"/>
      <c r="AV7" s="141"/>
      <c r="AW7" s="141"/>
      <c r="AX7" s="141"/>
      <c r="AY7" s="142"/>
      <c r="AZ7" s="138"/>
      <c r="BA7" s="140"/>
      <c r="BB7" s="141"/>
      <c r="BC7" s="141"/>
      <c r="BD7" s="141"/>
      <c r="BE7" s="141"/>
      <c r="BF7" s="141"/>
      <c r="BG7" s="141"/>
      <c r="BH7" s="141"/>
      <c r="BI7" s="141"/>
      <c r="BJ7" s="141"/>
      <c r="BK7" s="141"/>
      <c r="BL7" s="141"/>
      <c r="BM7" s="142"/>
      <c r="BN7" s="138"/>
      <c r="BO7" s="189" t="s">
        <v>514</v>
      </c>
      <c r="BP7" s="190"/>
      <c r="BQ7" s="191"/>
      <c r="BR7" s="138"/>
      <c r="BS7" s="138"/>
      <c r="BT7" s="138"/>
      <c r="BU7" s="138"/>
      <c r="BV7" s="138"/>
      <c r="BW7" s="138"/>
      <c r="BX7" s="138"/>
      <c r="BY7" s="138"/>
      <c r="BZ7" s="138"/>
      <c r="CA7" s="138"/>
      <c r="CB7" s="138"/>
      <c r="CC7" s="138"/>
      <c r="CD7" s="138"/>
      <c r="CE7" s="138"/>
      <c r="CF7" s="138"/>
      <c r="CG7" s="138"/>
      <c r="CH7" s="138"/>
      <c r="CI7" s="138"/>
      <c r="CJ7" s="138"/>
    </row>
    <row r="8" spans="1:88" ht="26" customHeight="1">
      <c r="A8" s="138"/>
      <c r="B8" s="139"/>
      <c r="C8" s="204" t="s">
        <v>242</v>
      </c>
      <c r="D8" s="181"/>
      <c r="E8" s="181"/>
      <c r="F8" s="181"/>
      <c r="G8" s="181"/>
      <c r="H8" s="181"/>
      <c r="I8" s="181"/>
      <c r="J8" s="138"/>
      <c r="K8" s="205"/>
      <c r="L8" s="206"/>
      <c r="M8" s="206"/>
      <c r="N8" s="206"/>
      <c r="O8" s="206"/>
      <c r="P8" s="206"/>
      <c r="Q8" s="207"/>
      <c r="R8" s="138"/>
      <c r="S8" s="208"/>
      <c r="T8" s="209"/>
      <c r="U8" s="209"/>
      <c r="V8" s="209"/>
      <c r="W8" s="209"/>
      <c r="X8" s="209"/>
      <c r="Y8" s="210"/>
      <c r="Z8" s="138"/>
      <c r="AA8" s="211"/>
      <c r="AB8" s="212"/>
      <c r="AC8" s="212"/>
      <c r="AD8" s="212"/>
      <c r="AE8" s="212"/>
      <c r="AF8" s="212"/>
      <c r="AG8" s="213"/>
      <c r="AH8" s="138"/>
      <c r="AI8" s="214"/>
      <c r="AJ8" s="215"/>
      <c r="AK8" s="215"/>
      <c r="AL8" s="215"/>
      <c r="AM8" s="215"/>
      <c r="AN8" s="215"/>
      <c r="AO8" s="216"/>
      <c r="AP8" s="138"/>
      <c r="AQ8" s="217" t="s">
        <v>626</v>
      </c>
      <c r="AR8" s="218"/>
      <c r="AS8" s="218"/>
      <c r="AT8" s="218"/>
      <c r="AU8" s="218"/>
      <c r="AV8" s="218"/>
      <c r="AW8" s="219"/>
      <c r="AX8" s="138"/>
      <c r="AY8" s="143"/>
      <c r="AZ8" s="138"/>
      <c r="BA8" s="139"/>
      <c r="BB8" s="162" t="s">
        <v>48</v>
      </c>
      <c r="BC8" s="138"/>
      <c r="BD8" s="7" t="s">
        <v>33</v>
      </c>
      <c r="BE8" s="138"/>
      <c r="BF8" s="7" t="s">
        <v>34</v>
      </c>
      <c r="BG8" s="138"/>
      <c r="BH8" s="7" t="s">
        <v>35</v>
      </c>
      <c r="BI8" s="138"/>
      <c r="BJ8" s="7" t="s">
        <v>36</v>
      </c>
      <c r="BK8" s="138"/>
      <c r="BL8" s="2" t="s">
        <v>37</v>
      </c>
      <c r="BM8" s="143"/>
      <c r="BN8" s="138"/>
      <c r="BO8" s="192"/>
      <c r="BP8" s="193"/>
      <c r="BQ8" s="194"/>
      <c r="BR8" s="138"/>
      <c r="BS8" s="138"/>
      <c r="BT8" s="138"/>
      <c r="BU8" s="138"/>
      <c r="BV8" s="138"/>
      <c r="BW8" s="138"/>
      <c r="BX8" s="138"/>
      <c r="BY8" s="138"/>
      <c r="BZ8" s="138"/>
      <c r="CA8" s="138"/>
      <c r="CB8" s="138"/>
      <c r="CC8" s="138"/>
      <c r="CD8" s="138"/>
      <c r="CE8" s="138"/>
      <c r="CF8" s="138"/>
      <c r="CG8" s="138"/>
      <c r="CH8" s="138"/>
      <c r="CI8" s="138"/>
      <c r="CJ8" s="138"/>
    </row>
    <row r="9" spans="1:88" ht="10" customHeight="1" thickBot="1">
      <c r="A9" s="138"/>
      <c r="B9" s="144"/>
      <c r="C9" s="145"/>
      <c r="D9" s="145"/>
      <c r="E9" s="145"/>
      <c r="F9" s="145"/>
      <c r="G9" s="145"/>
      <c r="H9" s="145"/>
      <c r="I9" s="145"/>
      <c r="J9" s="145"/>
      <c r="K9" s="145"/>
      <c r="L9" s="145"/>
      <c r="M9" s="145"/>
      <c r="N9" s="145"/>
      <c r="O9" s="145"/>
      <c r="P9" s="145"/>
      <c r="Q9" s="145"/>
      <c r="R9" s="145"/>
      <c r="S9" s="145"/>
      <c r="T9" s="145"/>
      <c r="U9" s="145"/>
      <c r="V9" s="145"/>
      <c r="W9" s="145"/>
      <c r="X9" s="145"/>
      <c r="Y9" s="145"/>
      <c r="Z9" s="145"/>
      <c r="AA9" s="145"/>
      <c r="AB9" s="145"/>
      <c r="AC9" s="145"/>
      <c r="AD9" s="145"/>
      <c r="AE9" s="145"/>
      <c r="AF9" s="145"/>
      <c r="AG9" s="145"/>
      <c r="AH9" s="145"/>
      <c r="AI9" s="145"/>
      <c r="AJ9" s="145"/>
      <c r="AK9" s="145"/>
      <c r="AL9" s="145"/>
      <c r="AM9" s="145"/>
      <c r="AN9" s="145"/>
      <c r="AO9" s="145"/>
      <c r="AP9" s="145"/>
      <c r="AQ9" s="145"/>
      <c r="AR9" s="145"/>
      <c r="AS9" s="145"/>
      <c r="AT9" s="145"/>
      <c r="AU9" s="145"/>
      <c r="AV9" s="145"/>
      <c r="AW9" s="145"/>
      <c r="AX9" s="145"/>
      <c r="AY9" s="146"/>
      <c r="AZ9" s="138"/>
      <c r="BA9" s="144"/>
      <c r="BB9" s="145"/>
      <c r="BC9" s="145"/>
      <c r="BD9" s="145"/>
      <c r="BE9" s="145"/>
      <c r="BF9" s="145"/>
      <c r="BG9" s="145"/>
      <c r="BH9" s="145"/>
      <c r="BI9" s="145"/>
      <c r="BJ9" s="145"/>
      <c r="BK9" s="145"/>
      <c r="BL9" s="145"/>
      <c r="BM9" s="146"/>
      <c r="BN9" s="138"/>
      <c r="BO9" s="195"/>
      <c r="BP9" s="196"/>
      <c r="BQ9" s="197"/>
      <c r="BR9" s="138"/>
      <c r="BS9" s="138"/>
      <c r="BT9" s="138"/>
      <c r="BU9" s="138"/>
      <c r="BV9" s="138"/>
      <c r="BW9" s="138"/>
      <c r="BX9" s="138"/>
      <c r="BY9" s="138"/>
      <c r="BZ9" s="138"/>
      <c r="CA9" s="138"/>
      <c r="CB9" s="138"/>
      <c r="CC9" s="138"/>
      <c r="CD9" s="138"/>
      <c r="CE9" s="138"/>
      <c r="CF9" s="138"/>
      <c r="CG9" s="138"/>
      <c r="CH9" s="138"/>
      <c r="CI9" s="138"/>
      <c r="CJ9" s="138"/>
    </row>
    <row r="10" spans="1:88" ht="10" customHeight="1" thickBot="1">
      <c r="A10" s="138"/>
      <c r="B10" s="138"/>
      <c r="C10" s="138"/>
      <c r="D10" s="138"/>
      <c r="E10" s="138"/>
      <c r="F10" s="138"/>
      <c r="G10" s="138"/>
      <c r="H10" s="138"/>
      <c r="I10" s="138"/>
      <c r="J10" s="138"/>
      <c r="K10" s="138"/>
      <c r="L10" s="138"/>
      <c r="M10" s="138"/>
      <c r="N10" s="138"/>
      <c r="O10" s="138"/>
      <c r="P10" s="138"/>
      <c r="Q10" s="138"/>
      <c r="R10" s="138"/>
      <c r="S10" s="138"/>
      <c r="T10" s="138"/>
      <c r="U10" s="138"/>
      <c r="V10" s="138"/>
      <c r="W10" s="138"/>
      <c r="X10" s="138"/>
      <c r="Y10" s="138"/>
      <c r="Z10" s="138"/>
      <c r="AA10" s="138"/>
      <c r="AB10" s="138"/>
      <c r="AC10" s="138"/>
      <c r="AD10" s="138"/>
      <c r="AE10" s="138"/>
      <c r="AF10" s="138"/>
      <c r="AG10" s="138"/>
      <c r="AH10" s="138"/>
      <c r="AI10" s="138"/>
      <c r="AJ10" s="138"/>
      <c r="AK10" s="138"/>
      <c r="AL10" s="138"/>
      <c r="AM10" s="138"/>
      <c r="AN10" s="138"/>
      <c r="AO10" s="138"/>
      <c r="AP10" s="138"/>
      <c r="AQ10" s="138"/>
      <c r="AR10" s="138"/>
      <c r="AS10" s="138"/>
      <c r="AT10" s="138"/>
      <c r="AU10" s="138"/>
      <c r="AV10" s="138"/>
      <c r="AW10" s="138"/>
      <c r="AX10" s="138"/>
      <c r="AY10" s="138"/>
      <c r="AZ10" s="138"/>
      <c r="BA10" s="138"/>
      <c r="BB10" s="138"/>
      <c r="BC10" s="138"/>
      <c r="BD10" s="138"/>
      <c r="BE10" s="138"/>
      <c r="BF10" s="138"/>
      <c r="BG10" s="138"/>
      <c r="BH10" s="138"/>
      <c r="BI10" s="138"/>
      <c r="BJ10" s="138"/>
      <c r="BK10" s="138"/>
      <c r="BL10" s="138"/>
      <c r="BM10" s="138"/>
      <c r="BN10" s="138"/>
      <c r="BO10" s="138"/>
      <c r="BP10" s="138"/>
      <c r="BQ10" s="138"/>
      <c r="BR10" s="138"/>
      <c r="BS10" s="138"/>
      <c r="BT10" s="138"/>
      <c r="BU10" s="138"/>
      <c r="BV10" s="138"/>
      <c r="BW10" s="138"/>
      <c r="BX10" s="138"/>
      <c r="BY10" s="138"/>
      <c r="BZ10" s="138"/>
      <c r="CA10" s="138"/>
      <c r="CB10" s="138"/>
      <c r="CC10" s="138"/>
      <c r="CD10" s="138"/>
      <c r="CE10" s="138"/>
      <c r="CF10" s="138"/>
      <c r="CG10" s="138"/>
      <c r="CH10" s="138"/>
      <c r="CI10" s="138"/>
      <c r="CJ10" s="138"/>
    </row>
    <row r="11" spans="1:88" ht="10" customHeight="1">
      <c r="A11" s="138"/>
      <c r="B11" s="140"/>
      <c r="C11" s="141"/>
      <c r="D11" s="141"/>
      <c r="E11" s="141"/>
      <c r="F11" s="141"/>
      <c r="G11" s="141"/>
      <c r="H11" s="141"/>
      <c r="I11" s="141"/>
      <c r="J11" s="141"/>
      <c r="K11" s="141"/>
      <c r="L11" s="141"/>
      <c r="M11" s="141"/>
      <c r="N11" s="141"/>
      <c r="O11" s="141"/>
      <c r="P11" s="141"/>
      <c r="Q11" s="141"/>
      <c r="R11" s="141"/>
      <c r="S11" s="141"/>
      <c r="T11" s="141"/>
      <c r="U11" s="141"/>
      <c r="V11" s="141"/>
      <c r="W11" s="141"/>
      <c r="X11" s="141"/>
      <c r="Y11" s="141"/>
      <c r="Z11" s="141"/>
      <c r="AA11" s="141"/>
      <c r="AB11" s="141"/>
      <c r="AC11" s="141"/>
      <c r="AD11" s="141"/>
      <c r="AE11" s="141"/>
      <c r="AF11" s="141"/>
      <c r="AG11" s="141"/>
      <c r="AH11" s="141"/>
      <c r="AI11" s="141"/>
      <c r="AJ11" s="141"/>
      <c r="AK11" s="141"/>
      <c r="AL11" s="141"/>
      <c r="AM11" s="141"/>
      <c r="AN11" s="141"/>
      <c r="AO11" s="141"/>
      <c r="AP11" s="141"/>
      <c r="AQ11" s="141"/>
      <c r="AR11" s="141"/>
      <c r="AS11" s="141"/>
      <c r="AT11" s="141"/>
      <c r="AU11" s="141"/>
      <c r="AV11" s="141"/>
      <c r="AW11" s="141"/>
      <c r="AX11" s="141"/>
      <c r="AY11" s="142"/>
      <c r="AZ11" s="138"/>
      <c r="BA11" s="140"/>
      <c r="BB11" s="141"/>
      <c r="BC11" s="141"/>
      <c r="BD11" s="141"/>
      <c r="BE11" s="141"/>
      <c r="BF11" s="141"/>
      <c r="BG11" s="141"/>
      <c r="BH11" s="141"/>
      <c r="BI11" s="141"/>
      <c r="BJ11" s="141"/>
      <c r="BK11" s="141"/>
      <c r="BL11" s="141"/>
      <c r="BM11" s="141"/>
      <c r="BN11" s="141"/>
      <c r="BO11" s="141"/>
      <c r="BP11" s="141"/>
      <c r="BQ11" s="141"/>
      <c r="BR11" s="141"/>
      <c r="BS11" s="142"/>
      <c r="BT11" s="138"/>
      <c r="BU11" s="138"/>
      <c r="BV11" s="138"/>
      <c r="BW11" s="138"/>
      <c r="BX11" s="138"/>
      <c r="BY11" s="138"/>
      <c r="BZ11" s="138"/>
      <c r="CA11" s="138"/>
      <c r="CB11" s="138"/>
      <c r="CC11" s="138"/>
      <c r="CD11" s="138"/>
      <c r="CE11" s="138"/>
      <c r="CF11" s="138"/>
      <c r="CG11" s="138"/>
      <c r="CH11" s="138"/>
      <c r="CI11" s="138"/>
      <c r="CJ11" s="138"/>
    </row>
    <row r="12" spans="1:88" ht="15" customHeight="1">
      <c r="A12" s="138"/>
      <c r="B12" s="139"/>
      <c r="C12" s="188" t="s">
        <v>18</v>
      </c>
      <c r="D12" s="181"/>
      <c r="E12" s="181"/>
      <c r="F12" s="181"/>
      <c r="G12" s="181"/>
      <c r="H12" s="181"/>
      <c r="I12" s="181"/>
      <c r="J12" s="181"/>
      <c r="K12" s="181"/>
      <c r="L12" s="181"/>
      <c r="M12" s="181"/>
      <c r="N12" s="181"/>
      <c r="O12" s="181"/>
      <c r="P12" s="181"/>
      <c r="Q12" s="181"/>
      <c r="R12" s="181"/>
      <c r="S12" s="181"/>
      <c r="T12" s="181"/>
      <c r="U12" s="181"/>
      <c r="V12" s="181"/>
      <c r="W12" s="181"/>
      <c r="X12" s="181"/>
      <c r="Y12" s="181"/>
      <c r="Z12" s="181"/>
      <c r="AA12" s="181"/>
      <c r="AB12" s="181"/>
      <c r="AC12" s="181"/>
      <c r="AD12" s="181"/>
      <c r="AE12" s="181"/>
      <c r="AF12" s="181"/>
      <c r="AG12" s="181"/>
      <c r="AH12" s="181"/>
      <c r="AI12" s="181"/>
      <c r="AJ12" s="181"/>
      <c r="AK12" s="181"/>
      <c r="AL12" s="181"/>
      <c r="AM12" s="181"/>
      <c r="AN12" s="181"/>
      <c r="AO12" s="181"/>
      <c r="AP12" s="181"/>
      <c r="AQ12" s="181"/>
      <c r="AR12" s="181"/>
      <c r="AS12" s="181"/>
      <c r="AT12" s="181"/>
      <c r="AU12" s="181"/>
      <c r="AV12" s="181"/>
      <c r="AW12" s="181"/>
      <c r="AX12" s="181"/>
      <c r="AY12" s="143"/>
      <c r="AZ12" s="138"/>
      <c r="BA12" s="139"/>
      <c r="BB12" s="188" t="s">
        <v>19</v>
      </c>
      <c r="BC12" s="181"/>
      <c r="BD12" s="181"/>
      <c r="BE12" s="181"/>
      <c r="BF12" s="181"/>
      <c r="BG12" s="181"/>
      <c r="BH12" s="181"/>
      <c r="BI12" s="181"/>
      <c r="BJ12" s="181"/>
      <c r="BK12" s="181"/>
      <c r="BL12" s="181"/>
      <c r="BM12" s="181"/>
      <c r="BN12" s="181"/>
      <c r="BO12" s="181"/>
      <c r="BP12" s="181"/>
      <c r="BQ12" s="181"/>
      <c r="BR12" s="181"/>
      <c r="BS12" s="143"/>
      <c r="BT12" s="138"/>
      <c r="BU12" s="138"/>
      <c r="BV12" s="138"/>
      <c r="BW12" s="138"/>
      <c r="BX12" s="138"/>
      <c r="BY12" s="138"/>
      <c r="BZ12" s="138"/>
      <c r="CA12" s="138"/>
      <c r="CB12" s="138"/>
      <c r="CC12" s="138"/>
      <c r="CD12" s="138"/>
      <c r="CE12" s="138"/>
      <c r="CF12" s="138"/>
      <c r="CG12" s="138"/>
      <c r="CH12" s="138"/>
      <c r="CI12" s="138"/>
      <c r="CJ12" s="138"/>
    </row>
    <row r="13" spans="1:88" ht="13" customHeight="1">
      <c r="A13" s="138"/>
      <c r="B13" s="139"/>
      <c r="C13" s="138"/>
      <c r="D13" s="138"/>
      <c r="E13" s="138"/>
      <c r="F13" s="138"/>
      <c r="G13" s="138"/>
      <c r="H13" s="138"/>
      <c r="I13" s="138"/>
      <c r="J13" s="138"/>
      <c r="K13" s="138"/>
      <c r="L13" s="138"/>
      <c r="M13" s="138"/>
      <c r="N13" s="138"/>
      <c r="O13" s="138"/>
      <c r="P13" s="138"/>
      <c r="Q13" s="138"/>
      <c r="R13" s="138"/>
      <c r="S13" s="138"/>
      <c r="T13" s="138"/>
      <c r="U13" s="138"/>
      <c r="V13" s="138"/>
      <c r="W13" s="138"/>
      <c r="X13" s="138"/>
      <c r="Y13" s="138"/>
      <c r="Z13" s="138"/>
      <c r="AA13" s="138"/>
      <c r="AB13" s="138"/>
      <c r="AC13" s="138"/>
      <c r="AD13" s="138"/>
      <c r="AE13" s="138"/>
      <c r="AF13" s="138"/>
      <c r="AG13" s="138"/>
      <c r="AH13" s="138"/>
      <c r="AI13" s="138"/>
      <c r="AJ13" s="138"/>
      <c r="AK13" s="138"/>
      <c r="AL13" s="138"/>
      <c r="AM13" s="138"/>
      <c r="AN13" s="138"/>
      <c r="AO13" s="138"/>
      <c r="AP13" s="138"/>
      <c r="AQ13" s="138"/>
      <c r="AR13" s="138"/>
      <c r="AS13" s="138"/>
      <c r="AT13" s="138"/>
      <c r="AU13" s="138"/>
      <c r="AV13" s="138"/>
      <c r="AW13" s="138"/>
      <c r="AX13" s="138"/>
      <c r="AY13" s="143"/>
      <c r="AZ13" s="138"/>
      <c r="BA13" s="139"/>
      <c r="BB13" s="138"/>
      <c r="BC13" s="138"/>
      <c r="BD13" s="138"/>
      <c r="BE13" s="138"/>
      <c r="BF13" s="138"/>
      <c r="BG13" s="138"/>
      <c r="BH13" s="138"/>
      <c r="BI13" s="138"/>
      <c r="BJ13" s="138"/>
      <c r="BK13" s="138"/>
      <c r="BL13" s="138"/>
      <c r="BM13" s="138"/>
      <c r="BN13" s="138"/>
      <c r="BO13" s="138"/>
      <c r="BP13" s="138"/>
      <c r="BQ13" s="138"/>
      <c r="BR13" s="138"/>
      <c r="BS13" s="143"/>
      <c r="BT13" s="138"/>
      <c r="BU13" s="138"/>
      <c r="BV13" s="138"/>
      <c r="BW13" s="138"/>
      <c r="BX13" s="138"/>
      <c r="BY13" s="138"/>
      <c r="BZ13" s="138"/>
      <c r="CA13" s="138"/>
      <c r="CB13" s="138"/>
      <c r="CC13" s="138"/>
      <c r="CD13" s="138"/>
      <c r="CE13" s="138"/>
      <c r="CF13" s="138"/>
      <c r="CG13" s="138"/>
      <c r="CH13" s="138"/>
      <c r="CI13" s="138"/>
      <c r="CJ13" s="138"/>
    </row>
    <row r="14" spans="1:88" ht="42" customHeight="1">
      <c r="A14" s="138"/>
      <c r="B14" s="139"/>
      <c r="C14" s="220" t="s">
        <v>593</v>
      </c>
      <c r="D14" s="183"/>
      <c r="E14" s="183"/>
      <c r="F14" s="183"/>
      <c r="G14" s="183"/>
      <c r="H14" s="183"/>
      <c r="I14" s="184"/>
      <c r="J14" s="138"/>
      <c r="K14" s="220" t="s">
        <v>541</v>
      </c>
      <c r="L14" s="183"/>
      <c r="M14" s="183"/>
      <c r="N14" s="183"/>
      <c r="O14" s="183"/>
      <c r="P14" s="183"/>
      <c r="Q14" s="184"/>
      <c r="R14" s="138"/>
      <c r="S14" s="220" t="s">
        <v>542</v>
      </c>
      <c r="T14" s="183"/>
      <c r="U14" s="183"/>
      <c r="V14" s="183"/>
      <c r="W14" s="183"/>
      <c r="X14" s="183"/>
      <c r="Y14" s="184"/>
      <c r="Z14" s="138"/>
      <c r="AA14" s="138"/>
      <c r="AB14" s="138"/>
      <c r="AC14" s="138"/>
      <c r="AD14" s="220" t="s">
        <v>548</v>
      </c>
      <c r="AE14" s="183"/>
      <c r="AF14" s="183"/>
      <c r="AG14" s="183"/>
      <c r="AH14" s="183"/>
      <c r="AI14" s="183"/>
      <c r="AJ14" s="184"/>
      <c r="AK14" s="138"/>
      <c r="AL14" s="138"/>
      <c r="AM14" s="138"/>
      <c r="AN14" s="138"/>
      <c r="AO14" s="138"/>
      <c r="AP14" s="220" t="s">
        <v>549</v>
      </c>
      <c r="AQ14" s="183"/>
      <c r="AR14" s="183"/>
      <c r="AS14" s="183"/>
      <c r="AT14" s="183"/>
      <c r="AU14" s="183"/>
      <c r="AV14" s="184"/>
      <c r="AW14" s="138"/>
      <c r="AX14" s="138"/>
      <c r="AY14" s="143"/>
      <c r="AZ14" s="138"/>
      <c r="BA14" s="139"/>
      <c r="BB14" s="162" t="s">
        <v>265</v>
      </c>
      <c r="BC14" s="138"/>
      <c r="BD14" s="5" t="s">
        <v>22</v>
      </c>
      <c r="BE14" s="138"/>
      <c r="BF14" s="5" t="s">
        <v>20</v>
      </c>
      <c r="BG14" s="138"/>
      <c r="BH14" s="5" t="s">
        <v>23</v>
      </c>
      <c r="BI14" s="138"/>
      <c r="BJ14" s="5" t="s">
        <v>24</v>
      </c>
      <c r="BK14" s="138"/>
      <c r="BL14" s="5" t="s">
        <v>21</v>
      </c>
      <c r="BM14" s="138"/>
      <c r="BN14" s="162" t="s">
        <v>222</v>
      </c>
      <c r="BO14" s="138"/>
      <c r="BP14" s="5" t="s">
        <v>25</v>
      </c>
      <c r="BQ14" s="138"/>
      <c r="BR14" s="5" t="s">
        <v>26</v>
      </c>
      <c r="BS14" s="143"/>
      <c r="BT14" s="138"/>
      <c r="BU14" s="138"/>
      <c r="BV14" s="138"/>
      <c r="BW14" s="138"/>
      <c r="BX14" s="138"/>
      <c r="BY14" s="138"/>
      <c r="BZ14" s="138"/>
      <c r="CA14" s="138"/>
      <c r="CB14" s="138"/>
      <c r="CC14" s="138"/>
      <c r="CD14" s="138"/>
      <c r="CE14" s="138"/>
      <c r="CF14" s="138"/>
      <c r="CG14" s="138"/>
      <c r="CH14" s="138"/>
      <c r="CI14" s="138"/>
      <c r="CJ14" s="138"/>
    </row>
    <row r="15" spans="1:88" ht="10" customHeight="1">
      <c r="A15" s="138"/>
      <c r="B15" s="139"/>
      <c r="C15" s="138"/>
      <c r="D15" s="138"/>
      <c r="E15" s="138"/>
      <c r="F15" s="138"/>
      <c r="G15" s="138"/>
      <c r="H15" s="138"/>
      <c r="I15" s="138"/>
      <c r="J15" s="138"/>
      <c r="K15" s="138"/>
      <c r="L15" s="138"/>
      <c r="M15" s="138"/>
      <c r="N15" s="138"/>
      <c r="O15" s="138"/>
      <c r="P15" s="138"/>
      <c r="Q15" s="138"/>
      <c r="R15" s="138"/>
      <c r="S15" s="138"/>
      <c r="T15" s="138"/>
      <c r="U15" s="138"/>
      <c r="V15" s="138"/>
      <c r="W15" s="138"/>
      <c r="X15" s="138"/>
      <c r="Y15" s="138"/>
      <c r="Z15" s="138"/>
      <c r="AA15" s="138"/>
      <c r="AB15" s="138"/>
      <c r="AC15" s="138"/>
      <c r="AD15" s="138"/>
      <c r="AE15" s="138"/>
      <c r="AF15" s="138"/>
      <c r="AG15" s="138"/>
      <c r="AH15" s="138"/>
      <c r="AI15" s="138"/>
      <c r="AJ15" s="138"/>
      <c r="AK15" s="138"/>
      <c r="AL15" s="138"/>
      <c r="AM15" s="138"/>
      <c r="AN15" s="138"/>
      <c r="AO15" s="138"/>
      <c r="AP15" s="138"/>
      <c r="AQ15" s="138"/>
      <c r="AR15" s="138"/>
      <c r="AS15" s="138"/>
      <c r="AT15" s="138"/>
      <c r="AU15" s="138"/>
      <c r="AV15" s="138"/>
      <c r="AW15" s="138"/>
      <c r="AX15" s="138"/>
      <c r="AY15" s="143"/>
      <c r="AZ15" s="138"/>
      <c r="BA15" s="139"/>
      <c r="BB15" s="138"/>
      <c r="BC15" s="138"/>
      <c r="BD15" s="138"/>
      <c r="BE15" s="138"/>
      <c r="BF15" s="138"/>
      <c r="BG15" s="138"/>
      <c r="BH15" s="138"/>
      <c r="BI15" s="138"/>
      <c r="BJ15" s="138"/>
      <c r="BK15" s="138"/>
      <c r="BL15" s="138"/>
      <c r="BM15" s="138"/>
      <c r="BN15" s="138"/>
      <c r="BO15" s="138"/>
      <c r="BP15" s="138"/>
      <c r="BQ15" s="138"/>
      <c r="BR15" s="138"/>
      <c r="BS15" s="143"/>
      <c r="BT15" s="138"/>
      <c r="BU15" s="138"/>
      <c r="BV15" s="138"/>
      <c r="BW15" s="138"/>
      <c r="BX15" s="138"/>
      <c r="BY15" s="138"/>
      <c r="BZ15" s="138"/>
      <c r="CA15" s="138"/>
      <c r="CB15" s="138"/>
      <c r="CC15" s="138"/>
      <c r="CD15" s="138"/>
      <c r="CE15" s="138"/>
      <c r="CF15" s="138"/>
      <c r="CG15" s="138"/>
      <c r="CH15" s="138"/>
      <c r="CI15" s="138"/>
      <c r="CJ15" s="138"/>
    </row>
    <row r="16" spans="1:88" ht="42" customHeight="1">
      <c r="A16" s="138"/>
      <c r="B16" s="139"/>
      <c r="C16" s="138"/>
      <c r="D16" s="138"/>
      <c r="E16" s="138"/>
      <c r="F16" s="138"/>
      <c r="G16" s="220" t="s">
        <v>543</v>
      </c>
      <c r="H16" s="183"/>
      <c r="I16" s="183"/>
      <c r="J16" s="183"/>
      <c r="K16" s="183"/>
      <c r="L16" s="183"/>
      <c r="M16" s="184"/>
      <c r="N16" s="138"/>
      <c r="O16" s="220" t="s">
        <v>544</v>
      </c>
      <c r="P16" s="183"/>
      <c r="Q16" s="183"/>
      <c r="R16" s="183"/>
      <c r="S16" s="183"/>
      <c r="T16" s="183"/>
      <c r="U16" s="184"/>
      <c r="V16" s="138"/>
      <c r="W16" s="138"/>
      <c r="X16" s="138"/>
      <c r="Y16" s="138"/>
      <c r="Z16" s="138"/>
      <c r="AA16" s="138"/>
      <c r="AB16" s="138"/>
      <c r="AC16" s="138"/>
      <c r="AD16" s="138"/>
      <c r="AE16" s="138"/>
      <c r="AF16" s="220" t="s">
        <v>551</v>
      </c>
      <c r="AG16" s="183"/>
      <c r="AH16" s="183"/>
      <c r="AI16" s="183"/>
      <c r="AJ16" s="183"/>
      <c r="AK16" s="183"/>
      <c r="AL16" s="184"/>
      <c r="AM16" s="138"/>
      <c r="AN16" s="220" t="s">
        <v>552</v>
      </c>
      <c r="AO16" s="183"/>
      <c r="AP16" s="183"/>
      <c r="AQ16" s="183"/>
      <c r="AR16" s="183"/>
      <c r="AS16" s="183"/>
      <c r="AT16" s="184"/>
      <c r="AU16" s="138"/>
      <c r="AV16" s="138"/>
      <c r="AW16" s="138"/>
      <c r="AX16" s="138"/>
      <c r="AY16" s="143"/>
      <c r="AZ16" s="138"/>
      <c r="BA16" s="139"/>
      <c r="BB16" s="162" t="s">
        <v>221</v>
      </c>
      <c r="BC16" s="138"/>
      <c r="BD16" s="5" t="s">
        <v>25</v>
      </c>
      <c r="BE16" s="138"/>
      <c r="BF16" s="5" t="s">
        <v>26</v>
      </c>
      <c r="BG16" s="138"/>
      <c r="BH16" s="5" t="s">
        <v>45</v>
      </c>
      <c r="BI16" s="138"/>
      <c r="BJ16" s="138"/>
      <c r="BK16" s="138"/>
      <c r="BL16" s="162" t="s">
        <v>402</v>
      </c>
      <c r="BM16" s="138"/>
      <c r="BN16" s="14" t="s">
        <v>243</v>
      </c>
      <c r="BO16" s="138"/>
      <c r="BP16" s="14" t="s">
        <v>400</v>
      </c>
      <c r="BQ16" s="138"/>
      <c r="BR16" s="14" t="s">
        <v>401</v>
      </c>
      <c r="BS16" s="143"/>
      <c r="BT16" s="138"/>
      <c r="BU16" s="138"/>
      <c r="BV16" s="138"/>
      <c r="BW16" s="138"/>
      <c r="BX16" s="138"/>
      <c r="BY16" s="138"/>
      <c r="BZ16" s="138"/>
      <c r="CA16" s="138"/>
      <c r="CB16" s="138"/>
      <c r="CC16" s="138"/>
      <c r="CD16" s="138"/>
      <c r="CE16" s="138"/>
      <c r="CF16" s="138"/>
      <c r="CG16" s="138"/>
      <c r="CH16" s="138"/>
      <c r="CI16" s="138"/>
      <c r="CJ16" s="138"/>
    </row>
    <row r="17" spans="1:88" ht="10" customHeight="1">
      <c r="A17" s="138"/>
      <c r="B17" s="139"/>
      <c r="C17" s="138"/>
      <c r="D17" s="138"/>
      <c r="E17" s="138"/>
      <c r="F17" s="138"/>
      <c r="G17" s="138"/>
      <c r="H17" s="138"/>
      <c r="I17" s="138"/>
      <c r="J17" s="138"/>
      <c r="K17" s="138"/>
      <c r="L17" s="138"/>
      <c r="M17" s="138"/>
      <c r="N17" s="138"/>
      <c r="O17" s="138"/>
      <c r="P17" s="138"/>
      <c r="Q17" s="138"/>
      <c r="R17" s="138"/>
      <c r="S17" s="138"/>
      <c r="T17" s="138"/>
      <c r="U17" s="138"/>
      <c r="V17" s="138"/>
      <c r="W17" s="138"/>
      <c r="X17" s="138"/>
      <c r="Y17" s="138"/>
      <c r="Z17" s="138"/>
      <c r="AA17" s="138"/>
      <c r="AB17" s="138"/>
      <c r="AC17" s="138"/>
      <c r="AD17" s="138"/>
      <c r="AE17" s="138"/>
      <c r="AF17" s="138"/>
      <c r="AG17" s="138"/>
      <c r="AH17" s="138"/>
      <c r="AI17" s="138"/>
      <c r="AJ17" s="138"/>
      <c r="AK17" s="138"/>
      <c r="AL17" s="138"/>
      <c r="AM17" s="138"/>
      <c r="AN17" s="138"/>
      <c r="AO17" s="138"/>
      <c r="AP17" s="138"/>
      <c r="AQ17" s="138"/>
      <c r="AR17" s="138"/>
      <c r="AS17" s="138"/>
      <c r="AT17" s="138"/>
      <c r="AU17" s="138"/>
      <c r="AV17" s="138"/>
      <c r="AW17" s="138"/>
      <c r="AX17" s="138"/>
      <c r="AY17" s="143"/>
      <c r="AZ17" s="138"/>
      <c r="BA17" s="139"/>
      <c r="BB17" s="138"/>
      <c r="BC17" s="138"/>
      <c r="BD17" s="138"/>
      <c r="BE17" s="138"/>
      <c r="BF17" s="138"/>
      <c r="BG17" s="138"/>
      <c r="BH17" s="138"/>
      <c r="BI17" s="138"/>
      <c r="BJ17" s="138"/>
      <c r="BK17" s="138"/>
      <c r="BL17" s="138"/>
      <c r="BM17" s="138"/>
      <c r="BN17" s="138"/>
      <c r="BO17" s="138"/>
      <c r="BP17" s="138"/>
      <c r="BQ17" s="138"/>
      <c r="BR17" s="138"/>
      <c r="BS17" s="143"/>
      <c r="BT17" s="138"/>
      <c r="BU17" s="138"/>
      <c r="BV17" s="138"/>
      <c r="BW17" s="138"/>
      <c r="BX17" s="138"/>
      <c r="BY17" s="138"/>
      <c r="BZ17" s="138"/>
      <c r="CA17" s="138"/>
      <c r="CB17" s="138"/>
      <c r="CC17" s="138"/>
      <c r="CD17" s="138"/>
      <c r="CE17" s="138"/>
      <c r="CF17" s="138"/>
      <c r="CG17" s="138"/>
      <c r="CH17" s="138"/>
      <c r="CI17" s="138"/>
      <c r="CJ17" s="138"/>
    </row>
    <row r="18" spans="1:88" ht="42" customHeight="1">
      <c r="A18" s="138"/>
      <c r="B18" s="139"/>
      <c r="C18" s="220" t="s">
        <v>545</v>
      </c>
      <c r="D18" s="183"/>
      <c r="E18" s="183"/>
      <c r="F18" s="183"/>
      <c r="G18" s="183"/>
      <c r="H18" s="183"/>
      <c r="I18" s="184"/>
      <c r="J18" s="138"/>
      <c r="K18" s="220" t="s">
        <v>547</v>
      </c>
      <c r="L18" s="183"/>
      <c r="M18" s="183"/>
      <c r="N18" s="183"/>
      <c r="O18" s="183"/>
      <c r="P18" s="183"/>
      <c r="Q18" s="184"/>
      <c r="R18" s="138"/>
      <c r="S18" s="220" t="s">
        <v>546</v>
      </c>
      <c r="T18" s="183"/>
      <c r="U18" s="183"/>
      <c r="V18" s="183"/>
      <c r="W18" s="183"/>
      <c r="X18" s="183"/>
      <c r="Y18" s="184"/>
      <c r="Z18" s="138"/>
      <c r="AA18" s="138"/>
      <c r="AB18" s="220" t="s">
        <v>550</v>
      </c>
      <c r="AC18" s="183"/>
      <c r="AD18" s="183"/>
      <c r="AE18" s="183"/>
      <c r="AF18" s="183"/>
      <c r="AG18" s="183"/>
      <c r="AH18" s="184"/>
      <c r="AI18" s="138"/>
      <c r="AJ18" s="220" t="s">
        <v>554</v>
      </c>
      <c r="AK18" s="183"/>
      <c r="AL18" s="183"/>
      <c r="AM18" s="183"/>
      <c r="AN18" s="183"/>
      <c r="AO18" s="183"/>
      <c r="AP18" s="184"/>
      <c r="AQ18" s="138"/>
      <c r="AR18" s="220" t="s">
        <v>553</v>
      </c>
      <c r="AS18" s="183"/>
      <c r="AT18" s="183"/>
      <c r="AU18" s="183"/>
      <c r="AV18" s="183"/>
      <c r="AW18" s="183"/>
      <c r="AX18" s="184"/>
      <c r="AY18" s="143"/>
      <c r="AZ18" s="138"/>
      <c r="BA18" s="139"/>
      <c r="BB18" s="162" t="s">
        <v>125</v>
      </c>
      <c r="BC18" s="138"/>
      <c r="BD18" s="5" t="s">
        <v>126</v>
      </c>
      <c r="BE18" s="138"/>
      <c r="BF18" s="5" t="s">
        <v>127</v>
      </c>
      <c r="BG18" s="138"/>
      <c r="BH18" s="5" t="s">
        <v>128</v>
      </c>
      <c r="BI18" s="138"/>
      <c r="BJ18" s="5" t="s">
        <v>129</v>
      </c>
      <c r="BK18" s="138"/>
      <c r="BL18" s="5" t="s">
        <v>10</v>
      </c>
      <c r="BM18" s="138"/>
      <c r="BN18" s="5" t="s">
        <v>27</v>
      </c>
      <c r="BO18" s="138"/>
      <c r="BP18" s="5" t="s">
        <v>218</v>
      </c>
      <c r="BQ18" s="138"/>
      <c r="BR18" s="5" t="s">
        <v>395</v>
      </c>
      <c r="BS18" s="143"/>
      <c r="BT18" s="138"/>
      <c r="BU18" s="138"/>
      <c r="BV18" s="138"/>
      <c r="BW18" s="138"/>
      <c r="BX18" s="138"/>
      <c r="BY18" s="138"/>
      <c r="BZ18" s="138"/>
      <c r="CA18" s="138"/>
      <c r="CB18" s="138"/>
      <c r="CC18" s="138"/>
      <c r="CD18" s="138"/>
      <c r="CE18" s="138"/>
      <c r="CF18" s="138"/>
      <c r="CG18" s="138"/>
      <c r="CH18" s="138"/>
      <c r="CI18" s="138"/>
      <c r="CJ18" s="138"/>
    </row>
    <row r="19" spans="1:88" s="3" customFormat="1" ht="10" customHeight="1">
      <c r="A19" s="138"/>
      <c r="B19" s="139"/>
      <c r="C19" s="138"/>
      <c r="D19" s="138"/>
      <c r="E19" s="138"/>
      <c r="F19" s="138"/>
      <c r="G19" s="138"/>
      <c r="H19" s="138"/>
      <c r="I19" s="138"/>
      <c r="J19" s="138"/>
      <c r="K19" s="138"/>
      <c r="L19" s="138"/>
      <c r="M19" s="138"/>
      <c r="N19" s="138"/>
      <c r="O19" s="138"/>
      <c r="P19" s="138"/>
      <c r="Q19" s="138"/>
      <c r="R19" s="138"/>
      <c r="S19" s="138"/>
      <c r="T19" s="138"/>
      <c r="U19" s="138"/>
      <c r="V19" s="138"/>
      <c r="W19" s="138"/>
      <c r="X19" s="138"/>
      <c r="Y19" s="138"/>
      <c r="Z19" s="138"/>
      <c r="AA19" s="138"/>
      <c r="AB19" s="138"/>
      <c r="AC19" s="138"/>
      <c r="AD19" s="138"/>
      <c r="AE19" s="138"/>
      <c r="AF19" s="138"/>
      <c r="AG19" s="138"/>
      <c r="AH19" s="138"/>
      <c r="AI19" s="138"/>
      <c r="AJ19" s="138"/>
      <c r="AK19" s="138"/>
      <c r="AL19" s="138"/>
      <c r="AM19" s="138"/>
      <c r="AN19" s="138"/>
      <c r="AO19" s="138"/>
      <c r="AP19" s="138"/>
      <c r="AQ19" s="138"/>
      <c r="AR19" s="138"/>
      <c r="AS19" s="138"/>
      <c r="AT19" s="138"/>
      <c r="AU19" s="138"/>
      <c r="AV19" s="138"/>
      <c r="AW19" s="138"/>
      <c r="AX19" s="138"/>
      <c r="AY19" s="143"/>
      <c r="AZ19" s="138"/>
      <c r="BA19" s="139"/>
      <c r="BB19" s="138"/>
      <c r="BC19" s="138"/>
      <c r="BD19" s="138"/>
      <c r="BE19" s="138"/>
      <c r="BF19" s="138"/>
      <c r="BG19" s="138"/>
      <c r="BH19" s="138"/>
      <c r="BI19" s="138"/>
      <c r="BJ19" s="138"/>
      <c r="BK19" s="138"/>
      <c r="BL19" s="138"/>
      <c r="BM19" s="138"/>
      <c r="BN19" s="138"/>
      <c r="BO19" s="138"/>
      <c r="BP19" s="138"/>
      <c r="BQ19" s="138"/>
      <c r="BR19" s="138"/>
      <c r="BS19" s="143"/>
      <c r="BT19" s="138"/>
      <c r="BU19" s="138"/>
      <c r="BV19" s="138"/>
      <c r="BW19" s="138"/>
      <c r="BX19" s="138"/>
      <c r="BY19" s="138"/>
      <c r="BZ19" s="138"/>
      <c r="CA19" s="138"/>
      <c r="CB19" s="138"/>
      <c r="CC19" s="138"/>
      <c r="CD19" s="138"/>
      <c r="CE19" s="138"/>
      <c r="CF19" s="138"/>
      <c r="CG19" s="138"/>
      <c r="CH19" s="138"/>
      <c r="CI19" s="138"/>
      <c r="CJ19" s="138"/>
    </row>
    <row r="20" spans="1:88" ht="42" customHeight="1">
      <c r="A20" s="138"/>
      <c r="B20" s="139"/>
      <c r="C20" s="138"/>
      <c r="D20" s="138"/>
      <c r="E20" s="138"/>
      <c r="F20" s="138"/>
      <c r="G20" s="138"/>
      <c r="H20" s="138"/>
      <c r="I20" s="138"/>
      <c r="J20" s="138"/>
      <c r="K20" s="226" t="s">
        <v>42</v>
      </c>
      <c r="L20" s="183"/>
      <c r="M20" s="183"/>
      <c r="N20" s="183"/>
      <c r="O20" s="183"/>
      <c r="P20" s="183"/>
      <c r="Q20" s="184"/>
      <c r="R20" s="138"/>
      <c r="S20" s="226" t="s">
        <v>153</v>
      </c>
      <c r="T20" s="183"/>
      <c r="U20" s="183"/>
      <c r="V20" s="183"/>
      <c r="W20" s="183"/>
      <c r="X20" s="183"/>
      <c r="Y20" s="184"/>
      <c r="Z20" s="138"/>
      <c r="AA20" s="138"/>
      <c r="AB20" s="226" t="s">
        <v>169</v>
      </c>
      <c r="AC20" s="183"/>
      <c r="AD20" s="183"/>
      <c r="AE20" s="183"/>
      <c r="AF20" s="183"/>
      <c r="AG20" s="183"/>
      <c r="AH20" s="184"/>
      <c r="AI20" s="138"/>
      <c r="AJ20" s="226" t="s">
        <v>32</v>
      </c>
      <c r="AK20" s="183"/>
      <c r="AL20" s="183"/>
      <c r="AM20" s="183"/>
      <c r="AN20" s="183"/>
      <c r="AO20" s="183"/>
      <c r="AP20" s="184"/>
      <c r="AQ20" s="138"/>
      <c r="AR20" s="138"/>
      <c r="AS20" s="138"/>
      <c r="AT20" s="138"/>
      <c r="AU20" s="138"/>
      <c r="AV20" s="138"/>
      <c r="AW20" s="138"/>
      <c r="AX20" s="138"/>
      <c r="AY20" s="143"/>
      <c r="AZ20" s="138"/>
      <c r="BA20" s="139"/>
      <c r="BB20" s="162" t="s">
        <v>65</v>
      </c>
      <c r="BC20" s="138"/>
      <c r="BD20" s="6" t="s">
        <v>157</v>
      </c>
      <c r="BE20" s="138"/>
      <c r="BF20" s="6" t="s">
        <v>158</v>
      </c>
      <c r="BG20" s="138"/>
      <c r="BH20" s="138"/>
      <c r="BI20" s="138"/>
      <c r="BJ20" s="162" t="s">
        <v>504</v>
      </c>
      <c r="BK20" s="138"/>
      <c r="BL20" s="6" t="s">
        <v>157</v>
      </c>
      <c r="BM20" s="138"/>
      <c r="BN20" s="6" t="s">
        <v>158</v>
      </c>
      <c r="BO20" s="138"/>
      <c r="BP20" s="138"/>
      <c r="BQ20" s="138"/>
      <c r="BR20" s="138"/>
      <c r="BS20" s="143"/>
      <c r="BT20" s="138"/>
      <c r="BU20" s="138"/>
      <c r="BV20" s="138"/>
      <c r="BW20" s="138"/>
      <c r="BX20" s="138"/>
      <c r="BY20" s="138"/>
      <c r="BZ20" s="138"/>
      <c r="CA20" s="138"/>
      <c r="CB20" s="138"/>
      <c r="CC20" s="138"/>
      <c r="CD20" s="138"/>
      <c r="CE20" s="138"/>
      <c r="CF20" s="138"/>
      <c r="CG20" s="138"/>
      <c r="CH20" s="138"/>
      <c r="CI20" s="138"/>
      <c r="CJ20" s="138"/>
    </row>
    <row r="21" spans="1:88" ht="10" customHeight="1" thickBot="1">
      <c r="A21" s="138"/>
      <c r="B21" s="144"/>
      <c r="C21" s="145"/>
      <c r="D21" s="145"/>
      <c r="E21" s="145"/>
      <c r="F21" s="145"/>
      <c r="G21" s="145"/>
      <c r="H21" s="145"/>
      <c r="I21" s="145"/>
      <c r="J21" s="145"/>
      <c r="K21" s="145"/>
      <c r="L21" s="145"/>
      <c r="M21" s="145"/>
      <c r="N21" s="145"/>
      <c r="O21" s="145"/>
      <c r="P21" s="145"/>
      <c r="Q21" s="145"/>
      <c r="R21" s="145"/>
      <c r="S21" s="145"/>
      <c r="T21" s="145"/>
      <c r="U21" s="145"/>
      <c r="V21" s="145"/>
      <c r="W21" s="145"/>
      <c r="X21" s="145"/>
      <c r="Y21" s="145"/>
      <c r="Z21" s="145"/>
      <c r="AA21" s="145"/>
      <c r="AB21" s="145"/>
      <c r="AC21" s="145"/>
      <c r="AD21" s="145"/>
      <c r="AE21" s="145"/>
      <c r="AF21" s="145"/>
      <c r="AG21" s="145"/>
      <c r="AH21" s="145"/>
      <c r="AI21" s="145"/>
      <c r="AJ21" s="145"/>
      <c r="AK21" s="145"/>
      <c r="AL21" s="145"/>
      <c r="AM21" s="145"/>
      <c r="AN21" s="145"/>
      <c r="AO21" s="145"/>
      <c r="AP21" s="145"/>
      <c r="AQ21" s="145"/>
      <c r="AR21" s="145"/>
      <c r="AS21" s="145"/>
      <c r="AT21" s="145"/>
      <c r="AU21" s="145"/>
      <c r="AV21" s="145"/>
      <c r="AW21" s="145"/>
      <c r="AX21" s="145"/>
      <c r="AY21" s="146"/>
      <c r="AZ21" s="138"/>
      <c r="BA21" s="144"/>
      <c r="BB21" s="145"/>
      <c r="BC21" s="145"/>
      <c r="BD21" s="145"/>
      <c r="BE21" s="145"/>
      <c r="BF21" s="145"/>
      <c r="BG21" s="145"/>
      <c r="BH21" s="145"/>
      <c r="BI21" s="145"/>
      <c r="BJ21" s="145"/>
      <c r="BK21" s="145"/>
      <c r="BL21" s="145"/>
      <c r="BM21" s="145"/>
      <c r="BN21" s="145"/>
      <c r="BO21" s="145"/>
      <c r="BP21" s="145"/>
      <c r="BQ21" s="145"/>
      <c r="BR21" s="145"/>
      <c r="BS21" s="146"/>
      <c r="BT21" s="138"/>
      <c r="BU21" s="138"/>
      <c r="BV21" s="138"/>
      <c r="BW21" s="138"/>
      <c r="BX21" s="138"/>
      <c r="BY21" s="138"/>
      <c r="BZ21" s="138"/>
      <c r="CA21" s="138"/>
      <c r="CB21" s="138"/>
      <c r="CC21" s="138"/>
      <c r="CD21" s="138"/>
      <c r="CE21" s="138"/>
      <c r="CF21" s="138"/>
      <c r="CG21" s="138"/>
      <c r="CH21" s="138"/>
      <c r="CI21" s="138"/>
      <c r="CJ21" s="138"/>
    </row>
    <row r="22" spans="1:88" ht="10" customHeight="1" thickBot="1">
      <c r="A22" s="138"/>
      <c r="B22" s="138"/>
      <c r="C22" s="138"/>
      <c r="D22" s="138"/>
      <c r="E22" s="138"/>
      <c r="F22" s="138"/>
      <c r="G22" s="138"/>
      <c r="H22" s="138"/>
      <c r="I22" s="138"/>
      <c r="J22" s="138"/>
      <c r="K22" s="138"/>
      <c r="L22" s="138"/>
      <c r="M22" s="138"/>
      <c r="N22" s="138"/>
      <c r="O22" s="138"/>
      <c r="P22" s="138"/>
      <c r="Q22" s="138"/>
      <c r="R22" s="138"/>
      <c r="S22" s="138"/>
      <c r="T22" s="138"/>
      <c r="U22" s="138"/>
      <c r="V22" s="138"/>
      <c r="W22" s="138"/>
      <c r="X22" s="138"/>
      <c r="Y22" s="138"/>
      <c r="Z22" s="138"/>
      <c r="AA22" s="138"/>
      <c r="AB22" s="138"/>
      <c r="AC22" s="138"/>
      <c r="AD22" s="138"/>
      <c r="AE22" s="138"/>
      <c r="AF22" s="138"/>
      <c r="AG22" s="138"/>
      <c r="AH22" s="138"/>
      <c r="AI22" s="138"/>
      <c r="AJ22" s="138"/>
      <c r="AK22" s="138"/>
      <c r="AL22" s="138"/>
      <c r="AM22" s="138"/>
      <c r="AN22" s="138"/>
      <c r="AO22" s="138"/>
      <c r="AP22" s="138"/>
      <c r="AQ22" s="138"/>
      <c r="AR22" s="138"/>
      <c r="AS22" s="138"/>
      <c r="AT22" s="138"/>
      <c r="AU22" s="138"/>
      <c r="AV22" s="138"/>
      <c r="AW22" s="138"/>
      <c r="AX22" s="138"/>
      <c r="AY22" s="138"/>
      <c r="AZ22" s="138"/>
      <c r="BA22" s="138"/>
      <c r="BB22" s="138"/>
      <c r="BC22" s="138"/>
      <c r="BD22" s="138"/>
      <c r="BE22" s="138"/>
      <c r="BF22" s="138"/>
      <c r="BG22" s="138"/>
      <c r="BH22" s="138"/>
      <c r="BI22" s="138"/>
      <c r="BJ22" s="138"/>
      <c r="BK22" s="138"/>
      <c r="BL22" s="138"/>
      <c r="BM22" s="138"/>
      <c r="BN22" s="138"/>
      <c r="BO22" s="138"/>
      <c r="BP22" s="138"/>
      <c r="BQ22" s="138"/>
      <c r="BR22" s="138"/>
      <c r="BS22" s="138"/>
      <c r="BT22" s="138"/>
      <c r="BU22" s="138"/>
      <c r="BV22" s="138"/>
      <c r="BW22" s="138"/>
      <c r="BX22" s="138"/>
      <c r="BY22" s="138"/>
      <c r="BZ22" s="138"/>
      <c r="CA22" s="138"/>
      <c r="CB22" s="138"/>
      <c r="CC22" s="138"/>
      <c r="CD22" s="138"/>
      <c r="CE22" s="138"/>
      <c r="CF22" s="138"/>
      <c r="CG22" s="138"/>
      <c r="CH22" s="138"/>
      <c r="CI22" s="138"/>
      <c r="CJ22" s="138"/>
    </row>
    <row r="23" spans="1:88" ht="10" customHeight="1">
      <c r="A23" s="138"/>
      <c r="B23" s="140"/>
      <c r="C23" s="141"/>
      <c r="D23" s="141"/>
      <c r="E23" s="141"/>
      <c r="F23" s="141"/>
      <c r="G23" s="141"/>
      <c r="H23" s="141"/>
      <c r="I23" s="141"/>
      <c r="J23" s="141"/>
      <c r="K23" s="141"/>
      <c r="L23" s="141"/>
      <c r="M23" s="141"/>
      <c r="N23" s="141"/>
      <c r="O23" s="141"/>
      <c r="P23" s="141"/>
      <c r="Q23" s="141"/>
      <c r="R23" s="141"/>
      <c r="S23" s="141"/>
      <c r="T23" s="141"/>
      <c r="U23" s="141"/>
      <c r="V23" s="141"/>
      <c r="W23" s="141"/>
      <c r="X23" s="141"/>
      <c r="Y23" s="141"/>
      <c r="Z23" s="141"/>
      <c r="AA23" s="141"/>
      <c r="AB23" s="141"/>
      <c r="AC23" s="141"/>
      <c r="AD23" s="141"/>
      <c r="AE23" s="141"/>
      <c r="AF23" s="141"/>
      <c r="AG23" s="141"/>
      <c r="AH23" s="141"/>
      <c r="AI23" s="141"/>
      <c r="AJ23" s="141"/>
      <c r="AK23" s="141"/>
      <c r="AL23" s="141"/>
      <c r="AM23" s="141"/>
      <c r="AN23" s="141"/>
      <c r="AO23" s="141"/>
      <c r="AP23" s="141"/>
      <c r="AQ23" s="141"/>
      <c r="AR23" s="141"/>
      <c r="AS23" s="141"/>
      <c r="AT23" s="141"/>
      <c r="AU23" s="141"/>
      <c r="AV23" s="141"/>
      <c r="AW23" s="141"/>
      <c r="AX23" s="141"/>
      <c r="AY23" s="142"/>
      <c r="AZ23" s="138"/>
      <c r="BA23" s="138"/>
      <c r="BB23" s="138"/>
      <c r="BC23" s="138"/>
      <c r="BD23" s="138"/>
      <c r="BE23" s="138"/>
      <c r="BF23" s="138"/>
      <c r="BG23" s="138"/>
      <c r="BH23" s="138"/>
      <c r="BI23" s="138"/>
      <c r="BJ23" s="138"/>
      <c r="BK23" s="138"/>
      <c r="BL23" s="138"/>
      <c r="BM23" s="138"/>
      <c r="BN23" s="138"/>
      <c r="BO23" s="138"/>
      <c r="BP23" s="138"/>
      <c r="BQ23" s="138"/>
      <c r="BR23" s="138"/>
      <c r="BS23" s="138"/>
      <c r="BT23" s="138"/>
      <c r="BU23" s="138"/>
      <c r="BV23" s="138"/>
      <c r="BW23" s="138"/>
      <c r="BX23" s="138"/>
      <c r="BY23" s="138"/>
      <c r="BZ23" s="138"/>
      <c r="CA23" s="138"/>
      <c r="CB23" s="138"/>
      <c r="CC23" s="138"/>
      <c r="CD23" s="138"/>
      <c r="CE23" s="138"/>
      <c r="CF23" s="138"/>
      <c r="CG23" s="138"/>
      <c r="CH23" s="138"/>
      <c r="CI23" s="138"/>
      <c r="CJ23" s="138"/>
    </row>
    <row r="24" spans="1:88" ht="15" customHeight="1">
      <c r="A24" s="138"/>
      <c r="B24" s="139"/>
      <c r="C24" s="188" t="s">
        <v>40</v>
      </c>
      <c r="D24" s="181"/>
      <c r="E24" s="181"/>
      <c r="F24" s="181"/>
      <c r="G24" s="181"/>
      <c r="H24" s="181"/>
      <c r="I24" s="181"/>
      <c r="J24" s="181"/>
      <c r="K24" s="181"/>
      <c r="L24" s="181"/>
      <c r="M24" s="181"/>
      <c r="N24" s="181"/>
      <c r="O24" s="181"/>
      <c r="P24" s="181"/>
      <c r="Q24" s="181"/>
      <c r="R24" s="181"/>
      <c r="S24" s="181"/>
      <c r="T24" s="181"/>
      <c r="U24" s="181"/>
      <c r="V24" s="181"/>
      <c r="W24" s="181"/>
      <c r="X24" s="181"/>
      <c r="Y24" s="181"/>
      <c r="Z24" s="181"/>
      <c r="AA24" s="181"/>
      <c r="AB24" s="181"/>
      <c r="AC24" s="181"/>
      <c r="AD24" s="181"/>
      <c r="AE24" s="181"/>
      <c r="AF24" s="181"/>
      <c r="AG24" s="181"/>
      <c r="AH24" s="181"/>
      <c r="AI24" s="181"/>
      <c r="AJ24" s="181"/>
      <c r="AK24" s="181"/>
      <c r="AL24" s="181"/>
      <c r="AM24" s="181"/>
      <c r="AN24" s="181"/>
      <c r="AO24" s="181"/>
      <c r="AP24" s="181"/>
      <c r="AQ24" s="181"/>
      <c r="AR24" s="181"/>
      <c r="AS24" s="181"/>
      <c r="AT24" s="181"/>
      <c r="AU24" s="181"/>
      <c r="AV24" s="181"/>
      <c r="AW24" s="181"/>
      <c r="AX24" s="181"/>
      <c r="AY24" s="143"/>
      <c r="AZ24" s="138"/>
      <c r="BA24" s="138"/>
      <c r="BB24" s="138"/>
      <c r="BC24" s="138"/>
      <c r="BD24" s="138"/>
      <c r="BE24" s="138"/>
      <c r="BF24" s="138"/>
      <c r="BG24" s="138"/>
      <c r="BH24" s="138"/>
      <c r="BI24" s="138"/>
      <c r="BJ24" s="138"/>
      <c r="BK24" s="138"/>
      <c r="BL24" s="138"/>
      <c r="BM24" s="138"/>
      <c r="BN24" s="138"/>
      <c r="BO24" s="138"/>
      <c r="BP24" s="138"/>
      <c r="BQ24" s="138"/>
      <c r="BR24" s="138"/>
      <c r="BS24" s="138"/>
      <c r="BT24" s="138"/>
      <c r="BU24" s="138"/>
      <c r="BV24" s="138"/>
      <c r="BW24" s="138"/>
      <c r="BX24" s="138"/>
      <c r="BY24" s="138"/>
      <c r="BZ24" s="138"/>
      <c r="CA24" s="138"/>
      <c r="CB24" s="138"/>
      <c r="CC24" s="138"/>
      <c r="CD24" s="138"/>
      <c r="CE24" s="138"/>
      <c r="CF24" s="138"/>
      <c r="CG24" s="138"/>
      <c r="CH24" s="138"/>
      <c r="CI24" s="138"/>
      <c r="CJ24" s="138"/>
    </row>
    <row r="25" spans="1:88" s="3" customFormat="1" ht="10" customHeight="1">
      <c r="A25" s="138"/>
      <c r="B25" s="139"/>
      <c r="C25" s="138"/>
      <c r="D25" s="138"/>
      <c r="E25" s="138"/>
      <c r="F25" s="138"/>
      <c r="G25" s="138"/>
      <c r="H25" s="138"/>
      <c r="I25" s="138"/>
      <c r="J25" s="138"/>
      <c r="K25" s="138"/>
      <c r="L25" s="138"/>
      <c r="M25" s="138"/>
      <c r="N25" s="138"/>
      <c r="O25" s="138"/>
      <c r="P25" s="138"/>
      <c r="Q25" s="138"/>
      <c r="R25" s="138"/>
      <c r="S25" s="138"/>
      <c r="T25" s="138"/>
      <c r="U25" s="138"/>
      <c r="V25" s="138"/>
      <c r="W25" s="138"/>
      <c r="X25" s="138"/>
      <c r="Y25" s="138"/>
      <c r="Z25" s="138"/>
      <c r="AA25" s="138"/>
      <c r="AB25" s="138"/>
      <c r="AC25" s="138"/>
      <c r="AD25" s="138"/>
      <c r="AE25" s="138"/>
      <c r="AF25" s="138"/>
      <c r="AG25" s="138"/>
      <c r="AH25" s="138"/>
      <c r="AI25" s="138"/>
      <c r="AJ25" s="138"/>
      <c r="AK25" s="138"/>
      <c r="AL25" s="138"/>
      <c r="AM25" s="138"/>
      <c r="AN25" s="138"/>
      <c r="AO25" s="138"/>
      <c r="AP25" s="138"/>
      <c r="AQ25" s="138"/>
      <c r="AR25" s="138"/>
      <c r="AS25" s="138"/>
      <c r="AT25" s="138"/>
      <c r="AU25" s="138"/>
      <c r="AV25" s="138"/>
      <c r="AW25" s="138"/>
      <c r="AX25" s="138"/>
      <c r="AY25" s="143"/>
      <c r="AZ25" s="138"/>
      <c r="BA25" s="138"/>
      <c r="BB25" s="138"/>
      <c r="BC25" s="138"/>
      <c r="BD25" s="138"/>
      <c r="BE25" s="138"/>
      <c r="BF25" s="138"/>
      <c r="BG25" s="138"/>
      <c r="BH25" s="138"/>
      <c r="BI25" s="138"/>
      <c r="BJ25" s="138"/>
      <c r="BK25" s="138"/>
      <c r="BL25" s="138"/>
      <c r="BM25" s="138"/>
      <c r="BN25" s="138"/>
      <c r="BO25" s="138"/>
      <c r="BP25" s="138"/>
      <c r="BQ25" s="138"/>
      <c r="BR25" s="138"/>
      <c r="BS25" s="138"/>
      <c r="BT25" s="138"/>
      <c r="BU25" s="138"/>
      <c r="BV25" s="138"/>
      <c r="BW25" s="138"/>
      <c r="BX25" s="138"/>
      <c r="BY25" s="138"/>
      <c r="BZ25" s="138"/>
      <c r="CA25" s="138"/>
      <c r="CB25" s="138"/>
      <c r="CC25" s="138"/>
      <c r="CD25" s="138"/>
      <c r="CE25" s="138"/>
      <c r="CF25" s="138"/>
      <c r="CG25" s="138"/>
      <c r="CH25" s="138"/>
      <c r="CI25" s="138"/>
      <c r="CJ25" s="138"/>
    </row>
    <row r="26" spans="1:88" ht="15" customHeight="1">
      <c r="A26" s="138"/>
      <c r="B26" s="139"/>
      <c r="C26" s="180" t="s">
        <v>41</v>
      </c>
      <c r="D26" s="181"/>
      <c r="E26" s="181"/>
      <c r="F26" s="181"/>
      <c r="G26" s="181"/>
      <c r="H26" s="181"/>
      <c r="I26" s="181"/>
      <c r="J26" s="181"/>
      <c r="K26" s="181"/>
      <c r="L26" s="138"/>
      <c r="M26" s="138"/>
      <c r="N26" s="138"/>
      <c r="O26" s="138"/>
      <c r="P26" s="138"/>
      <c r="Q26" s="138"/>
      <c r="R26" s="138"/>
      <c r="S26" s="138"/>
      <c r="T26" s="138"/>
      <c r="U26" s="138"/>
      <c r="V26" s="138"/>
      <c r="W26" s="138"/>
      <c r="X26" s="138"/>
      <c r="Y26" s="138"/>
      <c r="Z26" s="138"/>
      <c r="AA26" s="138"/>
      <c r="AB26" s="138"/>
      <c r="AC26" s="138"/>
      <c r="AD26" s="138"/>
      <c r="AE26" s="138"/>
      <c r="AF26" s="138"/>
      <c r="AG26" s="138"/>
      <c r="AH26" s="138"/>
      <c r="AI26" s="138"/>
      <c r="AJ26" s="138"/>
      <c r="AK26" s="138"/>
      <c r="AL26" s="138"/>
      <c r="AM26" s="138"/>
      <c r="AN26" s="138"/>
      <c r="AO26" s="138"/>
      <c r="AP26" s="138"/>
      <c r="AQ26" s="138"/>
      <c r="AR26" s="138"/>
      <c r="AS26" s="138"/>
      <c r="AT26" s="138"/>
      <c r="AU26" s="138"/>
      <c r="AV26" s="138"/>
      <c r="AW26" s="138"/>
      <c r="AX26" s="138"/>
      <c r="AY26" s="143"/>
      <c r="AZ26" s="138"/>
      <c r="BA26" s="138"/>
      <c r="BB26" s="138"/>
      <c r="BC26" s="138"/>
      <c r="BD26" s="138"/>
      <c r="BE26" s="138"/>
      <c r="BF26" s="138"/>
      <c r="BG26" s="138"/>
      <c r="BH26" s="138"/>
      <c r="BI26" s="138"/>
      <c r="BJ26" s="138"/>
      <c r="BK26" s="138"/>
      <c r="BL26" s="138"/>
      <c r="BM26" s="138"/>
      <c r="BN26" s="138"/>
      <c r="BO26" s="138"/>
      <c r="BP26" s="138"/>
      <c r="BQ26" s="138"/>
      <c r="BR26" s="138"/>
      <c r="BS26" s="138"/>
      <c r="BT26" s="138"/>
      <c r="BU26" s="138"/>
      <c r="BV26" s="138"/>
      <c r="BW26" s="138"/>
      <c r="BX26" s="138"/>
      <c r="BY26" s="138"/>
      <c r="BZ26" s="138"/>
      <c r="CA26" s="138"/>
      <c r="CB26" s="138"/>
      <c r="CC26" s="138"/>
      <c r="CD26" s="138"/>
      <c r="CE26" s="138"/>
      <c r="CF26" s="138"/>
      <c r="CG26" s="138"/>
      <c r="CH26" s="138"/>
      <c r="CI26" s="138"/>
      <c r="CJ26" s="138"/>
    </row>
    <row r="27" spans="1:88" ht="10" customHeight="1">
      <c r="A27" s="138"/>
      <c r="B27" s="139"/>
      <c r="C27" s="138"/>
      <c r="D27" s="138"/>
      <c r="E27" s="138"/>
      <c r="F27" s="138"/>
      <c r="G27" s="138"/>
      <c r="H27" s="138"/>
      <c r="I27" s="138"/>
      <c r="J27" s="138"/>
      <c r="K27" s="138"/>
      <c r="L27" s="138"/>
      <c r="M27" s="138"/>
      <c r="N27" s="138"/>
      <c r="O27" s="138"/>
      <c r="P27" s="138"/>
      <c r="Q27" s="138"/>
      <c r="R27" s="138"/>
      <c r="S27" s="138"/>
      <c r="T27" s="138"/>
      <c r="U27" s="138"/>
      <c r="V27" s="138"/>
      <c r="W27" s="138"/>
      <c r="X27" s="138"/>
      <c r="Y27" s="138"/>
      <c r="Z27" s="138"/>
      <c r="AA27" s="138"/>
      <c r="AB27" s="138"/>
      <c r="AC27" s="138"/>
      <c r="AD27" s="138"/>
      <c r="AE27" s="138"/>
      <c r="AF27" s="138"/>
      <c r="AG27" s="138"/>
      <c r="AH27" s="138"/>
      <c r="AI27" s="138"/>
      <c r="AJ27" s="138"/>
      <c r="AK27" s="138"/>
      <c r="AL27" s="138"/>
      <c r="AM27" s="138"/>
      <c r="AN27" s="138"/>
      <c r="AO27" s="138"/>
      <c r="AP27" s="138"/>
      <c r="AQ27" s="138"/>
      <c r="AR27" s="138"/>
      <c r="AS27" s="138"/>
      <c r="AT27" s="138"/>
      <c r="AU27" s="138"/>
      <c r="AV27" s="138"/>
      <c r="AW27" s="138"/>
      <c r="AX27" s="138"/>
      <c r="AY27" s="143"/>
      <c r="AZ27" s="138"/>
      <c r="BA27" s="138"/>
      <c r="BB27" s="138"/>
      <c r="BC27" s="138"/>
      <c r="BD27" s="138"/>
      <c r="BE27" s="138"/>
      <c r="BF27" s="138"/>
      <c r="BG27" s="138"/>
      <c r="BH27" s="138"/>
      <c r="BI27" s="138"/>
      <c r="BJ27" s="138"/>
      <c r="BK27" s="138"/>
      <c r="BL27" s="138"/>
      <c r="BM27" s="138"/>
      <c r="BN27" s="138"/>
      <c r="BO27" s="138"/>
      <c r="BP27" s="138"/>
      <c r="BQ27" s="138"/>
      <c r="BR27" s="138"/>
      <c r="BS27" s="138"/>
      <c r="BT27" s="138"/>
      <c r="BU27" s="138"/>
      <c r="BV27" s="138"/>
      <c r="BW27" s="138"/>
      <c r="BX27" s="138"/>
      <c r="BY27" s="138"/>
      <c r="BZ27" s="138"/>
      <c r="CA27" s="138"/>
      <c r="CB27" s="138"/>
      <c r="CC27" s="138"/>
      <c r="CD27" s="138"/>
      <c r="CE27" s="138"/>
      <c r="CF27" s="138"/>
      <c r="CG27" s="138"/>
      <c r="CH27" s="138"/>
      <c r="CI27" s="138"/>
      <c r="CJ27" s="138"/>
    </row>
    <row r="28" spans="1:88" ht="42" customHeight="1">
      <c r="A28" s="138"/>
      <c r="B28" s="139"/>
      <c r="C28" s="182">
        <v>0</v>
      </c>
      <c r="D28" s="183"/>
      <c r="E28" s="183"/>
      <c r="F28" s="183"/>
      <c r="G28" s="183"/>
      <c r="H28" s="183"/>
      <c r="I28" s="183"/>
      <c r="J28" s="183"/>
      <c r="K28" s="183"/>
      <c r="L28" s="183"/>
      <c r="M28" s="183"/>
      <c r="N28" s="183"/>
      <c r="O28" s="183"/>
      <c r="P28" s="184"/>
      <c r="Q28" s="138"/>
      <c r="R28" s="185" t="s">
        <v>12</v>
      </c>
      <c r="S28" s="186"/>
      <c r="T28" s="186"/>
      <c r="U28" s="186"/>
      <c r="V28" s="186"/>
      <c r="W28" s="186"/>
      <c r="X28" s="187"/>
      <c r="Y28" s="138"/>
      <c r="Z28" s="185" t="s">
        <v>11</v>
      </c>
      <c r="AA28" s="186"/>
      <c r="AB28" s="186"/>
      <c r="AC28" s="186"/>
      <c r="AD28" s="186"/>
      <c r="AE28" s="186"/>
      <c r="AF28" s="187"/>
      <c r="AG28" s="138"/>
      <c r="AH28" s="185" t="s">
        <v>118</v>
      </c>
      <c r="AI28" s="186"/>
      <c r="AJ28" s="186"/>
      <c r="AK28" s="186"/>
      <c r="AL28" s="186"/>
      <c r="AM28" s="186"/>
      <c r="AN28" s="187"/>
      <c r="AO28" s="138"/>
      <c r="AP28" s="221" t="s">
        <v>13</v>
      </c>
      <c r="AQ28" s="222"/>
      <c r="AR28" s="222"/>
      <c r="AS28" s="222"/>
      <c r="AT28" s="222"/>
      <c r="AU28" s="222"/>
      <c r="AV28" s="223"/>
      <c r="AW28" s="138"/>
      <c r="AX28" s="138"/>
      <c r="AY28" s="143"/>
      <c r="AZ28" s="138"/>
      <c r="BA28" s="138"/>
      <c r="BB28" s="138"/>
      <c r="BC28" s="138"/>
      <c r="BD28" s="138"/>
      <c r="BE28" s="138"/>
      <c r="BF28" s="138"/>
      <c r="BG28" s="138"/>
      <c r="BH28" s="138"/>
      <c r="BI28" s="138"/>
      <c r="BJ28" s="138"/>
      <c r="BK28" s="138"/>
      <c r="BL28" s="138"/>
      <c r="BM28" s="138"/>
      <c r="BN28" s="138"/>
      <c r="BO28" s="138"/>
      <c r="BP28" s="138"/>
      <c r="BQ28" s="138"/>
      <c r="BR28" s="138"/>
      <c r="BS28" s="138"/>
      <c r="BT28" s="138"/>
      <c r="BU28" s="138"/>
      <c r="BV28" s="138"/>
      <c r="BW28" s="138"/>
      <c r="BX28" s="138"/>
      <c r="BY28" s="138"/>
      <c r="BZ28" s="138"/>
      <c r="CA28" s="138"/>
      <c r="CB28" s="138"/>
      <c r="CC28" s="138"/>
      <c r="CD28" s="138"/>
      <c r="CE28" s="138"/>
      <c r="CF28" s="138"/>
      <c r="CG28" s="138"/>
      <c r="CH28" s="138"/>
      <c r="CI28" s="138"/>
      <c r="CJ28" s="138"/>
    </row>
    <row r="29" spans="1:88" ht="90" customHeight="1" thickBot="1">
      <c r="A29" s="138"/>
      <c r="B29" s="144"/>
      <c r="C29" s="145"/>
      <c r="D29" s="145"/>
      <c r="E29" s="145"/>
      <c r="F29" s="145"/>
      <c r="G29" s="145"/>
      <c r="H29" s="145"/>
      <c r="I29" s="145"/>
      <c r="J29" s="145"/>
      <c r="K29" s="145"/>
      <c r="L29" s="145"/>
      <c r="M29" s="145"/>
      <c r="N29" s="145"/>
      <c r="O29" s="145"/>
      <c r="P29" s="145"/>
      <c r="Q29" s="145"/>
      <c r="R29" s="145"/>
      <c r="S29" s="145"/>
      <c r="T29" s="145"/>
      <c r="U29" s="145"/>
      <c r="V29" s="145"/>
      <c r="W29" s="145"/>
      <c r="X29" s="145"/>
      <c r="Y29" s="145"/>
      <c r="Z29" s="145"/>
      <c r="AA29" s="145"/>
      <c r="AB29" s="145"/>
      <c r="AC29" s="145"/>
      <c r="AD29" s="145"/>
      <c r="AE29" s="145"/>
      <c r="AF29" s="145"/>
      <c r="AG29" s="145"/>
      <c r="AH29" s="145"/>
      <c r="AI29" s="145"/>
      <c r="AJ29" s="145"/>
      <c r="AK29" s="145"/>
      <c r="AL29" s="145"/>
      <c r="AM29" s="145"/>
      <c r="AN29" s="145"/>
      <c r="AO29" s="145"/>
      <c r="AP29" s="145"/>
      <c r="AQ29" s="145"/>
      <c r="AR29" s="145"/>
      <c r="AS29" s="145"/>
      <c r="AT29" s="145"/>
      <c r="AU29" s="145"/>
      <c r="AV29" s="145"/>
      <c r="AW29" s="145"/>
      <c r="AX29" s="145"/>
      <c r="AY29" s="146"/>
      <c r="AZ29" s="138"/>
      <c r="BA29" s="138"/>
      <c r="BB29" s="138"/>
      <c r="BC29" s="138"/>
      <c r="BD29" s="138"/>
      <c r="BE29" s="138"/>
      <c r="BF29" s="138"/>
      <c r="BG29" s="138"/>
      <c r="BH29" s="138"/>
      <c r="BI29" s="138"/>
      <c r="BJ29" s="138"/>
      <c r="BK29" s="138"/>
      <c r="BL29" s="138"/>
      <c r="BM29" s="138"/>
      <c r="BN29" s="138"/>
      <c r="BO29" s="138"/>
      <c r="BP29" s="138"/>
      <c r="BQ29" s="138"/>
      <c r="BR29" s="138"/>
      <c r="BS29" s="138"/>
      <c r="BT29" s="138"/>
      <c r="BU29" s="138"/>
      <c r="BV29" s="138"/>
      <c r="BW29" s="138"/>
      <c r="BX29" s="138"/>
      <c r="BY29" s="138"/>
      <c r="BZ29" s="138"/>
      <c r="CA29" s="138"/>
      <c r="CB29" s="138"/>
      <c r="CC29" s="138"/>
      <c r="CD29" s="138"/>
      <c r="CE29" s="138"/>
      <c r="CF29" s="138"/>
      <c r="CG29" s="138"/>
      <c r="CH29" s="138"/>
      <c r="CI29" s="138"/>
      <c r="CJ29" s="138"/>
    </row>
    <row r="30" spans="1:88" ht="106" customHeight="1">
      <c r="A30" s="138"/>
      <c r="B30" s="138"/>
      <c r="C30" s="138"/>
      <c r="D30" s="138"/>
      <c r="E30" s="138"/>
      <c r="F30" s="138"/>
      <c r="G30" s="138"/>
      <c r="H30" s="138"/>
      <c r="I30" s="138"/>
      <c r="J30" s="138"/>
      <c r="K30" s="138"/>
      <c r="L30" s="138"/>
      <c r="M30" s="138"/>
      <c r="N30" s="138"/>
      <c r="O30" s="138"/>
      <c r="P30" s="138"/>
      <c r="Q30" s="138"/>
      <c r="R30" s="138"/>
      <c r="S30" s="138"/>
      <c r="T30" s="138"/>
      <c r="U30" s="138"/>
      <c r="V30" s="138"/>
      <c r="W30" s="138"/>
      <c r="X30" s="138"/>
      <c r="Y30" s="138"/>
      <c r="Z30" s="138"/>
      <c r="AA30" s="138"/>
      <c r="AB30" s="138"/>
      <c r="AC30" s="138"/>
      <c r="AD30" s="138"/>
      <c r="AE30" s="138"/>
      <c r="AF30" s="138"/>
      <c r="AG30" s="138"/>
      <c r="AH30" s="138"/>
      <c r="AI30" s="138"/>
      <c r="AJ30" s="138"/>
      <c r="AK30" s="138"/>
      <c r="AL30" s="138"/>
      <c r="AM30" s="138"/>
      <c r="AN30" s="138"/>
      <c r="AO30" s="138"/>
      <c r="AP30" s="138"/>
      <c r="AQ30" s="138"/>
      <c r="AR30" s="138"/>
      <c r="AS30" s="138"/>
      <c r="AT30" s="138"/>
      <c r="AU30" s="138"/>
      <c r="AV30" s="138"/>
      <c r="AW30" s="138"/>
      <c r="AX30" s="138"/>
      <c r="AY30" s="138"/>
      <c r="AZ30" s="138"/>
      <c r="BA30" s="138"/>
      <c r="BB30" s="138"/>
      <c r="BC30" s="138"/>
      <c r="BD30" s="138"/>
      <c r="BE30" s="138"/>
      <c r="BF30" s="138"/>
      <c r="BG30" s="138"/>
      <c r="BH30" s="138"/>
      <c r="BI30" s="138"/>
      <c r="BJ30" s="138"/>
      <c r="BK30" s="138"/>
      <c r="BL30" s="138"/>
      <c r="BM30" s="138"/>
      <c r="BN30" s="138"/>
      <c r="BO30" s="138"/>
      <c r="BP30" s="138"/>
      <c r="BQ30" s="138"/>
      <c r="BR30" s="138"/>
      <c r="BS30" s="138"/>
      <c r="BT30" s="138"/>
      <c r="BU30" s="138"/>
      <c r="BV30" s="138"/>
      <c r="BW30" s="138"/>
      <c r="BX30" s="138"/>
      <c r="BY30" s="138"/>
      <c r="BZ30" s="138"/>
      <c r="CA30" s="138"/>
      <c r="CB30" s="138"/>
      <c r="CC30" s="138"/>
      <c r="CD30" s="138"/>
      <c r="CE30" s="138"/>
      <c r="CF30" s="138"/>
      <c r="CG30" s="138"/>
      <c r="CH30" s="138"/>
      <c r="CI30" s="138"/>
      <c r="CJ30" s="138"/>
    </row>
    <row r="31" spans="1:88" ht="10" customHeight="1">
      <c r="A31" s="138"/>
      <c r="B31" s="138"/>
      <c r="C31" s="138"/>
      <c r="D31" s="138"/>
      <c r="E31" s="138"/>
      <c r="F31" s="138"/>
      <c r="G31" s="138"/>
      <c r="H31" s="138"/>
      <c r="I31" s="138"/>
      <c r="J31" s="138"/>
      <c r="K31" s="138"/>
      <c r="L31" s="138"/>
      <c r="M31" s="138"/>
      <c r="N31" s="138"/>
      <c r="O31" s="138"/>
      <c r="P31" s="138"/>
      <c r="Q31" s="138"/>
      <c r="R31" s="138"/>
      <c r="S31" s="138"/>
      <c r="T31" s="138"/>
      <c r="U31" s="138"/>
      <c r="V31" s="138"/>
      <c r="W31" s="138"/>
      <c r="X31" s="138"/>
      <c r="Y31" s="138"/>
      <c r="Z31" s="138"/>
      <c r="AA31" s="138"/>
      <c r="AB31" s="138"/>
      <c r="AC31" s="138"/>
      <c r="AD31" s="138"/>
      <c r="AE31" s="138"/>
      <c r="AF31" s="138"/>
      <c r="AG31" s="138"/>
      <c r="AH31" s="138"/>
      <c r="AI31" s="138"/>
      <c r="AJ31" s="138"/>
      <c r="AK31" s="138"/>
      <c r="AL31" s="138"/>
      <c r="AM31" s="138"/>
      <c r="AN31" s="138"/>
      <c r="AO31" s="138"/>
      <c r="AP31" s="138"/>
      <c r="AQ31" s="138"/>
      <c r="AR31" s="138"/>
      <c r="AS31" s="138"/>
      <c r="AT31" s="138"/>
      <c r="AU31" s="138"/>
      <c r="AV31" s="138"/>
      <c r="AW31" s="138"/>
      <c r="AX31" s="138"/>
      <c r="AY31" s="138"/>
      <c r="AZ31" s="138"/>
      <c r="BA31" s="138"/>
      <c r="BB31" s="138"/>
      <c r="BC31" s="138"/>
      <c r="BD31" s="138"/>
      <c r="BE31" s="138"/>
      <c r="BF31" s="138"/>
      <c r="BG31" s="138"/>
      <c r="BH31" s="138"/>
      <c r="BI31" s="138"/>
      <c r="BJ31" s="138"/>
      <c r="BK31" s="138"/>
      <c r="BL31" s="138"/>
      <c r="BM31" s="138"/>
      <c r="BN31" s="138"/>
      <c r="BO31" s="138"/>
      <c r="BP31" s="138"/>
      <c r="BQ31" s="138"/>
      <c r="BR31" s="138"/>
      <c r="BS31" s="138"/>
      <c r="BT31" s="138"/>
      <c r="BU31" s="138"/>
      <c r="BV31" s="138"/>
      <c r="BW31" s="138"/>
      <c r="BX31" s="138"/>
      <c r="BY31" s="138"/>
      <c r="BZ31" s="138"/>
      <c r="CA31" s="138"/>
      <c r="CB31" s="138"/>
      <c r="CC31" s="138"/>
      <c r="CD31" s="138"/>
      <c r="CE31" s="138"/>
      <c r="CF31" s="138"/>
      <c r="CG31" s="138"/>
      <c r="CH31" s="138"/>
      <c r="CI31" s="138"/>
      <c r="CJ31" s="138"/>
    </row>
    <row r="32" spans="1:88" ht="10" customHeight="1">
      <c r="A32" s="138"/>
      <c r="B32" s="138"/>
      <c r="C32" s="138"/>
      <c r="D32" s="138"/>
      <c r="E32" s="138"/>
      <c r="F32" s="138"/>
      <c r="G32" s="138"/>
      <c r="H32" s="138"/>
      <c r="I32" s="138"/>
      <c r="J32" s="138"/>
      <c r="K32" s="138"/>
      <c r="L32" s="138"/>
      <c r="M32" s="138"/>
      <c r="N32" s="138"/>
      <c r="O32" s="138"/>
      <c r="P32" s="138"/>
      <c r="Q32" s="138"/>
      <c r="R32" s="138"/>
      <c r="S32" s="138"/>
      <c r="T32" s="138"/>
      <c r="U32" s="138"/>
      <c r="V32" s="138"/>
      <c r="W32" s="138"/>
      <c r="X32" s="138"/>
      <c r="Y32" s="138"/>
      <c r="Z32" s="138"/>
      <c r="AA32" s="138"/>
      <c r="AB32" s="138"/>
      <c r="AC32" s="138"/>
      <c r="AD32" s="138"/>
      <c r="AE32" s="138"/>
      <c r="AF32" s="138"/>
      <c r="AG32" s="138"/>
      <c r="AH32" s="138"/>
      <c r="AI32" s="138"/>
      <c r="AJ32" s="138"/>
      <c r="AK32" s="138"/>
      <c r="AL32" s="138"/>
      <c r="AM32" s="138"/>
      <c r="AN32" s="138"/>
      <c r="AO32" s="138"/>
      <c r="AP32" s="138"/>
      <c r="AQ32" s="138"/>
      <c r="AR32" s="138"/>
      <c r="AS32" s="138"/>
      <c r="AT32" s="138"/>
      <c r="AU32" s="138"/>
      <c r="AV32" s="138"/>
      <c r="AW32" s="138"/>
      <c r="AX32" s="138"/>
      <c r="AY32" s="138"/>
      <c r="AZ32" s="138"/>
      <c r="BA32" s="138"/>
      <c r="BB32" s="138"/>
      <c r="BC32" s="138"/>
      <c r="BD32" s="138"/>
      <c r="BE32" s="138"/>
      <c r="BF32" s="138"/>
      <c r="BG32" s="138"/>
      <c r="BH32" s="138"/>
      <c r="BI32" s="138"/>
      <c r="BJ32" s="138"/>
      <c r="BK32" s="138"/>
      <c r="BL32" s="138"/>
      <c r="BM32" s="138"/>
      <c r="BN32" s="138"/>
      <c r="BO32" s="138"/>
      <c r="BP32" s="138"/>
      <c r="BQ32" s="138"/>
      <c r="BR32" s="138"/>
      <c r="BS32" s="138"/>
      <c r="BT32" s="138"/>
      <c r="BU32" s="138"/>
      <c r="BV32" s="138"/>
      <c r="BW32" s="138"/>
      <c r="BX32" s="138"/>
      <c r="BY32" s="138"/>
      <c r="BZ32" s="138"/>
      <c r="CA32" s="138"/>
      <c r="CB32" s="138"/>
      <c r="CC32" s="138"/>
      <c r="CD32" s="138"/>
      <c r="CE32" s="138"/>
      <c r="CF32" s="138"/>
      <c r="CG32" s="138"/>
      <c r="CH32" s="138"/>
      <c r="CI32" s="138"/>
      <c r="CJ32" s="138"/>
    </row>
    <row r="33" spans="1:88" ht="15" customHeight="1">
      <c r="A33" s="138"/>
      <c r="B33" s="138"/>
      <c r="C33" s="138"/>
      <c r="D33" s="138"/>
      <c r="E33" s="138"/>
      <c r="F33" s="138"/>
      <c r="G33" s="138"/>
      <c r="H33" s="138"/>
      <c r="I33" s="138"/>
      <c r="J33" s="138"/>
      <c r="K33" s="138"/>
      <c r="L33" s="138"/>
      <c r="M33" s="138"/>
      <c r="N33" s="138"/>
      <c r="O33" s="138"/>
      <c r="P33" s="138"/>
      <c r="Q33" s="138"/>
      <c r="R33" s="138"/>
      <c r="S33" s="138"/>
      <c r="T33" s="138"/>
      <c r="U33" s="138"/>
      <c r="V33" s="138"/>
      <c r="W33" s="138"/>
      <c r="X33" s="138"/>
      <c r="Y33" s="138"/>
      <c r="Z33" s="138"/>
      <c r="AA33" s="138"/>
      <c r="AB33" s="138"/>
      <c r="AC33" s="138"/>
      <c r="AD33" s="138"/>
      <c r="AE33" s="138"/>
      <c r="AF33" s="138"/>
      <c r="AG33" s="138"/>
      <c r="AH33" s="138"/>
      <c r="AI33" s="138"/>
      <c r="AJ33" s="138"/>
      <c r="AK33" s="138"/>
      <c r="AL33" s="138"/>
      <c r="AM33" s="138"/>
      <c r="AN33" s="138"/>
      <c r="AO33" s="138"/>
      <c r="AP33" s="138"/>
      <c r="AQ33" s="138"/>
      <c r="AR33" s="138"/>
      <c r="AS33" s="138"/>
      <c r="AT33" s="138"/>
      <c r="AU33" s="138"/>
      <c r="AV33" s="138"/>
      <c r="AW33" s="138"/>
      <c r="AX33" s="138"/>
      <c r="AY33" s="138"/>
      <c r="AZ33" s="138"/>
      <c r="BA33" s="138"/>
      <c r="BB33" s="138"/>
      <c r="BC33" s="138"/>
      <c r="BD33" s="138"/>
      <c r="BE33" s="138"/>
      <c r="BF33" s="138"/>
      <c r="BG33" s="138"/>
      <c r="BH33" s="138"/>
      <c r="BI33" s="138"/>
      <c r="BJ33" s="138"/>
      <c r="BK33" s="138"/>
      <c r="BL33" s="138"/>
      <c r="BM33" s="138"/>
      <c r="BN33" s="138"/>
      <c r="BO33" s="138"/>
      <c r="BP33" s="138"/>
      <c r="BQ33" s="138"/>
      <c r="BR33" s="138"/>
      <c r="BS33" s="138"/>
      <c r="BT33" s="138"/>
      <c r="BU33" s="138"/>
      <c r="BV33" s="138"/>
      <c r="BW33" s="138"/>
      <c r="BX33" s="138"/>
      <c r="BY33" s="138"/>
      <c r="BZ33" s="138"/>
      <c r="CA33" s="138"/>
      <c r="CB33" s="138"/>
      <c r="CC33" s="138"/>
      <c r="CD33" s="138"/>
      <c r="CE33" s="138"/>
      <c r="CF33" s="138"/>
      <c r="CG33" s="138"/>
      <c r="CH33" s="138"/>
      <c r="CI33" s="138"/>
      <c r="CJ33" s="138"/>
    </row>
    <row r="34" spans="1:88" ht="15" customHeight="1">
      <c r="A34" s="138"/>
      <c r="B34" s="138"/>
      <c r="C34" s="138"/>
      <c r="D34" s="138"/>
      <c r="E34" s="138"/>
      <c r="F34" s="138"/>
      <c r="G34" s="138"/>
      <c r="H34" s="138"/>
      <c r="I34" s="138"/>
      <c r="J34" s="138"/>
      <c r="K34" s="138"/>
      <c r="L34" s="138"/>
      <c r="M34" s="138"/>
      <c r="N34" s="138"/>
      <c r="O34" s="138"/>
      <c r="P34" s="138"/>
      <c r="Q34" s="138"/>
      <c r="R34" s="138"/>
      <c r="S34" s="138"/>
      <c r="T34" s="138"/>
      <c r="U34" s="138"/>
      <c r="V34" s="138"/>
      <c r="W34" s="138"/>
      <c r="X34" s="138"/>
      <c r="Y34" s="138"/>
      <c r="Z34" s="138"/>
      <c r="AA34" s="138"/>
      <c r="AB34" s="138"/>
      <c r="AC34" s="138"/>
      <c r="AD34" s="138"/>
      <c r="AE34" s="138"/>
      <c r="AF34" s="138"/>
      <c r="AG34" s="138"/>
      <c r="AH34" s="138"/>
      <c r="AI34" s="138"/>
      <c r="AJ34" s="138"/>
      <c r="AK34" s="138"/>
      <c r="AL34" s="138"/>
      <c r="AM34" s="138"/>
      <c r="AN34" s="138"/>
      <c r="AO34" s="138"/>
      <c r="AP34" s="138"/>
      <c r="AQ34" s="138"/>
      <c r="AR34" s="138"/>
      <c r="AS34" s="138"/>
      <c r="AT34" s="138"/>
      <c r="AU34" s="138"/>
      <c r="AV34" s="138"/>
      <c r="AW34" s="138"/>
      <c r="AX34" s="138"/>
      <c r="AY34" s="138"/>
      <c r="AZ34" s="138"/>
      <c r="BA34" s="138"/>
      <c r="BB34" s="138"/>
      <c r="BC34" s="138"/>
      <c r="BD34" s="138"/>
      <c r="BE34" s="138"/>
      <c r="BF34" s="138"/>
      <c r="BG34" s="138"/>
      <c r="BH34" s="138"/>
      <c r="BI34" s="138"/>
      <c r="BJ34" s="138"/>
      <c r="BK34" s="138"/>
      <c r="BL34" s="138"/>
      <c r="BM34" s="138"/>
      <c r="BN34" s="138"/>
      <c r="BO34" s="138"/>
      <c r="BP34" s="138"/>
      <c r="BQ34" s="138"/>
      <c r="BR34" s="138"/>
      <c r="BS34" s="138"/>
      <c r="BT34" s="138"/>
      <c r="BU34" s="138"/>
      <c r="BV34" s="138"/>
      <c r="BW34" s="138"/>
      <c r="BX34" s="138"/>
      <c r="BY34" s="138"/>
      <c r="BZ34" s="138"/>
      <c r="CA34" s="138"/>
      <c r="CB34" s="138"/>
      <c r="CC34" s="138"/>
      <c r="CD34" s="138"/>
      <c r="CE34" s="138"/>
      <c r="CF34" s="138"/>
      <c r="CG34" s="138"/>
      <c r="CH34" s="138"/>
      <c r="CI34" s="138"/>
      <c r="CJ34" s="138"/>
    </row>
    <row r="35" spans="1:88" ht="15" customHeight="1">
      <c r="A35" s="138"/>
      <c r="B35" s="138"/>
      <c r="C35" s="138"/>
      <c r="D35" s="138"/>
      <c r="E35" s="138"/>
      <c r="F35" s="138"/>
      <c r="G35" s="138"/>
      <c r="H35" s="138"/>
      <c r="I35" s="138"/>
      <c r="J35" s="138"/>
      <c r="K35" s="138"/>
      <c r="L35" s="138"/>
      <c r="M35" s="138"/>
      <c r="N35" s="138"/>
      <c r="O35" s="138"/>
      <c r="P35" s="138"/>
      <c r="Q35" s="138"/>
      <c r="R35" s="138"/>
      <c r="S35" s="138"/>
      <c r="T35" s="138"/>
      <c r="U35" s="138"/>
      <c r="V35" s="138"/>
      <c r="W35" s="138"/>
      <c r="X35" s="138"/>
      <c r="Y35" s="138"/>
      <c r="Z35" s="138"/>
      <c r="AA35" s="138"/>
      <c r="AB35" s="138"/>
      <c r="AC35" s="138"/>
      <c r="AD35" s="138"/>
      <c r="AE35" s="138"/>
      <c r="AF35" s="138"/>
      <c r="AG35" s="138"/>
      <c r="AH35" s="138"/>
      <c r="AI35" s="138"/>
      <c r="AJ35" s="138"/>
      <c r="AK35" s="138"/>
      <c r="AL35" s="138"/>
      <c r="AM35" s="138"/>
      <c r="AN35" s="138"/>
      <c r="AO35" s="138"/>
      <c r="AP35" s="138"/>
      <c r="AQ35" s="138"/>
      <c r="AR35" s="138"/>
      <c r="AS35" s="138"/>
      <c r="AT35" s="138"/>
      <c r="AU35" s="138"/>
      <c r="AV35" s="138"/>
      <c r="AW35" s="138"/>
      <c r="AX35" s="138"/>
      <c r="AY35" s="138"/>
      <c r="AZ35" s="138"/>
      <c r="BA35" s="138"/>
      <c r="BB35" s="138"/>
      <c r="BC35" s="138"/>
      <c r="BD35" s="138"/>
      <c r="BE35" s="138"/>
      <c r="BF35" s="138"/>
      <c r="BG35" s="138"/>
      <c r="BH35" s="138"/>
      <c r="BI35" s="138"/>
      <c r="BJ35" s="138"/>
      <c r="BK35" s="138"/>
      <c r="BL35" s="138"/>
      <c r="BM35" s="138"/>
      <c r="BN35" s="138"/>
      <c r="BO35" s="138"/>
      <c r="BP35" s="138"/>
      <c r="BQ35" s="138"/>
      <c r="BR35" s="138"/>
      <c r="BS35" s="138"/>
      <c r="BT35" s="138"/>
      <c r="BU35" s="138"/>
      <c r="BV35" s="138"/>
      <c r="BW35" s="138"/>
      <c r="BX35" s="138"/>
      <c r="BY35" s="138"/>
      <c r="BZ35" s="138"/>
      <c r="CA35" s="138"/>
      <c r="CB35" s="138"/>
      <c r="CC35" s="138"/>
      <c r="CD35" s="138"/>
      <c r="CE35" s="138"/>
      <c r="CF35" s="138"/>
      <c r="CG35" s="138"/>
      <c r="CH35" s="138"/>
      <c r="CI35" s="138"/>
      <c r="CJ35" s="138"/>
    </row>
    <row r="36" spans="1:88" ht="15" customHeight="1">
      <c r="A36" s="138"/>
      <c r="B36" s="138"/>
      <c r="C36" s="138"/>
      <c r="D36" s="138"/>
      <c r="E36" s="138"/>
      <c r="F36" s="138"/>
      <c r="G36" s="138"/>
      <c r="H36" s="138"/>
      <c r="I36" s="138"/>
      <c r="J36" s="138"/>
      <c r="K36" s="138"/>
      <c r="L36" s="138"/>
      <c r="M36" s="138"/>
      <c r="N36" s="138"/>
      <c r="O36" s="138"/>
      <c r="P36" s="138"/>
      <c r="Q36" s="138"/>
      <c r="R36" s="138"/>
      <c r="S36" s="138"/>
      <c r="T36" s="138"/>
      <c r="U36" s="138"/>
      <c r="V36" s="138"/>
      <c r="W36" s="138"/>
      <c r="X36" s="138"/>
      <c r="Y36" s="138"/>
      <c r="Z36" s="138"/>
      <c r="AA36" s="138"/>
      <c r="AB36" s="138"/>
      <c r="AC36" s="138"/>
      <c r="AD36" s="138"/>
      <c r="AE36" s="138"/>
      <c r="AF36" s="138"/>
      <c r="AG36" s="138"/>
      <c r="AH36" s="138"/>
      <c r="AI36" s="138"/>
      <c r="AJ36" s="138"/>
      <c r="AK36" s="138"/>
      <c r="AL36" s="138"/>
      <c r="AM36" s="138"/>
      <c r="AN36" s="138"/>
      <c r="AO36" s="138"/>
      <c r="AP36" s="138"/>
      <c r="AQ36" s="138"/>
      <c r="AR36" s="138"/>
      <c r="AS36" s="138"/>
      <c r="AT36" s="138"/>
      <c r="AU36" s="138"/>
      <c r="AV36" s="138"/>
      <c r="AW36" s="138"/>
      <c r="AX36" s="138"/>
      <c r="AY36" s="138"/>
      <c r="AZ36" s="138"/>
      <c r="BA36" s="138"/>
      <c r="BB36" s="138"/>
      <c r="BC36" s="138"/>
      <c r="BD36" s="138"/>
      <c r="BE36" s="138"/>
      <c r="BF36" s="138"/>
      <c r="BG36" s="138"/>
      <c r="BH36" s="138"/>
      <c r="BI36" s="138"/>
      <c r="BJ36" s="138"/>
      <c r="BK36" s="138"/>
      <c r="BL36" s="138"/>
      <c r="BM36" s="138"/>
      <c r="BN36" s="138"/>
      <c r="BO36" s="138"/>
      <c r="BP36" s="138"/>
      <c r="BQ36" s="138"/>
      <c r="BR36" s="138"/>
      <c r="BS36" s="138"/>
      <c r="BT36" s="138"/>
      <c r="BU36" s="138"/>
      <c r="BV36" s="138"/>
      <c r="BW36" s="138"/>
      <c r="BX36" s="138"/>
      <c r="BY36" s="138"/>
      <c r="BZ36" s="138"/>
      <c r="CA36" s="138"/>
      <c r="CB36" s="138"/>
      <c r="CC36" s="138"/>
      <c r="CD36" s="138"/>
      <c r="CE36" s="138"/>
      <c r="CF36" s="138"/>
      <c r="CG36" s="138"/>
      <c r="CH36" s="138"/>
      <c r="CI36" s="138"/>
      <c r="CJ36" s="138"/>
    </row>
    <row r="37" spans="1:88" ht="15" customHeight="1">
      <c r="A37" s="138"/>
      <c r="B37" s="138"/>
      <c r="C37" s="138"/>
      <c r="D37" s="138"/>
      <c r="E37" s="138"/>
      <c r="F37" s="138"/>
      <c r="G37" s="138"/>
      <c r="H37" s="138"/>
      <c r="I37" s="138"/>
      <c r="J37" s="138"/>
      <c r="K37" s="138"/>
      <c r="L37" s="138"/>
      <c r="M37" s="138"/>
      <c r="N37" s="138"/>
      <c r="O37" s="138"/>
      <c r="P37" s="138"/>
      <c r="Q37" s="138"/>
      <c r="R37" s="138"/>
      <c r="S37" s="138"/>
      <c r="T37" s="138"/>
      <c r="U37" s="138"/>
      <c r="V37" s="138"/>
      <c r="W37" s="138"/>
      <c r="X37" s="138"/>
      <c r="Y37" s="138"/>
      <c r="Z37" s="138"/>
      <c r="AA37" s="138"/>
      <c r="AB37" s="138"/>
      <c r="AC37" s="138"/>
      <c r="AD37" s="138"/>
      <c r="AE37" s="138"/>
      <c r="AF37" s="138"/>
      <c r="AG37" s="138"/>
      <c r="AH37" s="138"/>
      <c r="AI37" s="138"/>
      <c r="AJ37" s="138"/>
      <c r="AK37" s="138"/>
      <c r="AL37" s="138"/>
      <c r="AM37" s="138"/>
      <c r="AN37" s="138"/>
      <c r="AO37" s="138"/>
      <c r="AP37" s="138"/>
      <c r="AQ37" s="138"/>
      <c r="AR37" s="138"/>
      <c r="AS37" s="138"/>
      <c r="AT37" s="138"/>
      <c r="AU37" s="138"/>
      <c r="AV37" s="138"/>
      <c r="AW37" s="138"/>
      <c r="AX37" s="138"/>
      <c r="AY37" s="138"/>
      <c r="AZ37" s="138"/>
      <c r="BA37" s="138"/>
      <c r="BB37" s="138"/>
      <c r="BC37" s="138"/>
      <c r="BD37" s="138"/>
      <c r="BE37" s="138"/>
      <c r="BF37" s="138"/>
      <c r="BG37" s="138"/>
      <c r="BH37" s="138"/>
      <c r="BI37" s="138"/>
      <c r="BJ37" s="138"/>
      <c r="BK37" s="138"/>
      <c r="BL37" s="138"/>
      <c r="BM37" s="138"/>
      <c r="BN37" s="138"/>
      <c r="BO37" s="138"/>
      <c r="BP37" s="138"/>
      <c r="BQ37" s="138"/>
      <c r="BR37" s="138"/>
      <c r="BS37" s="138"/>
      <c r="BT37" s="138"/>
      <c r="BU37" s="138"/>
      <c r="BV37" s="138"/>
      <c r="BW37" s="138"/>
      <c r="BX37" s="138"/>
      <c r="BY37" s="138"/>
      <c r="BZ37" s="138"/>
      <c r="CA37" s="138"/>
      <c r="CB37" s="138"/>
      <c r="CC37" s="138"/>
      <c r="CD37" s="138"/>
      <c r="CE37" s="138"/>
      <c r="CF37" s="138"/>
      <c r="CG37" s="138"/>
      <c r="CH37" s="138"/>
      <c r="CI37" s="138"/>
      <c r="CJ37" s="138"/>
    </row>
    <row r="38" spans="1:88" ht="15" customHeight="1">
      <c r="A38" s="138"/>
      <c r="B38" s="138"/>
      <c r="C38" s="138"/>
      <c r="D38" s="138"/>
      <c r="E38" s="138"/>
      <c r="F38" s="138"/>
      <c r="G38" s="138"/>
      <c r="H38" s="138"/>
      <c r="I38" s="138"/>
      <c r="J38" s="138"/>
      <c r="K38" s="138"/>
      <c r="L38" s="138"/>
      <c r="M38" s="138"/>
      <c r="N38" s="138"/>
      <c r="O38" s="138"/>
      <c r="P38" s="138"/>
      <c r="Q38" s="138"/>
      <c r="R38" s="138"/>
      <c r="S38" s="138"/>
      <c r="T38" s="138"/>
      <c r="U38" s="138"/>
      <c r="V38" s="138"/>
      <c r="W38" s="138"/>
      <c r="X38" s="138"/>
      <c r="Y38" s="138"/>
      <c r="Z38" s="138"/>
      <c r="AA38" s="138"/>
      <c r="AB38" s="138"/>
      <c r="AC38" s="138"/>
      <c r="AD38" s="138"/>
      <c r="AE38" s="138"/>
      <c r="AF38" s="138"/>
      <c r="AG38" s="138"/>
      <c r="AH38" s="138"/>
      <c r="AI38" s="138"/>
      <c r="AJ38" s="138"/>
      <c r="AK38" s="138"/>
      <c r="AL38" s="138"/>
      <c r="AM38" s="138"/>
      <c r="AN38" s="138"/>
      <c r="AO38" s="138"/>
      <c r="AP38" s="138"/>
      <c r="AQ38" s="138"/>
      <c r="AR38" s="138"/>
      <c r="AS38" s="138"/>
      <c r="AT38" s="138"/>
      <c r="AU38" s="138"/>
      <c r="AV38" s="138"/>
      <c r="AW38" s="138"/>
      <c r="AX38" s="138"/>
      <c r="AY38" s="138"/>
      <c r="AZ38" s="138"/>
      <c r="BA38" s="138"/>
      <c r="BB38" s="138"/>
      <c r="BC38" s="138"/>
      <c r="BD38" s="138"/>
      <c r="BE38" s="138"/>
      <c r="BF38" s="138"/>
      <c r="BG38" s="138"/>
      <c r="BH38" s="138"/>
      <c r="BI38" s="138"/>
      <c r="BJ38" s="138"/>
      <c r="BK38" s="138"/>
      <c r="BL38" s="138"/>
      <c r="BM38" s="138"/>
      <c r="BN38" s="138"/>
      <c r="BO38" s="138"/>
      <c r="BP38" s="138"/>
      <c r="BQ38" s="138"/>
      <c r="BR38" s="138"/>
      <c r="BS38" s="138"/>
      <c r="BT38" s="138"/>
      <c r="BU38" s="138"/>
      <c r="BV38" s="138"/>
      <c r="BW38" s="138"/>
      <c r="BX38" s="138"/>
      <c r="BY38" s="138"/>
      <c r="BZ38" s="138"/>
      <c r="CA38" s="138"/>
      <c r="CB38" s="138"/>
      <c r="CC38" s="138"/>
      <c r="CD38" s="138"/>
      <c r="CE38" s="138"/>
      <c r="CF38" s="138"/>
      <c r="CG38" s="138"/>
      <c r="CH38" s="138"/>
      <c r="CI38" s="138"/>
      <c r="CJ38" s="138"/>
    </row>
    <row r="39" spans="1:88" ht="15" customHeight="1">
      <c r="A39" s="138"/>
      <c r="B39" s="138"/>
      <c r="C39" s="138"/>
      <c r="D39" s="138"/>
      <c r="E39" s="138"/>
      <c r="F39" s="138"/>
      <c r="G39" s="138"/>
      <c r="H39" s="138"/>
      <c r="I39" s="138"/>
      <c r="J39" s="138"/>
      <c r="K39" s="138"/>
      <c r="L39" s="138"/>
      <c r="M39" s="138"/>
      <c r="N39" s="138"/>
      <c r="O39" s="138"/>
      <c r="P39" s="138"/>
      <c r="Q39" s="138"/>
      <c r="R39" s="138"/>
      <c r="S39" s="138"/>
      <c r="T39" s="138"/>
      <c r="U39" s="138"/>
      <c r="V39" s="138"/>
      <c r="W39" s="138"/>
      <c r="X39" s="138"/>
      <c r="Y39" s="138"/>
      <c r="Z39" s="138"/>
      <c r="AA39" s="138"/>
      <c r="AB39" s="138"/>
      <c r="AC39" s="138"/>
      <c r="AD39" s="138"/>
      <c r="AE39" s="138"/>
      <c r="AF39" s="138"/>
      <c r="AG39" s="138"/>
      <c r="AH39" s="138"/>
      <c r="AI39" s="138"/>
      <c r="AJ39" s="138"/>
      <c r="AK39" s="138"/>
      <c r="AL39" s="138"/>
      <c r="AM39" s="138"/>
      <c r="AN39" s="138"/>
      <c r="AO39" s="138"/>
      <c r="AP39" s="138"/>
      <c r="AQ39" s="138"/>
      <c r="AR39" s="138"/>
      <c r="AS39" s="138"/>
      <c r="AT39" s="138"/>
      <c r="AU39" s="138"/>
      <c r="AV39" s="138"/>
      <c r="AW39" s="138"/>
      <c r="AX39" s="138"/>
      <c r="AY39" s="138"/>
      <c r="AZ39" s="138"/>
      <c r="BA39" s="138"/>
      <c r="BB39" s="138"/>
      <c r="BC39" s="138"/>
      <c r="BD39" s="138"/>
      <c r="BE39" s="138"/>
      <c r="BF39" s="138"/>
      <c r="BG39" s="138"/>
      <c r="BH39" s="138"/>
      <c r="BI39" s="138"/>
      <c r="BJ39" s="138"/>
      <c r="BK39" s="138"/>
      <c r="BL39" s="138"/>
      <c r="BM39" s="138"/>
      <c r="BN39" s="138"/>
      <c r="BO39" s="138"/>
      <c r="BP39" s="138"/>
      <c r="BQ39" s="138"/>
      <c r="BR39" s="138"/>
      <c r="BS39" s="138"/>
      <c r="BT39" s="138"/>
      <c r="BU39" s="138"/>
      <c r="BV39" s="138"/>
      <c r="BW39" s="138"/>
      <c r="BX39" s="138"/>
      <c r="BY39" s="138"/>
      <c r="BZ39" s="138"/>
      <c r="CA39" s="138"/>
      <c r="CB39" s="138"/>
      <c r="CC39" s="138"/>
      <c r="CD39" s="138"/>
      <c r="CE39" s="138"/>
      <c r="CF39" s="138"/>
      <c r="CG39" s="138"/>
      <c r="CH39" s="138"/>
      <c r="CI39" s="138"/>
      <c r="CJ39" s="138"/>
    </row>
    <row r="40" spans="1:88" ht="15" customHeight="1">
      <c r="A40" s="138"/>
      <c r="B40" s="138"/>
      <c r="C40" s="138"/>
      <c r="D40" s="138"/>
      <c r="E40" s="138"/>
      <c r="F40" s="138"/>
      <c r="G40" s="138"/>
      <c r="H40" s="138"/>
      <c r="I40" s="138"/>
      <c r="J40" s="138"/>
      <c r="K40" s="138"/>
      <c r="L40" s="138"/>
      <c r="M40" s="138"/>
      <c r="N40" s="138"/>
      <c r="O40" s="138"/>
      <c r="P40" s="138"/>
      <c r="Q40" s="138"/>
      <c r="R40" s="138"/>
      <c r="S40" s="138"/>
      <c r="T40" s="138"/>
      <c r="U40" s="138"/>
      <c r="V40" s="138"/>
      <c r="W40" s="138"/>
      <c r="X40" s="138"/>
      <c r="Y40" s="138"/>
      <c r="Z40" s="138"/>
      <c r="AA40" s="138"/>
      <c r="AB40" s="138"/>
      <c r="AC40" s="138"/>
      <c r="AD40" s="138"/>
      <c r="AE40" s="138"/>
      <c r="AF40" s="138"/>
      <c r="AG40" s="138"/>
      <c r="AH40" s="138"/>
      <c r="AI40" s="138"/>
      <c r="AJ40" s="138"/>
      <c r="AK40" s="138"/>
      <c r="AL40" s="138"/>
      <c r="AM40" s="138"/>
      <c r="AN40" s="138"/>
      <c r="AO40" s="138"/>
      <c r="AP40" s="138"/>
      <c r="AQ40" s="138"/>
      <c r="AR40" s="138"/>
      <c r="AS40" s="138"/>
      <c r="AT40" s="138"/>
      <c r="AU40" s="138"/>
      <c r="AV40" s="138"/>
      <c r="AW40" s="138"/>
      <c r="AX40" s="138"/>
      <c r="AY40" s="138"/>
      <c r="AZ40" s="138"/>
      <c r="BA40" s="138"/>
      <c r="BB40" s="138"/>
      <c r="BC40" s="138"/>
      <c r="BD40" s="138"/>
      <c r="BE40" s="138"/>
      <c r="BF40" s="138"/>
      <c r="BG40" s="138"/>
      <c r="BH40" s="138"/>
      <c r="BI40" s="138"/>
      <c r="BJ40" s="138"/>
      <c r="BK40" s="138"/>
      <c r="BL40" s="138"/>
      <c r="BM40" s="138"/>
      <c r="BN40" s="138"/>
      <c r="BO40" s="138"/>
      <c r="BP40" s="138"/>
      <c r="BQ40" s="138"/>
      <c r="BR40" s="138"/>
      <c r="BS40" s="138"/>
      <c r="BT40" s="138"/>
      <c r="BU40" s="138"/>
      <c r="BV40" s="138"/>
      <c r="BW40" s="138"/>
      <c r="BX40" s="138"/>
      <c r="BY40" s="138"/>
      <c r="BZ40" s="138"/>
      <c r="CA40" s="138"/>
      <c r="CB40" s="138"/>
      <c r="CC40" s="138"/>
      <c r="CD40" s="138"/>
      <c r="CE40" s="138"/>
      <c r="CF40" s="138"/>
      <c r="CG40" s="138"/>
      <c r="CH40" s="138"/>
      <c r="CI40" s="138"/>
      <c r="CJ40" s="138"/>
    </row>
    <row r="41" spans="1:88" ht="15" customHeight="1">
      <c r="A41" s="138"/>
      <c r="B41" s="138"/>
      <c r="C41" s="138"/>
      <c r="D41" s="138"/>
      <c r="E41" s="138"/>
      <c r="F41" s="138"/>
      <c r="G41" s="138"/>
      <c r="H41" s="138"/>
      <c r="I41" s="138"/>
      <c r="J41" s="138"/>
      <c r="K41" s="138"/>
      <c r="L41" s="138"/>
      <c r="M41" s="138"/>
      <c r="N41" s="138"/>
      <c r="O41" s="138"/>
      <c r="P41" s="138"/>
      <c r="Q41" s="138"/>
      <c r="R41" s="138"/>
      <c r="S41" s="138"/>
      <c r="T41" s="138"/>
      <c r="U41" s="138"/>
      <c r="V41" s="138"/>
      <c r="W41" s="138"/>
      <c r="X41" s="138"/>
      <c r="Y41" s="138"/>
      <c r="Z41" s="138"/>
      <c r="AA41" s="138"/>
      <c r="AB41" s="138"/>
      <c r="AC41" s="138"/>
      <c r="AD41" s="138"/>
      <c r="AE41" s="138"/>
      <c r="AF41" s="138"/>
      <c r="AG41" s="138"/>
      <c r="AH41" s="138"/>
      <c r="AI41" s="138"/>
      <c r="AJ41" s="138"/>
      <c r="AK41" s="138"/>
      <c r="AL41" s="138"/>
      <c r="AM41" s="138"/>
      <c r="AN41" s="138"/>
      <c r="AO41" s="138"/>
      <c r="AP41" s="138"/>
      <c r="AQ41" s="138"/>
      <c r="AR41" s="138"/>
      <c r="AS41" s="138"/>
      <c r="AT41" s="138"/>
      <c r="AU41" s="138"/>
      <c r="AV41" s="138"/>
      <c r="AW41" s="138"/>
      <c r="AX41" s="138"/>
      <c r="AY41" s="138"/>
      <c r="AZ41" s="138"/>
      <c r="BA41" s="138"/>
      <c r="BB41" s="138"/>
      <c r="BC41" s="138"/>
      <c r="BD41" s="138"/>
      <c r="BE41" s="138"/>
      <c r="BF41" s="138"/>
      <c r="BG41" s="138"/>
      <c r="BH41" s="138"/>
      <c r="BI41" s="138"/>
      <c r="BJ41" s="138"/>
      <c r="BK41" s="138"/>
      <c r="BL41" s="138"/>
      <c r="BM41" s="138"/>
      <c r="BN41" s="138"/>
      <c r="BO41" s="138"/>
      <c r="BP41" s="138"/>
      <c r="BQ41" s="138"/>
      <c r="BR41" s="138"/>
      <c r="BS41" s="138"/>
      <c r="BT41" s="138"/>
      <c r="BU41" s="138"/>
      <c r="BV41" s="138"/>
      <c r="BW41" s="138"/>
      <c r="BX41" s="138"/>
      <c r="BY41" s="138"/>
      <c r="BZ41" s="138"/>
      <c r="CA41" s="138"/>
      <c r="CB41" s="138"/>
      <c r="CC41" s="138"/>
      <c r="CD41" s="138"/>
      <c r="CE41" s="138"/>
      <c r="CF41" s="138"/>
      <c r="CG41" s="138"/>
      <c r="CH41" s="138"/>
      <c r="CI41" s="138"/>
      <c r="CJ41" s="138"/>
    </row>
    <row r="42" spans="1:88" ht="15" customHeight="1">
      <c r="A42" s="138"/>
      <c r="B42" s="138"/>
      <c r="C42" s="138"/>
      <c r="D42" s="138"/>
      <c r="E42" s="138"/>
      <c r="F42" s="138"/>
      <c r="G42" s="138"/>
      <c r="H42" s="138"/>
      <c r="I42" s="138"/>
      <c r="J42" s="138"/>
      <c r="K42" s="138"/>
      <c r="L42" s="138"/>
      <c r="M42" s="138"/>
      <c r="N42" s="138"/>
      <c r="O42" s="138"/>
      <c r="P42" s="138"/>
      <c r="Q42" s="138"/>
      <c r="R42" s="138"/>
      <c r="S42" s="138"/>
      <c r="T42" s="138"/>
      <c r="U42" s="138"/>
      <c r="V42" s="138"/>
      <c r="W42" s="138"/>
      <c r="X42" s="138"/>
      <c r="Y42" s="138"/>
      <c r="Z42" s="138"/>
      <c r="AA42" s="138"/>
      <c r="AB42" s="138"/>
      <c r="AC42" s="138"/>
      <c r="AD42" s="138"/>
      <c r="AE42" s="138"/>
      <c r="AF42" s="138"/>
      <c r="AG42" s="138"/>
      <c r="AH42" s="138"/>
      <c r="AI42" s="138"/>
      <c r="AJ42" s="138"/>
      <c r="AK42" s="138"/>
      <c r="AL42" s="138"/>
      <c r="AM42" s="138"/>
      <c r="AN42" s="138"/>
      <c r="AO42" s="138"/>
      <c r="AP42" s="138"/>
      <c r="AQ42" s="138"/>
      <c r="AR42" s="138"/>
      <c r="AS42" s="138"/>
      <c r="AT42" s="138"/>
      <c r="AU42" s="138"/>
      <c r="AV42" s="138"/>
      <c r="AW42" s="138"/>
      <c r="AX42" s="138"/>
      <c r="AY42" s="138"/>
      <c r="AZ42" s="138"/>
      <c r="BA42" s="138"/>
      <c r="BB42" s="138"/>
      <c r="BC42" s="138"/>
      <c r="BD42" s="138"/>
      <c r="BE42" s="138"/>
      <c r="BF42" s="138"/>
      <c r="BG42" s="138"/>
      <c r="BH42" s="138"/>
      <c r="BI42" s="138"/>
      <c r="BJ42" s="138"/>
      <c r="BK42" s="138"/>
      <c r="BL42" s="138"/>
      <c r="BM42" s="138"/>
      <c r="BN42" s="138"/>
      <c r="BO42" s="138"/>
      <c r="BP42" s="138"/>
      <c r="BQ42" s="138"/>
      <c r="BR42" s="138"/>
      <c r="BS42" s="138"/>
      <c r="BT42" s="138"/>
      <c r="BU42" s="138"/>
      <c r="BV42" s="138"/>
      <c r="BW42" s="138"/>
      <c r="BX42" s="138"/>
      <c r="BY42" s="138"/>
      <c r="BZ42" s="138"/>
      <c r="CA42" s="138"/>
      <c r="CB42" s="138"/>
      <c r="CC42" s="138"/>
      <c r="CD42" s="138"/>
      <c r="CE42" s="138"/>
      <c r="CF42" s="138"/>
      <c r="CG42" s="138"/>
      <c r="CH42" s="138"/>
      <c r="CI42" s="138"/>
      <c r="CJ42" s="138"/>
    </row>
    <row r="43" spans="1:88" s="3" customFormat="1" ht="15" customHeight="1">
      <c r="A43" s="138"/>
      <c r="B43" s="138"/>
      <c r="C43" s="138"/>
      <c r="D43" s="138"/>
      <c r="E43" s="138"/>
      <c r="F43" s="138"/>
      <c r="G43" s="138"/>
      <c r="H43" s="138"/>
      <c r="I43" s="138"/>
      <c r="J43" s="138"/>
      <c r="K43" s="138"/>
      <c r="L43" s="138"/>
      <c r="M43" s="138"/>
      <c r="N43" s="138"/>
      <c r="O43" s="138"/>
      <c r="P43" s="138"/>
      <c r="Q43" s="138"/>
      <c r="R43" s="138"/>
      <c r="S43" s="138"/>
      <c r="T43" s="138"/>
      <c r="U43" s="138"/>
      <c r="V43" s="138"/>
      <c r="W43" s="138"/>
      <c r="X43" s="138"/>
      <c r="Y43" s="138"/>
      <c r="Z43" s="138"/>
      <c r="AA43" s="138"/>
      <c r="AB43" s="138"/>
      <c r="AC43" s="138"/>
      <c r="AD43" s="138"/>
      <c r="AE43" s="138"/>
      <c r="AF43" s="138"/>
      <c r="AG43" s="138"/>
      <c r="AH43" s="138"/>
      <c r="AI43" s="138"/>
      <c r="AJ43" s="138"/>
      <c r="AK43" s="138"/>
      <c r="AL43" s="138"/>
      <c r="AM43" s="138"/>
      <c r="AN43" s="138"/>
      <c r="AO43" s="138"/>
      <c r="AP43" s="138"/>
      <c r="AQ43" s="138"/>
      <c r="AR43" s="138"/>
      <c r="AS43" s="138"/>
      <c r="AT43" s="138"/>
      <c r="AU43" s="138"/>
      <c r="AV43" s="138"/>
      <c r="AW43" s="138"/>
      <c r="AX43" s="138"/>
      <c r="AY43" s="138"/>
      <c r="AZ43" s="138"/>
      <c r="BA43" s="138"/>
      <c r="BB43" s="138"/>
      <c r="BC43" s="138"/>
      <c r="BD43" s="138"/>
      <c r="BE43" s="138"/>
      <c r="BF43" s="138"/>
      <c r="BG43" s="138"/>
      <c r="BH43" s="138"/>
      <c r="BI43" s="138"/>
      <c r="BJ43" s="138"/>
      <c r="BK43" s="138"/>
      <c r="BL43" s="138"/>
      <c r="BM43" s="138"/>
      <c r="BN43" s="138"/>
      <c r="BO43" s="138"/>
      <c r="BP43" s="138"/>
      <c r="BQ43" s="138"/>
      <c r="BR43" s="138"/>
      <c r="BS43" s="138"/>
      <c r="BT43" s="138"/>
      <c r="BU43" s="138"/>
      <c r="BV43" s="138"/>
      <c r="BW43" s="138"/>
      <c r="BX43" s="138"/>
      <c r="BY43" s="138"/>
      <c r="BZ43" s="138"/>
      <c r="CA43" s="138"/>
      <c r="CB43" s="138"/>
      <c r="CC43" s="138"/>
      <c r="CD43" s="138"/>
      <c r="CE43" s="138"/>
      <c r="CF43" s="138"/>
      <c r="CG43" s="138"/>
      <c r="CH43" s="138"/>
      <c r="CI43" s="138"/>
      <c r="CJ43" s="138"/>
    </row>
    <row r="44" spans="1:88" ht="15" customHeight="1">
      <c r="A44" s="138"/>
      <c r="B44" s="138"/>
      <c r="C44" s="138"/>
      <c r="D44" s="138"/>
      <c r="E44" s="138"/>
      <c r="F44" s="138"/>
      <c r="G44" s="138"/>
      <c r="H44" s="138"/>
      <c r="I44" s="138"/>
      <c r="J44" s="138"/>
      <c r="K44" s="138"/>
      <c r="L44" s="138"/>
      <c r="M44" s="138"/>
      <c r="N44" s="138"/>
      <c r="O44" s="138"/>
      <c r="P44" s="138"/>
      <c r="Q44" s="138"/>
      <c r="R44" s="138"/>
      <c r="S44" s="138"/>
      <c r="T44" s="138"/>
      <c r="U44" s="138"/>
      <c r="V44" s="138"/>
      <c r="W44" s="138"/>
      <c r="X44" s="138"/>
      <c r="Y44" s="138"/>
      <c r="Z44" s="138"/>
      <c r="AA44" s="138"/>
      <c r="AB44" s="138"/>
      <c r="AC44" s="138"/>
      <c r="AD44" s="138"/>
      <c r="AE44" s="138"/>
      <c r="AF44" s="138"/>
      <c r="AG44" s="138"/>
      <c r="AH44" s="138"/>
      <c r="AI44" s="138"/>
      <c r="AJ44" s="138"/>
      <c r="AK44" s="138"/>
      <c r="AL44" s="138"/>
      <c r="AM44" s="138"/>
      <c r="AN44" s="138"/>
      <c r="AO44" s="138"/>
      <c r="AP44" s="138"/>
      <c r="AQ44" s="138"/>
      <c r="AR44" s="138"/>
      <c r="AS44" s="138"/>
      <c r="AT44" s="138"/>
      <c r="AU44" s="138"/>
      <c r="AV44" s="138"/>
      <c r="AW44" s="138"/>
      <c r="AX44" s="138"/>
      <c r="AY44" s="138"/>
      <c r="AZ44" s="138"/>
      <c r="BA44" s="138"/>
      <c r="BB44" s="138"/>
      <c r="BC44" s="138"/>
      <c r="BD44" s="138"/>
      <c r="BE44" s="138"/>
      <c r="BF44" s="138"/>
      <c r="BG44" s="138"/>
      <c r="BH44" s="138"/>
      <c r="BI44" s="138"/>
      <c r="BJ44" s="138"/>
      <c r="BK44" s="138"/>
      <c r="BL44" s="138"/>
      <c r="BM44" s="138"/>
      <c r="BN44" s="138"/>
      <c r="BO44" s="138"/>
      <c r="BP44" s="138"/>
      <c r="BQ44" s="138"/>
      <c r="BR44" s="138"/>
      <c r="BS44" s="138"/>
      <c r="BT44" s="138"/>
      <c r="BU44" s="138"/>
      <c r="BV44" s="138"/>
      <c r="BW44" s="138"/>
      <c r="BX44" s="138"/>
      <c r="BY44" s="138"/>
      <c r="BZ44" s="138"/>
      <c r="CA44" s="138"/>
      <c r="CB44" s="138"/>
      <c r="CC44" s="138"/>
      <c r="CD44" s="138"/>
      <c r="CE44" s="138"/>
      <c r="CF44" s="138"/>
      <c r="CG44" s="138"/>
      <c r="CH44" s="138"/>
      <c r="CI44" s="138"/>
      <c r="CJ44" s="138"/>
    </row>
    <row r="45" spans="1:88" ht="15" customHeight="1">
      <c r="A45" s="138"/>
      <c r="B45" s="138"/>
      <c r="C45" s="138"/>
      <c r="D45" s="138"/>
      <c r="E45" s="138"/>
      <c r="F45" s="138"/>
      <c r="G45" s="138"/>
      <c r="H45" s="138"/>
      <c r="I45" s="138"/>
      <c r="J45" s="138"/>
      <c r="K45" s="138"/>
      <c r="L45" s="138"/>
      <c r="M45" s="138"/>
      <c r="N45" s="138"/>
      <c r="O45" s="138"/>
      <c r="P45" s="138"/>
      <c r="Q45" s="138"/>
      <c r="R45" s="138"/>
      <c r="S45" s="138"/>
      <c r="T45" s="138"/>
      <c r="U45" s="138"/>
      <c r="V45" s="138"/>
      <c r="W45" s="138"/>
      <c r="X45" s="138"/>
      <c r="Y45" s="138"/>
      <c r="Z45" s="138"/>
      <c r="AA45" s="138"/>
      <c r="AB45" s="138"/>
      <c r="AC45" s="138"/>
      <c r="AD45" s="138"/>
      <c r="AE45" s="138"/>
      <c r="AF45" s="138"/>
      <c r="AG45" s="138"/>
      <c r="AH45" s="138"/>
      <c r="AI45" s="138"/>
      <c r="AJ45" s="138"/>
      <c r="AK45" s="138"/>
      <c r="AL45" s="138"/>
      <c r="AM45" s="138"/>
      <c r="AN45" s="138"/>
      <c r="AO45" s="138"/>
      <c r="AP45" s="138"/>
      <c r="AQ45" s="138"/>
      <c r="AR45" s="138"/>
      <c r="AS45" s="138"/>
      <c r="AT45" s="138"/>
      <c r="AU45" s="138"/>
      <c r="AV45" s="138"/>
      <c r="AW45" s="138"/>
      <c r="AX45" s="138"/>
      <c r="AY45" s="138"/>
      <c r="AZ45" s="138"/>
      <c r="BA45" s="138"/>
      <c r="BB45" s="138"/>
      <c r="BC45" s="138"/>
      <c r="BD45" s="138"/>
      <c r="BE45" s="138"/>
      <c r="BF45" s="138"/>
      <c r="BG45" s="138"/>
      <c r="BH45" s="138"/>
      <c r="BI45" s="138"/>
      <c r="BJ45" s="138"/>
      <c r="BK45" s="138"/>
      <c r="BL45" s="138"/>
      <c r="BM45" s="138"/>
      <c r="BN45" s="138"/>
      <c r="BO45" s="138"/>
      <c r="BP45" s="138"/>
      <c r="BQ45" s="138"/>
      <c r="BR45" s="138"/>
      <c r="BS45" s="138"/>
      <c r="BT45" s="138"/>
      <c r="BU45" s="138"/>
      <c r="BV45" s="138"/>
      <c r="BW45" s="138"/>
      <c r="BX45" s="138"/>
      <c r="BY45" s="138"/>
      <c r="BZ45" s="138"/>
      <c r="CA45" s="138"/>
      <c r="CB45" s="138"/>
      <c r="CC45" s="138"/>
      <c r="CD45" s="138"/>
      <c r="CE45" s="138"/>
      <c r="CF45" s="138"/>
      <c r="CG45" s="138"/>
      <c r="CH45" s="138"/>
      <c r="CI45" s="138"/>
      <c r="CJ45" s="138"/>
    </row>
    <row r="46" spans="1:88" ht="15" customHeight="1">
      <c r="A46" s="138"/>
      <c r="B46" s="138"/>
      <c r="C46" s="138"/>
      <c r="D46" s="138"/>
      <c r="E46" s="138"/>
      <c r="F46" s="138"/>
      <c r="G46" s="138"/>
      <c r="H46" s="138"/>
      <c r="I46" s="138"/>
      <c r="J46" s="138"/>
      <c r="K46" s="138"/>
      <c r="L46" s="138"/>
      <c r="M46" s="138"/>
      <c r="N46" s="138"/>
      <c r="O46" s="138"/>
      <c r="P46" s="138"/>
      <c r="Q46" s="138"/>
      <c r="R46" s="138"/>
      <c r="S46" s="138"/>
      <c r="T46" s="138"/>
      <c r="U46" s="138"/>
      <c r="V46" s="138"/>
      <c r="W46" s="138"/>
      <c r="X46" s="138"/>
      <c r="Y46" s="138"/>
      <c r="Z46" s="138"/>
      <c r="AA46" s="138"/>
      <c r="AB46" s="138"/>
      <c r="AC46" s="138"/>
      <c r="AD46" s="138"/>
      <c r="AE46" s="138"/>
      <c r="AF46" s="138"/>
      <c r="AG46" s="138"/>
      <c r="AH46" s="138"/>
      <c r="AI46" s="138"/>
      <c r="AJ46" s="138"/>
      <c r="AK46" s="138"/>
      <c r="AL46" s="138"/>
      <c r="AM46" s="138"/>
      <c r="AN46" s="138"/>
      <c r="AO46" s="138"/>
      <c r="AP46" s="138"/>
      <c r="AQ46" s="138"/>
      <c r="AR46" s="138"/>
      <c r="AS46" s="138"/>
      <c r="AT46" s="138"/>
      <c r="AU46" s="138"/>
      <c r="AV46" s="138"/>
      <c r="AW46" s="138"/>
      <c r="AX46" s="138"/>
      <c r="AY46" s="138"/>
      <c r="AZ46" s="138"/>
      <c r="BA46" s="138"/>
      <c r="BB46" s="138"/>
      <c r="BC46" s="138"/>
      <c r="BD46" s="138"/>
      <c r="BE46" s="138"/>
      <c r="BF46" s="138"/>
      <c r="BG46" s="138"/>
      <c r="BH46" s="138"/>
      <c r="BI46" s="138"/>
      <c r="BJ46" s="138"/>
      <c r="BK46" s="138"/>
      <c r="BL46" s="138"/>
      <c r="BM46" s="138"/>
      <c r="BN46" s="138"/>
      <c r="BO46" s="138"/>
      <c r="BP46" s="138"/>
      <c r="BQ46" s="138"/>
      <c r="BR46" s="138"/>
      <c r="BS46" s="138"/>
      <c r="BT46" s="138"/>
      <c r="BU46" s="138"/>
      <c r="BV46" s="138"/>
      <c r="BW46" s="138"/>
      <c r="BX46" s="138"/>
      <c r="BY46" s="138"/>
      <c r="BZ46" s="138"/>
      <c r="CA46" s="138"/>
      <c r="CB46" s="138"/>
      <c r="CC46" s="138"/>
      <c r="CD46" s="138"/>
      <c r="CE46" s="138"/>
      <c r="CF46" s="138"/>
      <c r="CG46" s="138"/>
      <c r="CH46" s="138"/>
      <c r="CI46" s="138"/>
      <c r="CJ46" s="138"/>
    </row>
    <row r="47" spans="1:88" ht="15" customHeight="1">
      <c r="A47" s="138"/>
      <c r="B47" s="138"/>
      <c r="C47" s="138"/>
      <c r="D47" s="138"/>
      <c r="E47" s="138"/>
      <c r="F47" s="138"/>
      <c r="G47" s="138"/>
      <c r="H47" s="138"/>
      <c r="I47" s="138"/>
      <c r="J47" s="138"/>
      <c r="K47" s="138"/>
      <c r="L47" s="138"/>
      <c r="M47" s="138"/>
      <c r="N47" s="138"/>
      <c r="O47" s="138"/>
      <c r="P47" s="138"/>
      <c r="Q47" s="138"/>
      <c r="R47" s="138"/>
      <c r="S47" s="138"/>
      <c r="T47" s="138"/>
      <c r="U47" s="138"/>
      <c r="V47" s="138"/>
      <c r="W47" s="138"/>
      <c r="X47" s="138"/>
      <c r="Y47" s="138"/>
      <c r="Z47" s="138"/>
      <c r="AA47" s="138"/>
      <c r="AB47" s="138"/>
      <c r="AC47" s="138"/>
      <c r="AD47" s="138"/>
      <c r="AE47" s="138"/>
      <c r="AF47" s="138"/>
      <c r="AG47" s="138"/>
      <c r="AH47" s="138"/>
      <c r="AI47" s="138"/>
      <c r="AJ47" s="138"/>
      <c r="AK47" s="138"/>
      <c r="AL47" s="138"/>
      <c r="AM47" s="138"/>
      <c r="AN47" s="138"/>
      <c r="AO47" s="138"/>
      <c r="AP47" s="138"/>
      <c r="AQ47" s="138"/>
      <c r="AR47" s="138"/>
      <c r="AS47" s="138"/>
      <c r="AT47" s="138"/>
      <c r="AU47" s="138"/>
      <c r="AV47" s="138"/>
      <c r="AW47" s="138"/>
      <c r="AX47" s="138"/>
      <c r="AY47" s="138"/>
      <c r="AZ47" s="138"/>
      <c r="BA47" s="138"/>
      <c r="BB47" s="138"/>
      <c r="BC47" s="138"/>
      <c r="BD47" s="138"/>
      <c r="BE47" s="138"/>
      <c r="BF47" s="138"/>
      <c r="BG47" s="138"/>
      <c r="BH47" s="138"/>
      <c r="BI47" s="138"/>
      <c r="BJ47" s="138"/>
      <c r="BK47" s="138"/>
      <c r="BL47" s="138"/>
      <c r="BM47" s="138"/>
      <c r="BN47" s="138"/>
      <c r="BO47" s="138"/>
      <c r="BP47" s="138"/>
      <c r="BQ47" s="138"/>
      <c r="BR47" s="138"/>
      <c r="BS47" s="138"/>
      <c r="BT47" s="138"/>
      <c r="BU47" s="138"/>
      <c r="BV47" s="138"/>
      <c r="BW47" s="138"/>
      <c r="BX47" s="138"/>
      <c r="BY47" s="138"/>
      <c r="BZ47" s="138"/>
      <c r="CA47" s="138"/>
      <c r="CB47" s="138"/>
      <c r="CC47" s="138"/>
      <c r="CD47" s="138"/>
      <c r="CE47" s="138"/>
      <c r="CF47" s="138"/>
      <c r="CG47" s="138"/>
      <c r="CH47" s="138"/>
      <c r="CI47" s="138"/>
      <c r="CJ47" s="138"/>
    </row>
    <row r="48" spans="1:88" ht="15" customHeight="1">
      <c r="A48" s="138"/>
      <c r="B48" s="138"/>
      <c r="C48" s="138"/>
      <c r="D48" s="138"/>
      <c r="E48" s="138"/>
      <c r="F48" s="138"/>
      <c r="G48" s="138"/>
      <c r="H48" s="138"/>
      <c r="I48" s="138"/>
      <c r="J48" s="138"/>
      <c r="K48" s="138"/>
      <c r="L48" s="138"/>
      <c r="M48" s="138"/>
      <c r="N48" s="138"/>
      <c r="O48" s="138"/>
      <c r="P48" s="138"/>
      <c r="Q48" s="138"/>
      <c r="R48" s="138"/>
      <c r="S48" s="138"/>
      <c r="T48" s="138"/>
      <c r="U48" s="138"/>
      <c r="V48" s="138"/>
      <c r="W48" s="138"/>
      <c r="X48" s="138"/>
      <c r="Y48" s="138"/>
      <c r="Z48" s="138"/>
      <c r="AA48" s="138"/>
      <c r="AB48" s="138"/>
      <c r="AC48" s="138"/>
      <c r="AD48" s="138"/>
      <c r="AE48" s="138"/>
      <c r="AF48" s="138"/>
      <c r="AG48" s="138"/>
      <c r="AH48" s="138"/>
      <c r="AI48" s="138"/>
      <c r="AJ48" s="138"/>
      <c r="AK48" s="138"/>
      <c r="AL48" s="138"/>
      <c r="AM48" s="138"/>
      <c r="AN48" s="138"/>
      <c r="AO48" s="138"/>
      <c r="AP48" s="138"/>
      <c r="AQ48" s="138"/>
      <c r="AR48" s="138"/>
      <c r="AS48" s="138"/>
      <c r="AT48" s="138"/>
      <c r="AU48" s="138"/>
      <c r="AV48" s="138"/>
      <c r="AW48" s="138"/>
      <c r="AX48" s="138"/>
      <c r="AY48" s="138"/>
      <c r="AZ48" s="138"/>
      <c r="BA48" s="138"/>
      <c r="BB48" s="138"/>
      <c r="BC48" s="138"/>
      <c r="BD48" s="138"/>
      <c r="BE48" s="138"/>
      <c r="BF48" s="138"/>
      <c r="BG48" s="138"/>
      <c r="BH48" s="138"/>
      <c r="BI48" s="138"/>
      <c r="BJ48" s="138"/>
      <c r="BK48" s="138"/>
      <c r="BL48" s="138"/>
      <c r="BM48" s="138"/>
      <c r="BN48" s="138"/>
      <c r="BO48" s="138"/>
      <c r="BP48" s="138"/>
      <c r="BQ48" s="138"/>
      <c r="BR48" s="138"/>
      <c r="BS48" s="138"/>
      <c r="BT48" s="138"/>
      <c r="BU48" s="138"/>
      <c r="BV48" s="138"/>
      <c r="BW48" s="138"/>
      <c r="BX48" s="138"/>
      <c r="BY48" s="138"/>
      <c r="BZ48" s="138"/>
      <c r="CA48" s="138"/>
      <c r="CB48" s="138"/>
      <c r="CC48" s="138"/>
      <c r="CD48" s="138"/>
      <c r="CE48" s="138"/>
      <c r="CF48" s="138"/>
      <c r="CG48" s="138"/>
      <c r="CH48" s="138"/>
      <c r="CI48" s="138"/>
      <c r="CJ48" s="138"/>
    </row>
    <row r="49" spans="1:88" ht="15" customHeight="1">
      <c r="A49" s="138"/>
      <c r="B49" s="138"/>
      <c r="C49" s="138"/>
      <c r="D49" s="138"/>
      <c r="E49" s="138"/>
      <c r="F49" s="138"/>
      <c r="G49" s="138"/>
      <c r="H49" s="138"/>
      <c r="I49" s="138"/>
      <c r="J49" s="138"/>
      <c r="K49" s="138"/>
      <c r="L49" s="138"/>
      <c r="M49" s="138"/>
      <c r="N49" s="138"/>
      <c r="O49" s="138"/>
      <c r="P49" s="138"/>
      <c r="Q49" s="138"/>
      <c r="R49" s="138"/>
      <c r="S49" s="138"/>
      <c r="T49" s="138"/>
      <c r="U49" s="138"/>
      <c r="V49" s="138"/>
      <c r="W49" s="138"/>
      <c r="X49" s="138"/>
      <c r="Y49" s="138"/>
      <c r="Z49" s="138"/>
      <c r="AA49" s="138"/>
      <c r="AB49" s="138"/>
      <c r="AC49" s="138"/>
      <c r="AD49" s="138"/>
      <c r="AE49" s="138"/>
      <c r="AF49" s="138"/>
      <c r="AG49" s="138"/>
      <c r="AH49" s="138"/>
      <c r="AI49" s="138"/>
      <c r="AJ49" s="138"/>
      <c r="AK49" s="138"/>
      <c r="AL49" s="138"/>
      <c r="AM49" s="138"/>
      <c r="AN49" s="138"/>
      <c r="AO49" s="138"/>
      <c r="AP49" s="138"/>
      <c r="AQ49" s="138"/>
      <c r="AR49" s="138"/>
      <c r="AS49" s="138"/>
      <c r="AT49" s="138"/>
      <c r="AU49" s="138"/>
      <c r="AV49" s="138"/>
      <c r="AW49" s="138"/>
      <c r="AX49" s="138"/>
      <c r="AY49" s="138"/>
      <c r="AZ49" s="138"/>
      <c r="BA49" s="138"/>
      <c r="BB49" s="138"/>
      <c r="BC49" s="138"/>
      <c r="BD49" s="138"/>
      <c r="BE49" s="138"/>
      <c r="BF49" s="138"/>
      <c r="BG49" s="138"/>
      <c r="BH49" s="138"/>
      <c r="BI49" s="138"/>
      <c r="BJ49" s="138"/>
      <c r="BK49" s="138"/>
      <c r="BL49" s="138"/>
      <c r="BM49" s="138"/>
      <c r="BN49" s="138"/>
      <c r="BO49" s="138"/>
      <c r="BP49" s="138"/>
      <c r="BQ49" s="138"/>
      <c r="BR49" s="138"/>
      <c r="BS49" s="138"/>
      <c r="BT49" s="138"/>
      <c r="BU49" s="138"/>
      <c r="BV49" s="138"/>
      <c r="BW49" s="138"/>
      <c r="BX49" s="138"/>
      <c r="BY49" s="138"/>
      <c r="BZ49" s="138"/>
      <c r="CA49" s="138"/>
      <c r="CB49" s="138"/>
      <c r="CC49" s="138"/>
      <c r="CD49" s="138"/>
      <c r="CE49" s="138"/>
      <c r="CF49" s="138"/>
      <c r="CG49" s="138"/>
      <c r="CH49" s="138"/>
      <c r="CI49" s="138"/>
      <c r="CJ49" s="138"/>
    </row>
    <row r="50" spans="1:88" ht="15" customHeight="1">
      <c r="A50" s="138"/>
      <c r="B50" s="138"/>
      <c r="C50" s="138"/>
      <c r="D50" s="138"/>
      <c r="E50" s="138"/>
      <c r="F50" s="138"/>
      <c r="G50" s="138"/>
      <c r="H50" s="138"/>
      <c r="I50" s="138"/>
      <c r="J50" s="138"/>
      <c r="K50" s="138"/>
      <c r="L50" s="138"/>
      <c r="M50" s="138"/>
      <c r="N50" s="138"/>
      <c r="O50" s="138"/>
      <c r="P50" s="138"/>
      <c r="Q50" s="138"/>
      <c r="R50" s="138"/>
      <c r="S50" s="138"/>
      <c r="T50" s="138"/>
      <c r="U50" s="138"/>
      <c r="V50" s="138"/>
      <c r="W50" s="138"/>
      <c r="X50" s="138"/>
      <c r="Y50" s="138"/>
      <c r="Z50" s="138"/>
      <c r="AA50" s="138"/>
      <c r="AB50" s="138"/>
      <c r="AC50" s="138"/>
      <c r="AD50" s="138"/>
      <c r="AE50" s="138"/>
      <c r="AF50" s="138"/>
      <c r="AG50" s="138"/>
      <c r="AH50" s="138"/>
      <c r="AI50" s="138"/>
      <c r="AJ50" s="138"/>
      <c r="AK50" s="138"/>
      <c r="AL50" s="138"/>
      <c r="AM50" s="138"/>
      <c r="AN50" s="138"/>
      <c r="AO50" s="138"/>
      <c r="AP50" s="138"/>
      <c r="AQ50" s="138"/>
      <c r="AR50" s="138"/>
      <c r="AS50" s="138"/>
      <c r="AT50" s="138"/>
      <c r="AU50" s="138"/>
      <c r="AV50" s="138"/>
      <c r="AW50" s="138"/>
      <c r="AX50" s="138"/>
      <c r="AY50" s="138"/>
      <c r="AZ50" s="138"/>
      <c r="BA50" s="138"/>
      <c r="BB50" s="138"/>
      <c r="BC50" s="138"/>
      <c r="BD50" s="138"/>
      <c r="BE50" s="138"/>
      <c r="BF50" s="138"/>
      <c r="BG50" s="138"/>
      <c r="BH50" s="138"/>
      <c r="BI50" s="138"/>
      <c r="BJ50" s="138"/>
      <c r="BK50" s="138"/>
      <c r="BL50" s="138"/>
      <c r="BM50" s="138"/>
      <c r="BN50" s="138"/>
      <c r="BO50" s="138"/>
      <c r="BP50" s="138"/>
      <c r="BQ50" s="138"/>
      <c r="BR50" s="138"/>
      <c r="BS50" s="138"/>
      <c r="BT50" s="138"/>
      <c r="BU50" s="138"/>
      <c r="BV50" s="138"/>
      <c r="BW50" s="138"/>
      <c r="BX50" s="138"/>
      <c r="BY50" s="138"/>
      <c r="BZ50" s="138"/>
      <c r="CA50" s="138"/>
      <c r="CB50" s="138"/>
      <c r="CC50" s="138"/>
      <c r="CD50" s="138"/>
      <c r="CE50" s="138"/>
      <c r="CF50" s="138"/>
      <c r="CG50" s="138"/>
      <c r="CH50" s="138"/>
      <c r="CI50" s="138"/>
      <c r="CJ50" s="138"/>
    </row>
    <row r="51" spans="1:88" ht="15" customHeight="1">
      <c r="A51" s="138"/>
      <c r="B51" s="138"/>
      <c r="C51" s="138"/>
      <c r="D51" s="138"/>
      <c r="E51" s="138"/>
      <c r="F51" s="138"/>
      <c r="G51" s="138"/>
      <c r="H51" s="138"/>
      <c r="I51" s="138"/>
      <c r="J51" s="138"/>
      <c r="K51" s="138"/>
      <c r="L51" s="138"/>
      <c r="M51" s="138"/>
      <c r="N51" s="138"/>
      <c r="O51" s="138"/>
      <c r="P51" s="138"/>
      <c r="Q51" s="138"/>
      <c r="R51" s="138"/>
      <c r="S51" s="138"/>
      <c r="T51" s="138"/>
      <c r="U51" s="138"/>
      <c r="V51" s="138"/>
      <c r="W51" s="138"/>
      <c r="X51" s="138"/>
      <c r="Y51" s="138"/>
      <c r="Z51" s="138"/>
      <c r="AA51" s="138"/>
      <c r="AB51" s="138"/>
      <c r="AC51" s="138"/>
      <c r="AD51" s="138"/>
      <c r="AE51" s="138"/>
      <c r="AF51" s="138"/>
      <c r="AG51" s="138"/>
      <c r="AH51" s="138"/>
      <c r="AI51" s="138"/>
      <c r="AJ51" s="138"/>
      <c r="AK51" s="138"/>
      <c r="AL51" s="138"/>
      <c r="AM51" s="138"/>
      <c r="AN51" s="138"/>
      <c r="AO51" s="138"/>
      <c r="AP51" s="138"/>
      <c r="AQ51" s="138"/>
      <c r="AR51" s="138"/>
      <c r="AS51" s="138"/>
      <c r="AT51" s="138"/>
      <c r="AU51" s="138"/>
      <c r="AV51" s="138"/>
      <c r="AW51" s="138"/>
      <c r="AX51" s="138"/>
      <c r="AY51" s="138"/>
      <c r="AZ51" s="138"/>
      <c r="BA51" s="138"/>
      <c r="BB51" s="138"/>
      <c r="BC51" s="138"/>
      <c r="BD51" s="138"/>
      <c r="BE51" s="138"/>
      <c r="BF51" s="138"/>
      <c r="BG51" s="138"/>
      <c r="BH51" s="138"/>
      <c r="BI51" s="138"/>
      <c r="BJ51" s="138"/>
      <c r="BK51" s="138"/>
      <c r="BL51" s="138"/>
      <c r="BM51" s="138"/>
      <c r="BN51" s="138"/>
      <c r="BO51" s="138"/>
      <c r="BP51" s="138"/>
      <c r="BQ51" s="138"/>
      <c r="BR51" s="138"/>
      <c r="BS51" s="138"/>
      <c r="BT51" s="138"/>
      <c r="BU51" s="138"/>
      <c r="BV51" s="138"/>
      <c r="BW51" s="138"/>
      <c r="BX51" s="138"/>
      <c r="BY51" s="138"/>
      <c r="BZ51" s="138"/>
      <c r="CA51" s="138"/>
      <c r="CB51" s="138"/>
      <c r="CC51" s="138"/>
      <c r="CD51" s="138"/>
      <c r="CE51" s="138"/>
      <c r="CF51" s="138"/>
      <c r="CG51" s="138"/>
      <c r="CH51" s="138"/>
      <c r="CI51" s="138"/>
      <c r="CJ51" s="138"/>
    </row>
    <row r="52" spans="1:88" ht="15" customHeight="1">
      <c r="A52" s="138"/>
      <c r="B52" s="138"/>
      <c r="C52" s="138"/>
      <c r="D52" s="138"/>
      <c r="E52" s="138"/>
      <c r="F52" s="138"/>
      <c r="G52" s="138"/>
      <c r="H52" s="138"/>
      <c r="I52" s="138"/>
      <c r="J52" s="138"/>
      <c r="K52" s="138"/>
      <c r="L52" s="138"/>
      <c r="M52" s="138"/>
      <c r="N52" s="138"/>
      <c r="O52" s="138"/>
      <c r="P52" s="138"/>
      <c r="Q52" s="138"/>
      <c r="R52" s="138"/>
      <c r="S52" s="138"/>
      <c r="T52" s="138"/>
      <c r="U52" s="138"/>
      <c r="V52" s="138"/>
      <c r="W52" s="138"/>
      <c r="X52" s="138"/>
      <c r="Y52" s="138"/>
      <c r="Z52" s="138"/>
      <c r="AA52" s="138"/>
      <c r="AB52" s="138"/>
      <c r="AC52" s="138"/>
      <c r="AD52" s="138"/>
      <c r="AE52" s="138"/>
      <c r="AF52" s="138"/>
      <c r="AG52" s="138"/>
      <c r="AH52" s="138"/>
      <c r="AI52" s="138"/>
      <c r="AJ52" s="138"/>
      <c r="AK52" s="138"/>
      <c r="AL52" s="138"/>
      <c r="AM52" s="138"/>
      <c r="AN52" s="138"/>
      <c r="AO52" s="138"/>
      <c r="AP52" s="138"/>
      <c r="AQ52" s="138"/>
      <c r="AR52" s="138"/>
      <c r="AS52" s="138"/>
      <c r="AT52" s="138"/>
      <c r="AU52" s="138"/>
      <c r="AV52" s="138"/>
      <c r="AW52" s="138"/>
      <c r="AX52" s="138"/>
      <c r="AY52" s="138"/>
      <c r="AZ52" s="138"/>
      <c r="BA52" s="138"/>
      <c r="BB52" s="138"/>
      <c r="BC52" s="138"/>
      <c r="BD52" s="138"/>
      <c r="BE52" s="138"/>
      <c r="BF52" s="138"/>
      <c r="BG52" s="138"/>
      <c r="BH52" s="138"/>
      <c r="BI52" s="138"/>
      <c r="BJ52" s="138"/>
      <c r="BK52" s="138"/>
      <c r="BL52" s="138"/>
      <c r="BM52" s="138"/>
      <c r="BN52" s="138"/>
      <c r="BO52" s="138"/>
      <c r="BP52" s="138"/>
      <c r="BQ52" s="138"/>
      <c r="BR52" s="138"/>
      <c r="BS52" s="138"/>
      <c r="BT52" s="138"/>
      <c r="BU52" s="138"/>
      <c r="BV52" s="138"/>
      <c r="BW52" s="138"/>
      <c r="BX52" s="138"/>
      <c r="BY52" s="138"/>
      <c r="BZ52" s="138"/>
      <c r="CA52" s="138"/>
      <c r="CB52" s="138"/>
      <c r="CC52" s="138"/>
      <c r="CD52" s="138"/>
      <c r="CE52" s="138"/>
      <c r="CF52" s="138"/>
      <c r="CG52" s="138"/>
      <c r="CH52" s="138"/>
      <c r="CI52" s="138"/>
      <c r="CJ52" s="138"/>
    </row>
    <row r="53" spans="1:88" s="3" customFormat="1" ht="15" customHeight="1">
      <c r="A53" s="138"/>
      <c r="B53" s="138"/>
      <c r="C53" s="138"/>
      <c r="D53" s="138"/>
      <c r="E53" s="138"/>
      <c r="F53" s="138"/>
      <c r="G53" s="138"/>
      <c r="H53" s="138"/>
      <c r="I53" s="138"/>
      <c r="J53" s="138"/>
      <c r="K53" s="138"/>
      <c r="L53" s="138"/>
      <c r="M53" s="138"/>
      <c r="N53" s="138"/>
      <c r="O53" s="138"/>
      <c r="P53" s="138"/>
      <c r="Q53" s="138"/>
      <c r="R53" s="138"/>
      <c r="S53" s="138"/>
      <c r="T53" s="138"/>
      <c r="U53" s="138"/>
      <c r="V53" s="138"/>
      <c r="W53" s="138"/>
      <c r="X53" s="138"/>
      <c r="Y53" s="138"/>
      <c r="Z53" s="138"/>
      <c r="AA53" s="138"/>
      <c r="AB53" s="138"/>
      <c r="AC53" s="138"/>
      <c r="AD53" s="138"/>
      <c r="AE53" s="138"/>
      <c r="AF53" s="138"/>
      <c r="AG53" s="138"/>
      <c r="AH53" s="138"/>
      <c r="AI53" s="138"/>
      <c r="AJ53" s="138"/>
      <c r="AK53" s="138"/>
      <c r="AL53" s="138"/>
      <c r="AM53" s="138"/>
      <c r="AN53" s="138"/>
      <c r="AO53" s="138"/>
      <c r="AP53" s="138"/>
      <c r="AQ53" s="138"/>
      <c r="AR53" s="138"/>
      <c r="AS53" s="138"/>
      <c r="AT53" s="138"/>
      <c r="AU53" s="138"/>
      <c r="AV53" s="138"/>
      <c r="AW53" s="138"/>
      <c r="AX53" s="138"/>
      <c r="AY53" s="138"/>
      <c r="AZ53" s="138"/>
      <c r="BA53" s="138"/>
      <c r="BB53" s="138"/>
      <c r="BC53" s="138"/>
      <c r="BD53" s="138"/>
      <c r="BE53" s="138"/>
      <c r="BF53" s="138"/>
      <c r="BG53" s="138"/>
      <c r="BH53" s="138"/>
      <c r="BI53" s="138"/>
      <c r="BJ53" s="138"/>
      <c r="BK53" s="138"/>
      <c r="BL53" s="138"/>
      <c r="BM53" s="138"/>
      <c r="BN53" s="138"/>
      <c r="BO53" s="138"/>
      <c r="BP53" s="138"/>
      <c r="BQ53" s="138"/>
      <c r="BR53" s="138"/>
      <c r="BS53" s="138"/>
      <c r="BT53" s="138"/>
      <c r="BU53" s="138"/>
      <c r="BV53" s="138"/>
      <c r="BW53" s="138"/>
      <c r="BX53" s="138"/>
      <c r="BY53" s="138"/>
      <c r="BZ53" s="138"/>
      <c r="CA53" s="138"/>
      <c r="CB53" s="138"/>
      <c r="CC53" s="138"/>
      <c r="CD53" s="138"/>
      <c r="CE53" s="138"/>
      <c r="CF53" s="138"/>
      <c r="CG53" s="138"/>
      <c r="CH53" s="138"/>
      <c r="CI53" s="138"/>
      <c r="CJ53" s="138"/>
    </row>
    <row r="54" spans="1:88" s="3" customFormat="1" ht="13" customHeight="1">
      <c r="A54" s="138"/>
      <c r="B54" s="138"/>
      <c r="C54" s="138"/>
      <c r="D54" s="138"/>
      <c r="E54" s="138"/>
      <c r="F54" s="138"/>
      <c r="G54" s="138"/>
      <c r="H54" s="138"/>
      <c r="I54" s="138"/>
      <c r="J54" s="138"/>
      <c r="K54" s="138"/>
      <c r="L54" s="138"/>
      <c r="M54" s="138"/>
      <c r="N54" s="138"/>
      <c r="O54" s="138"/>
      <c r="P54" s="138"/>
      <c r="Q54" s="138"/>
      <c r="R54" s="138"/>
      <c r="S54" s="138"/>
      <c r="T54" s="138"/>
      <c r="U54" s="138"/>
      <c r="V54" s="138"/>
      <c r="W54" s="138"/>
      <c r="X54" s="138"/>
      <c r="Y54" s="138"/>
      <c r="Z54" s="138"/>
      <c r="AA54" s="138"/>
      <c r="AB54" s="138"/>
      <c r="AC54" s="138"/>
      <c r="AD54" s="138"/>
      <c r="AE54" s="138"/>
      <c r="AF54" s="138"/>
      <c r="AG54" s="138"/>
      <c r="AH54" s="138"/>
      <c r="AI54" s="138"/>
      <c r="AJ54" s="138"/>
      <c r="AK54" s="138"/>
      <c r="AL54" s="138"/>
      <c r="AM54" s="138"/>
      <c r="AN54" s="138"/>
      <c r="AO54" s="138"/>
      <c r="AP54" s="138"/>
      <c r="AQ54" s="138"/>
      <c r="AR54" s="138"/>
      <c r="AS54" s="138"/>
      <c r="AT54" s="138"/>
      <c r="AU54" s="138"/>
      <c r="AV54" s="138"/>
      <c r="AW54" s="138"/>
      <c r="AX54" s="138"/>
      <c r="AY54" s="138"/>
      <c r="AZ54" s="138"/>
      <c r="BA54" s="138"/>
      <c r="BB54" s="138"/>
      <c r="BC54" s="138"/>
      <c r="BD54" s="138"/>
      <c r="BE54" s="138"/>
      <c r="BF54" s="138"/>
      <c r="BG54" s="138"/>
      <c r="BH54" s="138"/>
      <c r="BI54" s="138"/>
      <c r="BJ54" s="138"/>
      <c r="BK54" s="138"/>
      <c r="BL54" s="138"/>
      <c r="BM54" s="138"/>
      <c r="BN54" s="138"/>
      <c r="BO54" s="138"/>
      <c r="BP54" s="138"/>
      <c r="BQ54" s="138"/>
      <c r="BR54" s="138"/>
      <c r="BS54" s="138"/>
      <c r="BT54" s="138"/>
      <c r="BU54" s="138"/>
      <c r="BV54" s="138"/>
      <c r="BW54" s="138"/>
      <c r="BX54" s="138"/>
      <c r="BY54" s="138"/>
      <c r="BZ54" s="138"/>
      <c r="CA54" s="138"/>
      <c r="CB54" s="138"/>
      <c r="CC54" s="138"/>
      <c r="CD54" s="138"/>
      <c r="CE54" s="138"/>
      <c r="CF54" s="138"/>
      <c r="CG54" s="138"/>
      <c r="CH54" s="138"/>
      <c r="CI54" s="138"/>
      <c r="CJ54" s="138"/>
    </row>
    <row r="55" spans="1:88" s="3" customFormat="1" ht="13" customHeight="1">
      <c r="A55" s="138"/>
      <c r="B55" s="138"/>
      <c r="C55" s="138"/>
      <c r="D55" s="138"/>
      <c r="E55" s="138"/>
      <c r="F55" s="138"/>
      <c r="G55" s="138"/>
      <c r="H55" s="138"/>
      <c r="I55" s="138"/>
      <c r="J55" s="138"/>
      <c r="K55" s="138"/>
      <c r="L55" s="138"/>
      <c r="M55" s="138"/>
      <c r="N55" s="138"/>
      <c r="O55" s="138"/>
      <c r="P55" s="138"/>
      <c r="Q55" s="138"/>
      <c r="R55" s="138"/>
      <c r="S55" s="138"/>
      <c r="T55" s="138"/>
      <c r="U55" s="138"/>
      <c r="V55" s="138"/>
      <c r="W55" s="138"/>
      <c r="X55" s="138"/>
      <c r="Y55" s="138"/>
      <c r="Z55" s="138"/>
      <c r="AA55" s="138"/>
      <c r="AB55" s="138"/>
      <c r="AC55" s="138"/>
      <c r="AD55" s="138"/>
      <c r="AE55" s="138"/>
      <c r="AF55" s="138"/>
      <c r="AG55" s="138"/>
      <c r="AH55" s="138"/>
      <c r="AI55" s="138"/>
      <c r="AJ55" s="138"/>
      <c r="AK55" s="138"/>
      <c r="AL55" s="138"/>
      <c r="AM55" s="138"/>
      <c r="AN55" s="138"/>
      <c r="AO55" s="138"/>
      <c r="AP55" s="138"/>
      <c r="AQ55" s="138"/>
      <c r="AR55" s="138"/>
      <c r="AS55" s="138"/>
      <c r="AT55" s="138"/>
      <c r="AU55" s="138"/>
      <c r="AV55" s="138"/>
      <c r="AW55" s="138"/>
      <c r="AX55" s="138"/>
      <c r="AY55" s="138"/>
      <c r="AZ55" s="138"/>
      <c r="BA55" s="138"/>
      <c r="BB55" s="138"/>
      <c r="BC55" s="138"/>
      <c r="BD55" s="138"/>
      <c r="BE55" s="138"/>
      <c r="BF55" s="138"/>
      <c r="BG55" s="138"/>
      <c r="BH55" s="138"/>
      <c r="BI55" s="138"/>
      <c r="BJ55" s="138"/>
      <c r="BK55" s="138"/>
      <c r="BL55" s="138"/>
      <c r="BM55" s="138"/>
      <c r="BN55" s="138"/>
      <c r="BO55" s="138"/>
      <c r="BP55" s="138"/>
      <c r="BQ55" s="138"/>
      <c r="BR55" s="138"/>
      <c r="BS55" s="138"/>
      <c r="BT55" s="138"/>
      <c r="BU55" s="138"/>
      <c r="BV55" s="138"/>
      <c r="BW55" s="138"/>
      <c r="BX55" s="138"/>
      <c r="BY55" s="138"/>
      <c r="BZ55" s="138"/>
      <c r="CA55" s="138"/>
      <c r="CB55" s="138"/>
      <c r="CC55" s="138"/>
      <c r="CD55" s="138"/>
      <c r="CE55" s="138"/>
      <c r="CF55" s="138"/>
      <c r="CG55" s="138"/>
      <c r="CH55" s="138"/>
      <c r="CI55" s="138"/>
      <c r="CJ55" s="138"/>
    </row>
    <row r="56" spans="1:88" s="3" customFormat="1" ht="13" customHeight="1">
      <c r="A56" s="138"/>
      <c r="B56" s="138"/>
      <c r="C56" s="138"/>
      <c r="D56" s="138"/>
      <c r="E56" s="138"/>
      <c r="F56" s="138"/>
      <c r="G56" s="138"/>
      <c r="H56" s="138"/>
      <c r="I56" s="138"/>
      <c r="J56" s="138"/>
      <c r="K56" s="138"/>
      <c r="L56" s="138"/>
      <c r="M56" s="138"/>
      <c r="N56" s="138"/>
      <c r="O56" s="138"/>
      <c r="P56" s="138"/>
      <c r="Q56" s="138"/>
      <c r="R56" s="138"/>
      <c r="S56" s="138"/>
      <c r="T56" s="138"/>
      <c r="U56" s="138"/>
      <c r="V56" s="138"/>
      <c r="W56" s="138"/>
      <c r="X56" s="138"/>
      <c r="Y56" s="138"/>
      <c r="Z56" s="138"/>
      <c r="AA56" s="138"/>
      <c r="AB56" s="138"/>
      <c r="AC56" s="138"/>
      <c r="AD56" s="138"/>
      <c r="AE56" s="138"/>
      <c r="AF56" s="138"/>
      <c r="AG56" s="138"/>
      <c r="AH56" s="138"/>
      <c r="AI56" s="138"/>
      <c r="AJ56" s="138"/>
      <c r="AK56" s="138"/>
      <c r="AL56" s="138"/>
      <c r="AM56" s="138"/>
      <c r="AN56" s="138"/>
      <c r="AO56" s="138"/>
      <c r="AP56" s="138"/>
      <c r="AQ56" s="138"/>
      <c r="AR56" s="138"/>
      <c r="AS56" s="138"/>
      <c r="AT56" s="138"/>
      <c r="AU56" s="138"/>
      <c r="AV56" s="138"/>
      <c r="AW56" s="138"/>
      <c r="AX56" s="138"/>
      <c r="AY56" s="138"/>
      <c r="AZ56" s="138"/>
      <c r="BA56" s="138"/>
      <c r="BB56" s="138"/>
      <c r="BC56" s="138"/>
      <c r="BD56" s="138"/>
      <c r="BE56" s="138"/>
      <c r="BF56" s="138"/>
      <c r="BG56" s="138"/>
      <c r="BH56" s="138"/>
      <c r="BI56" s="138"/>
      <c r="BJ56" s="138"/>
      <c r="BK56" s="138"/>
      <c r="BL56" s="138"/>
      <c r="BM56" s="138"/>
      <c r="BN56" s="138"/>
      <c r="BO56" s="138"/>
      <c r="BP56" s="138"/>
      <c r="BQ56" s="138"/>
      <c r="BR56" s="138"/>
      <c r="BS56" s="138"/>
      <c r="BT56" s="138"/>
      <c r="BU56" s="138"/>
      <c r="BV56" s="138"/>
      <c r="BW56" s="138"/>
      <c r="BX56" s="138"/>
      <c r="BY56" s="138"/>
      <c r="BZ56" s="138"/>
      <c r="CA56" s="138"/>
      <c r="CB56" s="138"/>
      <c r="CC56" s="138"/>
      <c r="CD56" s="138"/>
      <c r="CE56" s="138"/>
      <c r="CF56" s="138"/>
      <c r="CG56" s="138"/>
      <c r="CH56" s="138"/>
      <c r="CI56" s="138"/>
      <c r="CJ56" s="138"/>
    </row>
    <row r="57" spans="1:88" s="3" customFormat="1" ht="13" customHeight="1">
      <c r="A57" s="138"/>
      <c r="B57" s="138"/>
      <c r="C57" s="138"/>
      <c r="D57" s="138"/>
      <c r="E57" s="138"/>
      <c r="F57" s="138"/>
      <c r="G57" s="138"/>
      <c r="H57" s="138"/>
      <c r="I57" s="138"/>
      <c r="J57" s="138"/>
      <c r="K57" s="138"/>
      <c r="L57" s="138"/>
      <c r="M57" s="138"/>
      <c r="N57" s="138"/>
      <c r="O57" s="138"/>
      <c r="P57" s="138"/>
      <c r="Q57" s="138"/>
      <c r="R57" s="138"/>
      <c r="S57" s="138"/>
      <c r="T57" s="138"/>
      <c r="U57" s="138"/>
      <c r="V57" s="138"/>
      <c r="W57" s="138"/>
      <c r="X57" s="138"/>
      <c r="Y57" s="138"/>
      <c r="Z57" s="138"/>
      <c r="AA57" s="138"/>
      <c r="AB57" s="138"/>
      <c r="AC57" s="138"/>
      <c r="AD57" s="138"/>
      <c r="AE57" s="138"/>
      <c r="AF57" s="138"/>
      <c r="AG57" s="138"/>
      <c r="AH57" s="138"/>
      <c r="AI57" s="138"/>
      <c r="AJ57" s="138"/>
      <c r="AK57" s="138"/>
      <c r="AL57" s="138"/>
      <c r="AM57" s="138"/>
      <c r="AN57" s="138"/>
      <c r="AO57" s="138"/>
      <c r="AP57" s="138"/>
      <c r="AQ57" s="138"/>
      <c r="AR57" s="138"/>
      <c r="AS57" s="138"/>
      <c r="AT57" s="138"/>
      <c r="AU57" s="138"/>
      <c r="AV57" s="138"/>
      <c r="AW57" s="138"/>
      <c r="AX57" s="138"/>
      <c r="AY57" s="138"/>
      <c r="AZ57" s="138"/>
      <c r="BA57" s="138"/>
      <c r="BB57" s="138"/>
      <c r="BC57" s="138"/>
      <c r="BD57" s="138"/>
      <c r="BE57" s="138"/>
      <c r="BF57" s="138"/>
      <c r="BG57" s="138"/>
      <c r="BH57" s="138"/>
      <c r="BI57" s="138"/>
      <c r="BJ57" s="138"/>
      <c r="BK57" s="138"/>
      <c r="BL57" s="138"/>
      <c r="BM57" s="138"/>
      <c r="BN57" s="138"/>
      <c r="BO57" s="138"/>
      <c r="BP57" s="138"/>
      <c r="BQ57" s="138"/>
      <c r="BR57" s="138"/>
      <c r="BS57" s="138"/>
      <c r="BT57" s="138"/>
      <c r="BU57" s="138"/>
      <c r="BV57" s="138"/>
      <c r="BW57" s="138"/>
      <c r="BX57" s="138"/>
      <c r="BY57" s="138"/>
      <c r="BZ57" s="138"/>
      <c r="CA57" s="138"/>
      <c r="CB57" s="138"/>
      <c r="CC57" s="138"/>
      <c r="CD57" s="138"/>
      <c r="CE57" s="138"/>
      <c r="CF57" s="138"/>
      <c r="CG57" s="138"/>
      <c r="CH57" s="138"/>
      <c r="CI57" s="138"/>
      <c r="CJ57" s="138"/>
    </row>
    <row r="58" spans="1:88" s="3" customFormat="1" ht="13" customHeight="1">
      <c r="A58" s="138"/>
      <c r="B58" s="138"/>
      <c r="C58" s="138"/>
      <c r="D58" s="138"/>
      <c r="E58" s="138"/>
      <c r="F58" s="138"/>
      <c r="G58" s="138"/>
      <c r="H58" s="138"/>
      <c r="I58" s="138"/>
      <c r="J58" s="138"/>
      <c r="K58" s="138"/>
      <c r="L58" s="138"/>
      <c r="M58" s="138"/>
      <c r="N58" s="138"/>
      <c r="O58" s="138"/>
      <c r="P58" s="138"/>
      <c r="Q58" s="138"/>
      <c r="R58" s="138"/>
      <c r="S58" s="138"/>
      <c r="T58" s="138"/>
      <c r="U58" s="138"/>
      <c r="V58" s="138"/>
      <c r="W58" s="138"/>
      <c r="X58" s="138"/>
      <c r="Y58" s="138"/>
      <c r="Z58" s="138"/>
      <c r="AA58" s="138"/>
      <c r="AB58" s="138"/>
      <c r="AC58" s="138"/>
      <c r="AD58" s="138"/>
      <c r="AE58" s="138"/>
      <c r="AF58" s="138"/>
      <c r="AG58" s="138"/>
      <c r="AH58" s="138"/>
      <c r="AI58" s="138"/>
      <c r="AJ58" s="138"/>
      <c r="AK58" s="138"/>
      <c r="AL58" s="138"/>
      <c r="AM58" s="138"/>
      <c r="AN58" s="138"/>
      <c r="AO58" s="138"/>
      <c r="AP58" s="138"/>
      <c r="AQ58" s="138"/>
      <c r="AR58" s="138"/>
      <c r="AS58" s="138"/>
      <c r="AT58" s="138"/>
      <c r="AU58" s="138"/>
      <c r="AV58" s="138"/>
      <c r="AW58" s="138"/>
      <c r="AX58" s="138"/>
      <c r="AY58" s="138"/>
      <c r="AZ58" s="138"/>
      <c r="BA58" s="138"/>
      <c r="BB58" s="138"/>
      <c r="BC58" s="138"/>
      <c r="BD58" s="138"/>
      <c r="BE58" s="138"/>
      <c r="BF58" s="138"/>
      <c r="BG58" s="138"/>
      <c r="BH58" s="138"/>
      <c r="BI58" s="138"/>
      <c r="BJ58" s="138"/>
      <c r="BK58" s="138"/>
      <c r="BL58" s="138"/>
      <c r="BM58" s="138"/>
      <c r="BN58" s="138"/>
      <c r="BO58" s="138"/>
      <c r="BP58" s="138"/>
      <c r="BQ58" s="138"/>
      <c r="BR58" s="138"/>
      <c r="BS58" s="138"/>
      <c r="BT58" s="138"/>
      <c r="BU58" s="138"/>
      <c r="BV58" s="138"/>
      <c r="BW58" s="138"/>
      <c r="BX58" s="138"/>
      <c r="BY58" s="138"/>
      <c r="BZ58" s="138"/>
      <c r="CA58" s="138"/>
      <c r="CB58" s="138"/>
      <c r="CC58" s="138"/>
      <c r="CD58" s="138"/>
      <c r="CE58" s="138"/>
      <c r="CF58" s="138"/>
      <c r="CG58" s="138"/>
      <c r="CH58" s="138"/>
      <c r="CI58" s="138"/>
      <c r="CJ58" s="138"/>
    </row>
    <row r="59" spans="1:88" s="3" customFormat="1" ht="13" customHeight="1">
      <c r="A59" s="138"/>
      <c r="B59" s="138"/>
      <c r="C59" s="138"/>
      <c r="D59" s="138"/>
      <c r="E59" s="138"/>
      <c r="F59" s="138"/>
      <c r="G59" s="138"/>
      <c r="H59" s="138"/>
      <c r="I59" s="138"/>
      <c r="J59" s="138"/>
      <c r="K59" s="138"/>
      <c r="L59" s="138"/>
      <c r="M59" s="138"/>
      <c r="N59" s="138"/>
      <c r="O59" s="138"/>
      <c r="P59" s="138"/>
      <c r="Q59" s="138"/>
      <c r="R59" s="138"/>
      <c r="S59" s="138"/>
      <c r="T59" s="138"/>
      <c r="U59" s="138"/>
      <c r="V59" s="138"/>
      <c r="W59" s="138"/>
      <c r="X59" s="138"/>
      <c r="Y59" s="138"/>
      <c r="Z59" s="138"/>
      <c r="AA59" s="138"/>
      <c r="AB59" s="138"/>
      <c r="AC59" s="138"/>
      <c r="AD59" s="138"/>
      <c r="AE59" s="138"/>
      <c r="AF59" s="138"/>
      <c r="AG59" s="138"/>
      <c r="AH59" s="138"/>
      <c r="AI59" s="138"/>
      <c r="AJ59" s="138"/>
      <c r="AK59" s="138"/>
      <c r="AL59" s="138"/>
      <c r="AM59" s="138"/>
      <c r="AN59" s="138"/>
      <c r="AO59" s="138"/>
      <c r="AP59" s="138"/>
      <c r="AQ59" s="138"/>
      <c r="AR59" s="138"/>
      <c r="AS59" s="138"/>
      <c r="AT59" s="138"/>
      <c r="AU59" s="138"/>
      <c r="AV59" s="138"/>
      <c r="AW59" s="138"/>
      <c r="AX59" s="138"/>
      <c r="AY59" s="138"/>
      <c r="AZ59" s="138"/>
      <c r="BA59" s="138"/>
      <c r="BB59" s="138"/>
      <c r="BC59" s="138"/>
      <c r="BD59" s="138"/>
      <c r="BE59" s="138"/>
      <c r="BF59" s="138"/>
      <c r="BG59" s="138"/>
      <c r="BH59" s="138"/>
      <c r="BI59" s="138"/>
      <c r="BJ59" s="138"/>
      <c r="BK59" s="138"/>
      <c r="BL59" s="138"/>
      <c r="BM59" s="138"/>
      <c r="BN59" s="138"/>
      <c r="BO59" s="138"/>
      <c r="BP59" s="138"/>
      <c r="BQ59" s="138"/>
      <c r="BR59" s="138"/>
      <c r="BS59" s="138"/>
      <c r="BT59" s="138"/>
      <c r="BU59" s="138"/>
      <c r="BV59" s="138"/>
      <c r="BW59" s="138"/>
      <c r="BX59" s="138"/>
      <c r="BY59" s="138"/>
      <c r="BZ59" s="138"/>
      <c r="CA59" s="138"/>
      <c r="CB59" s="138"/>
      <c r="CC59" s="138"/>
      <c r="CD59" s="138"/>
      <c r="CE59" s="138"/>
      <c r="CF59" s="138"/>
      <c r="CG59" s="138"/>
      <c r="CH59" s="138"/>
      <c r="CI59" s="138"/>
      <c r="CJ59" s="138"/>
    </row>
    <row r="60" spans="1:88" s="3" customFormat="1" ht="13" customHeight="1">
      <c r="A60" s="138"/>
      <c r="B60" s="138"/>
      <c r="C60" s="138"/>
      <c r="D60" s="138"/>
      <c r="E60" s="138"/>
      <c r="F60" s="138"/>
      <c r="G60" s="138"/>
      <c r="H60" s="138"/>
      <c r="I60" s="138"/>
      <c r="J60" s="138"/>
      <c r="K60" s="138"/>
      <c r="L60" s="138"/>
      <c r="M60" s="138"/>
      <c r="N60" s="138"/>
      <c r="O60" s="138"/>
      <c r="P60" s="138"/>
      <c r="Q60" s="138"/>
      <c r="R60" s="138"/>
      <c r="S60" s="138"/>
      <c r="T60" s="138"/>
      <c r="U60" s="138"/>
      <c r="V60" s="138"/>
      <c r="W60" s="138"/>
      <c r="X60" s="138"/>
      <c r="Y60" s="138"/>
      <c r="Z60" s="138"/>
      <c r="AA60" s="138"/>
      <c r="AB60" s="138"/>
      <c r="AC60" s="138"/>
      <c r="AD60" s="138"/>
      <c r="AE60" s="138"/>
      <c r="AF60" s="138"/>
      <c r="AG60" s="138"/>
      <c r="AH60" s="138"/>
      <c r="AI60" s="138"/>
      <c r="AJ60" s="138"/>
      <c r="AK60" s="138"/>
      <c r="AL60" s="138"/>
      <c r="AM60" s="138"/>
      <c r="AN60" s="138"/>
      <c r="AO60" s="138"/>
      <c r="AP60" s="138"/>
      <c r="AQ60" s="138"/>
      <c r="AR60" s="138"/>
      <c r="AS60" s="138"/>
      <c r="AT60" s="138"/>
      <c r="AU60" s="138"/>
      <c r="AV60" s="138"/>
      <c r="AW60" s="138"/>
      <c r="AX60" s="138"/>
      <c r="AY60" s="138"/>
      <c r="AZ60" s="138"/>
      <c r="BA60" s="138"/>
      <c r="BB60" s="138"/>
      <c r="BC60" s="138"/>
      <c r="BD60" s="138"/>
      <c r="BE60" s="138"/>
      <c r="BF60" s="138"/>
      <c r="BG60" s="138"/>
      <c r="BH60" s="138"/>
      <c r="BI60" s="138"/>
      <c r="BJ60" s="138"/>
      <c r="BK60" s="138"/>
      <c r="BL60" s="138"/>
      <c r="BM60" s="138"/>
      <c r="BN60" s="138"/>
      <c r="BO60" s="138"/>
      <c r="BP60" s="138"/>
      <c r="BQ60" s="138"/>
      <c r="BR60" s="138"/>
      <c r="BS60" s="138"/>
      <c r="BT60" s="138"/>
      <c r="BU60" s="138"/>
      <c r="BV60" s="138"/>
      <c r="BW60" s="138"/>
      <c r="BX60" s="138"/>
      <c r="BY60" s="138"/>
      <c r="BZ60" s="138"/>
      <c r="CA60" s="138"/>
      <c r="CB60" s="138"/>
      <c r="CC60" s="138"/>
      <c r="CD60" s="138"/>
      <c r="CE60" s="138"/>
      <c r="CF60" s="138"/>
      <c r="CG60" s="138"/>
      <c r="CH60" s="138"/>
      <c r="CI60" s="138"/>
      <c r="CJ60" s="138"/>
    </row>
    <row r="61" spans="1:88" s="3" customFormat="1" ht="13" customHeight="1"/>
    <row r="62" spans="1:88" s="3" customFormat="1" ht="13" customHeight="1"/>
    <row r="63" spans="1:88" s="3" customFormat="1" ht="13" customHeight="1"/>
    <row r="64" spans="1:88" s="3" customFormat="1" ht="13" customHeight="1"/>
    <row r="65" s="3" customFormat="1" ht="13" customHeight="1"/>
    <row r="66" s="3" customFormat="1" ht="13" customHeight="1"/>
    <row r="67" s="3" customFormat="1" ht="13" customHeight="1"/>
    <row r="68" s="3" customFormat="1" ht="13" customHeight="1"/>
    <row r="69" s="3" customFormat="1" ht="13" customHeight="1"/>
    <row r="70" s="3" customFormat="1" ht="13" customHeight="1"/>
    <row r="71" s="3" customFormat="1" ht="13" customHeight="1"/>
    <row r="72" s="3" customFormat="1" ht="13" customHeight="1"/>
    <row r="73" s="3" customFormat="1" ht="13" customHeight="1"/>
    <row r="74" s="3" customFormat="1" ht="13" customHeight="1"/>
    <row r="75" s="3" customFormat="1" ht="13" customHeight="1"/>
    <row r="76" s="3" customFormat="1" ht="13" customHeight="1"/>
    <row r="77" s="3" customFormat="1" ht="13" customHeight="1"/>
    <row r="78" s="3" customFormat="1" ht="13" customHeight="1"/>
    <row r="79" s="3" customFormat="1" ht="13" customHeight="1"/>
    <row r="80" s="3" customFormat="1" ht="13" customHeight="1"/>
    <row r="81" s="3" customFormat="1" ht="13" customHeight="1"/>
    <row r="82" s="3" customFormat="1" ht="13" customHeight="1"/>
    <row r="83" s="3" customFormat="1" ht="13" customHeight="1"/>
    <row r="84" s="3" customFormat="1" ht="13" customHeight="1"/>
    <row r="85" s="3" customFormat="1" ht="13" customHeight="1"/>
    <row r="86" s="3" customFormat="1" ht="13" customHeight="1"/>
    <row r="87" s="3" customFormat="1" ht="13" customHeight="1"/>
    <row r="88" s="3" customFormat="1" ht="13" customHeight="1"/>
    <row r="89" s="3" customFormat="1" ht="13" customHeight="1"/>
    <row r="90" s="3" customFormat="1" ht="13" customHeight="1"/>
    <row r="91" s="3" customFormat="1" ht="13" customHeight="1"/>
    <row r="92" s="3" customFormat="1" ht="13" customHeight="1"/>
    <row r="93" s="3" customFormat="1" ht="13" customHeight="1"/>
    <row r="94" s="3" customFormat="1" ht="13" customHeight="1"/>
    <row r="95" s="3" customFormat="1" ht="13" customHeight="1"/>
    <row r="96" s="3" customFormat="1" ht="13" customHeight="1"/>
    <row r="97" s="3" customFormat="1" ht="13" customHeight="1"/>
    <row r="98" s="3" customFormat="1" ht="13" customHeight="1"/>
    <row r="99" s="3" customFormat="1" ht="13" customHeight="1"/>
    <row r="100" s="3" customFormat="1" ht="13" customHeight="1"/>
    <row r="101" s="3" customFormat="1" ht="13" customHeight="1"/>
    <row r="102" s="3" customFormat="1" ht="13" customHeight="1"/>
    <row r="103" s="3" customFormat="1" ht="13" customHeight="1"/>
    <row r="104" s="3" customFormat="1" ht="13" customHeight="1"/>
    <row r="105" s="3" customFormat="1" ht="13" customHeight="1"/>
    <row r="106" s="3" customFormat="1" ht="13" customHeight="1"/>
    <row r="107" s="3" customFormat="1" ht="13" customHeight="1"/>
    <row r="108" s="3" customFormat="1" ht="13" customHeight="1"/>
    <row r="109" s="3" customFormat="1" ht="13" customHeight="1"/>
    <row r="110" s="3" customFormat="1" ht="13" customHeight="1"/>
    <row r="111" s="3" customFormat="1" ht="13" customHeight="1"/>
    <row r="112" s="3" customFormat="1" ht="13" customHeight="1"/>
    <row r="113" s="3" customFormat="1" ht="13" customHeight="1"/>
    <row r="114" s="3" customFormat="1" ht="13" customHeight="1"/>
    <row r="115" s="3" customFormat="1" ht="13" customHeight="1"/>
    <row r="116" s="3" customFormat="1" ht="13" customHeight="1"/>
    <row r="117" s="3" customFormat="1" ht="13" customHeight="1"/>
    <row r="118" s="3" customFormat="1" ht="13" customHeight="1"/>
    <row r="119" s="3" customFormat="1" ht="13" customHeight="1"/>
    <row r="120" s="3" customFormat="1" ht="13" customHeight="1"/>
    <row r="121" s="3" customFormat="1" ht="13" customHeight="1"/>
    <row r="122" s="3" customFormat="1" ht="13" customHeight="1"/>
    <row r="123" s="3" customFormat="1" ht="13" customHeight="1"/>
    <row r="124" s="3" customFormat="1" ht="13" customHeight="1"/>
    <row r="125" s="3" customFormat="1" ht="13" customHeight="1"/>
    <row r="126" s="3" customFormat="1" ht="13" customHeight="1"/>
    <row r="127" s="3" customFormat="1" ht="13" customHeight="1"/>
    <row r="128" s="3" customFormat="1" ht="13" customHeight="1"/>
    <row r="129" s="3" customFormat="1" ht="13" customHeight="1"/>
    <row r="130" s="3" customFormat="1" ht="13" customHeight="1"/>
    <row r="131" s="3" customFormat="1" ht="13" customHeight="1"/>
    <row r="132" s="3" customFormat="1" ht="13" customHeight="1"/>
    <row r="133" s="3" customFormat="1" ht="13" customHeight="1"/>
    <row r="134" s="3" customFormat="1" ht="13" customHeight="1"/>
    <row r="135" s="3" customFormat="1" ht="13" customHeight="1"/>
    <row r="136" s="3" customFormat="1" ht="13" customHeight="1"/>
    <row r="137" s="3" customFormat="1" ht="13" customHeight="1"/>
    <row r="138" s="3" customFormat="1" ht="13" customHeight="1"/>
    <row r="139" s="3" customFormat="1" ht="13" customHeight="1"/>
    <row r="140" s="3" customFormat="1" ht="13" customHeight="1"/>
    <row r="141" s="3" customFormat="1" ht="13" customHeight="1"/>
    <row r="142" s="3" customFormat="1" ht="13" customHeight="1"/>
    <row r="143" s="3" customFormat="1" ht="13" customHeight="1"/>
    <row r="144" s="3" customFormat="1" ht="13" customHeight="1"/>
    <row r="145" s="3" customFormat="1" ht="13" customHeight="1"/>
    <row r="146" s="3" customFormat="1" ht="13" customHeight="1"/>
    <row r="147" s="3" customFormat="1" ht="13" customHeight="1"/>
    <row r="148" s="3" customFormat="1" ht="13" customHeight="1"/>
    <row r="149" s="3" customFormat="1" ht="13" customHeight="1"/>
    <row r="150" s="3" customFormat="1" ht="13" customHeight="1"/>
    <row r="151" s="3" customFormat="1" ht="13" customHeight="1"/>
    <row r="152" s="3" customFormat="1" ht="13" customHeight="1"/>
    <row r="153" s="3" customFormat="1" ht="13" customHeight="1"/>
    <row r="154" s="3" customFormat="1" ht="13" customHeight="1"/>
    <row r="155" s="3" customFormat="1" ht="13" customHeight="1"/>
    <row r="156" s="3" customFormat="1" ht="13" customHeight="1"/>
    <row r="157" s="3" customFormat="1" ht="13" customHeight="1"/>
    <row r="158" s="3" customFormat="1" ht="13" customHeight="1"/>
    <row r="159" s="3" customFormat="1" ht="13" customHeight="1"/>
    <row r="160" s="3" customFormat="1" ht="13" customHeight="1"/>
    <row r="161" s="3" customFormat="1" ht="13" customHeight="1"/>
    <row r="162" s="3" customFormat="1" ht="13" customHeight="1"/>
    <row r="163" s="3" customFormat="1" ht="13" customHeight="1"/>
    <row r="164" s="3" customFormat="1" ht="13" customHeight="1"/>
    <row r="165" s="3" customFormat="1" ht="13" customHeight="1"/>
    <row r="166" s="3" customFormat="1" ht="13" customHeight="1"/>
    <row r="167" s="3" customFormat="1" ht="13" customHeight="1"/>
    <row r="168" s="3" customFormat="1" ht="13" customHeight="1"/>
    <row r="169" s="3" customFormat="1" ht="13" customHeight="1"/>
    <row r="170" s="3" customFormat="1" ht="13" customHeight="1"/>
    <row r="171" s="3" customFormat="1" ht="13" customHeight="1"/>
    <row r="172" s="3" customFormat="1" ht="13" customHeight="1"/>
    <row r="173" s="3" customFormat="1" ht="13" customHeight="1"/>
    <row r="174" s="3" customFormat="1" ht="13" customHeight="1"/>
    <row r="175" s="3" customFormat="1" ht="13" customHeight="1"/>
    <row r="176" s="3" customFormat="1" ht="13" customHeight="1"/>
    <row r="177" s="3" customFormat="1" ht="13" customHeight="1"/>
    <row r="178" s="3" customFormat="1" ht="13" customHeight="1"/>
    <row r="179" s="3" customFormat="1" ht="13" customHeight="1"/>
    <row r="180" s="3" customFormat="1" ht="13" customHeight="1"/>
    <row r="181" s="3" customFormat="1" ht="13" customHeight="1"/>
    <row r="182" s="3" customFormat="1" ht="13" customHeight="1"/>
    <row r="183" s="3" customFormat="1" ht="13" customHeight="1"/>
    <row r="184" s="3" customFormat="1" ht="13" customHeight="1"/>
    <row r="185" s="3" customFormat="1" ht="13" customHeight="1"/>
    <row r="186" s="3" customFormat="1" ht="13" customHeight="1"/>
    <row r="187" s="3" customFormat="1" ht="13" customHeight="1"/>
    <row r="188" s="3" customFormat="1" ht="13" customHeight="1"/>
    <row r="189" s="3" customFormat="1" ht="13" customHeight="1"/>
    <row r="190" s="3" customFormat="1" ht="13" customHeight="1"/>
    <row r="191" s="3" customFormat="1" ht="13" customHeight="1"/>
    <row r="192" s="3" customFormat="1" ht="13" customHeight="1"/>
    <row r="193" s="3" customFormat="1" ht="13" customHeight="1"/>
    <row r="194" s="3" customFormat="1" ht="13" customHeight="1"/>
    <row r="195" s="3" customFormat="1" ht="13" customHeight="1"/>
    <row r="196" s="3" customFormat="1" ht="13" customHeight="1"/>
    <row r="197" s="3" customFormat="1" ht="13" customHeight="1"/>
    <row r="198" s="3" customFormat="1" ht="13" customHeight="1"/>
    <row r="199" s="3" customFormat="1" ht="13" customHeight="1"/>
    <row r="200" s="3" customFormat="1" ht="13" customHeight="1"/>
    <row r="201" s="3" customFormat="1" ht="13" customHeight="1"/>
    <row r="202" s="3" customFormat="1" ht="13" customHeight="1"/>
    <row r="203" s="3" customFormat="1" ht="13" customHeight="1"/>
    <row r="204" s="3" customFormat="1" ht="13" customHeight="1"/>
    <row r="205" s="3" customFormat="1" ht="13" customHeight="1"/>
    <row r="206" s="3" customFormat="1" ht="13" customHeight="1"/>
    <row r="207" s="3" customFormat="1" ht="13" customHeight="1"/>
    <row r="208" s="3" customFormat="1" ht="13" customHeight="1"/>
    <row r="209" s="3" customFormat="1" ht="13" customHeight="1"/>
    <row r="210" s="3" customFormat="1" ht="13" customHeight="1"/>
    <row r="211" s="3" customFormat="1" ht="13" customHeight="1"/>
    <row r="212" s="3" customFormat="1" ht="13" customHeight="1"/>
    <row r="213" s="3" customFormat="1" ht="13" customHeight="1"/>
    <row r="214" s="3" customFormat="1" ht="13" customHeight="1"/>
    <row r="215" s="3" customFormat="1" ht="13" customHeight="1"/>
    <row r="216" s="3" customFormat="1" ht="13" customHeight="1"/>
    <row r="217" s="3" customFormat="1" ht="13" customHeight="1"/>
    <row r="218" s="3" customFormat="1" ht="13" customHeight="1"/>
    <row r="219" s="3" customFormat="1" ht="13" customHeight="1"/>
    <row r="220" s="3" customFormat="1" ht="13" customHeight="1"/>
    <row r="221" s="3" customFormat="1" ht="13" customHeight="1"/>
    <row r="222" s="3" customFormat="1" ht="13" customHeight="1"/>
    <row r="223" s="3" customFormat="1" ht="13" customHeight="1"/>
    <row r="224" s="3" customFormat="1" ht="13" customHeight="1"/>
    <row r="225" s="3" customFormat="1" ht="13" customHeight="1"/>
    <row r="226" s="3" customFormat="1" ht="13" customHeight="1"/>
    <row r="227" s="3" customFormat="1" ht="13" customHeight="1"/>
    <row r="228" s="3" customFormat="1" ht="13" customHeight="1"/>
    <row r="229" s="3" customFormat="1" ht="13" customHeight="1"/>
    <row r="230" s="3" customFormat="1" ht="13" customHeight="1"/>
    <row r="231" s="3" customFormat="1" ht="13" customHeight="1"/>
    <row r="232" s="3" customFormat="1" ht="13" customHeight="1"/>
    <row r="233" s="3" customFormat="1" ht="13" customHeight="1"/>
    <row r="234" s="3" customFormat="1" ht="13" customHeight="1"/>
    <row r="235" s="3" customFormat="1" ht="13" customHeight="1"/>
    <row r="236" s="3" customFormat="1" ht="13" customHeight="1"/>
    <row r="237" s="3" customFormat="1" ht="13" customHeight="1"/>
    <row r="238" s="3" customFormat="1" ht="13" customHeight="1"/>
    <row r="239" s="3" customFormat="1" ht="13" customHeight="1"/>
    <row r="240" s="3" customFormat="1" ht="13" customHeight="1"/>
    <row r="241" s="3" customFormat="1" ht="13" customHeight="1"/>
    <row r="242" s="3" customFormat="1" ht="13" customHeight="1"/>
    <row r="243" s="3" customFormat="1" ht="13" customHeight="1"/>
    <row r="244" s="3" customFormat="1" ht="13" customHeight="1"/>
    <row r="245" s="3" customFormat="1" ht="13" customHeight="1"/>
    <row r="246" s="3" customFormat="1" ht="13" customHeight="1"/>
    <row r="247" s="3" customFormat="1" ht="13" customHeight="1"/>
    <row r="248" s="3" customFormat="1" ht="13" customHeight="1"/>
    <row r="249" s="3" customFormat="1" ht="13" customHeight="1"/>
    <row r="250" s="3" customFormat="1" ht="13" customHeight="1"/>
    <row r="251" s="3" customFormat="1" ht="13" customHeight="1"/>
    <row r="252" s="3" customFormat="1" ht="13" customHeight="1"/>
    <row r="253" s="3" customFormat="1" ht="13" customHeight="1"/>
    <row r="254" s="3" customFormat="1" ht="13" customHeight="1"/>
    <row r="255" s="3" customFormat="1" ht="13" customHeight="1"/>
    <row r="256" s="3" customFormat="1" ht="13" customHeight="1"/>
    <row r="257" s="3" customFormat="1" ht="13" customHeight="1"/>
    <row r="258" s="3" customFormat="1" ht="13" customHeight="1"/>
    <row r="259" s="3" customFormat="1" ht="13" customHeight="1"/>
    <row r="260" s="3" customFormat="1" ht="13" customHeight="1"/>
    <row r="261" s="3" customFormat="1" ht="13" customHeight="1"/>
    <row r="262" s="3" customFormat="1" ht="13" customHeight="1"/>
    <row r="263" s="3" customFormat="1" ht="13" customHeight="1"/>
    <row r="264" s="3" customFormat="1" ht="13" customHeight="1"/>
    <row r="265" s="3" customFormat="1" ht="13" customHeight="1"/>
    <row r="266" s="3" customFormat="1" ht="13" customHeight="1"/>
    <row r="267" s="3" customFormat="1" ht="13" customHeight="1"/>
    <row r="268" s="3" customFormat="1" ht="13" customHeight="1"/>
    <row r="269" s="3" customFormat="1" ht="13" customHeight="1"/>
    <row r="270" s="3" customFormat="1" ht="13" customHeight="1"/>
    <row r="271" s="3" customFormat="1" ht="13" customHeight="1"/>
    <row r="272" s="3" customFormat="1" ht="13" customHeight="1"/>
    <row r="273" s="3" customFormat="1" ht="13" customHeight="1"/>
    <row r="274" s="3" customFormat="1" ht="13" customHeight="1"/>
    <row r="275" s="3" customFormat="1" ht="13" customHeight="1"/>
    <row r="276" s="3" customFormat="1" ht="13" customHeight="1"/>
    <row r="277" s="3" customFormat="1" ht="13" customHeight="1"/>
    <row r="278" s="3" customFormat="1" ht="13" customHeight="1"/>
    <row r="279" s="3" customFormat="1" ht="13" customHeight="1"/>
    <row r="280" s="3" customFormat="1" ht="13" customHeight="1"/>
    <row r="281" s="3" customFormat="1" ht="13" customHeight="1"/>
    <row r="282" s="3" customFormat="1" ht="13" customHeight="1"/>
    <row r="283" s="3" customFormat="1" ht="13" customHeight="1"/>
    <row r="284" s="3" customFormat="1" ht="13" customHeight="1"/>
    <row r="285" s="3" customFormat="1" ht="13" customHeight="1"/>
    <row r="286" s="3" customFormat="1" ht="13" customHeight="1"/>
    <row r="287" s="3" customFormat="1" ht="13" customHeight="1"/>
    <row r="288" s="3" customFormat="1" ht="13" customHeight="1"/>
    <row r="289" s="3" customFormat="1" ht="13" customHeight="1"/>
    <row r="290" s="3" customFormat="1" ht="13" customHeight="1"/>
    <row r="291" s="3" customFormat="1" ht="13" customHeight="1"/>
    <row r="292" s="3" customFormat="1" ht="13" customHeight="1"/>
    <row r="293" s="3" customFormat="1" ht="13" customHeight="1"/>
    <row r="294" s="3" customFormat="1" ht="13" customHeight="1"/>
    <row r="295" s="3" customFormat="1" ht="13" customHeight="1"/>
    <row r="296" s="3" customFormat="1" ht="13" customHeight="1"/>
    <row r="297" s="3" customFormat="1" ht="13" customHeight="1"/>
    <row r="298" s="3" customFormat="1" ht="13" customHeight="1"/>
    <row r="299" s="3" customFormat="1" ht="13" customHeight="1"/>
    <row r="300" s="3" customFormat="1" ht="13" customHeight="1"/>
    <row r="301" s="3" customFormat="1" ht="13" customHeight="1"/>
    <row r="302" s="3" customFormat="1" ht="13" customHeight="1"/>
    <row r="303" s="3" customFormat="1" ht="13" customHeight="1"/>
    <row r="304" s="3" customFormat="1" ht="13" customHeight="1"/>
    <row r="305" s="3" customFormat="1" ht="13" customHeight="1"/>
    <row r="306" s="3" customFormat="1" ht="13" customHeight="1"/>
    <row r="307" s="3" customFormat="1" ht="13" customHeight="1"/>
    <row r="308" s="3" customFormat="1" ht="13" customHeight="1"/>
    <row r="309" s="3" customFormat="1" ht="13" customHeight="1"/>
    <row r="310" s="3" customFormat="1" ht="13" customHeight="1"/>
    <row r="311" s="3" customFormat="1" ht="13" customHeight="1"/>
    <row r="312" s="3" customFormat="1" ht="13" customHeight="1"/>
    <row r="313" s="3" customFormat="1" ht="13" customHeight="1"/>
    <row r="314" s="3" customFormat="1" ht="13" customHeight="1"/>
    <row r="315" s="3" customFormat="1" ht="13" customHeight="1"/>
    <row r="316" s="3" customFormat="1" ht="13" customHeight="1"/>
    <row r="317" s="3" customFormat="1" ht="13" customHeight="1"/>
    <row r="318" s="3" customFormat="1" ht="13" customHeight="1"/>
    <row r="319" s="3" customFormat="1" ht="13" customHeight="1"/>
    <row r="320" s="3" customFormat="1" ht="13" customHeight="1"/>
    <row r="321" s="3" customFormat="1" ht="13" customHeight="1"/>
    <row r="322" s="3" customFormat="1" ht="13" customHeight="1"/>
    <row r="323" s="3" customFormat="1" ht="13" customHeight="1"/>
    <row r="324" s="3" customFormat="1" ht="13" customHeight="1"/>
    <row r="325" s="3" customFormat="1" ht="13" customHeight="1"/>
    <row r="326" s="3" customFormat="1" ht="13" customHeight="1"/>
    <row r="327" s="3" customFormat="1" ht="13" customHeight="1"/>
    <row r="328" s="3" customFormat="1" ht="13" customHeight="1"/>
    <row r="329" s="3" customFormat="1" ht="13" customHeight="1"/>
    <row r="330" s="3" customFormat="1" ht="13" customHeight="1"/>
    <row r="331" s="3" customFormat="1" ht="13" customHeight="1"/>
    <row r="332" s="3" customFormat="1" ht="13" customHeight="1"/>
    <row r="333" s="3" customFormat="1" ht="13" customHeight="1"/>
    <row r="334" s="3" customFormat="1" ht="13" customHeight="1"/>
    <row r="335" s="3" customFormat="1" ht="13" customHeight="1"/>
    <row r="336" s="3" customFormat="1" ht="13" customHeight="1"/>
    <row r="337" s="3" customFormat="1" ht="13" customHeight="1"/>
    <row r="338" s="3" customFormat="1" ht="13" customHeight="1"/>
    <row r="339" s="3" customFormat="1" ht="13" customHeight="1"/>
    <row r="340" s="3" customFormat="1" ht="13" customHeight="1"/>
    <row r="341" s="3" customFormat="1" ht="13" customHeight="1"/>
    <row r="342" s="3" customFormat="1" ht="13" customHeight="1"/>
    <row r="343" s="3" customFormat="1" ht="13" customHeight="1"/>
    <row r="344" s="3" customFormat="1" ht="13" customHeight="1"/>
    <row r="345" s="3" customFormat="1" ht="13" customHeight="1"/>
    <row r="346" s="3" customFormat="1" ht="13" customHeight="1"/>
    <row r="347" s="3" customFormat="1" ht="13" customHeight="1"/>
    <row r="348" s="3" customFormat="1" ht="13" customHeight="1"/>
    <row r="349" s="3" customFormat="1" ht="13" customHeight="1"/>
    <row r="350" s="3" customFormat="1" ht="13" customHeight="1"/>
    <row r="351" s="3" customFormat="1" ht="13" customHeight="1"/>
    <row r="352" s="3" customFormat="1" ht="13" customHeight="1"/>
    <row r="353" s="3" customFormat="1" ht="13" customHeight="1"/>
    <row r="354" s="3" customFormat="1" ht="13" customHeight="1"/>
    <row r="355" s="3" customFormat="1" ht="13" customHeight="1"/>
    <row r="356" s="3" customFormat="1" ht="13" customHeight="1"/>
    <row r="357" s="3" customFormat="1" ht="13" customHeight="1"/>
    <row r="358" s="3" customFormat="1" ht="13" customHeight="1"/>
    <row r="359" s="3" customFormat="1" ht="13" customHeight="1"/>
    <row r="360" s="3" customFormat="1" ht="13" customHeight="1"/>
    <row r="361" s="3" customFormat="1" ht="13" customHeight="1"/>
    <row r="362" s="3" customFormat="1" ht="13" customHeight="1"/>
    <row r="363" s="3" customFormat="1" ht="13" customHeight="1"/>
    <row r="364" s="3" customFormat="1" ht="13" customHeight="1"/>
    <row r="365" s="3" customFormat="1" ht="13" customHeight="1"/>
    <row r="366" s="3" customFormat="1" ht="13" customHeight="1"/>
    <row r="367" s="3" customFormat="1" ht="13" customHeight="1"/>
    <row r="368" s="3" customFormat="1" ht="13" customHeight="1"/>
    <row r="369" s="3" customFormat="1" ht="13" customHeight="1"/>
    <row r="370" s="3" customFormat="1" ht="13" customHeight="1"/>
    <row r="371" s="3" customFormat="1" ht="13" customHeight="1"/>
    <row r="372" s="3" customFormat="1" ht="13" customHeight="1"/>
    <row r="373" s="3" customFormat="1" ht="13" customHeight="1"/>
    <row r="374" s="3" customFormat="1" ht="13" customHeight="1"/>
    <row r="375" s="3" customFormat="1" ht="13" customHeight="1"/>
    <row r="376" s="3" customFormat="1" ht="13" customHeight="1"/>
    <row r="377" s="3" customFormat="1" ht="13" customHeight="1"/>
    <row r="378" s="3" customFormat="1" ht="13" customHeight="1"/>
    <row r="379" s="3" customFormat="1" ht="13" customHeight="1"/>
    <row r="380" s="3" customFormat="1" ht="13" customHeight="1"/>
    <row r="381" s="3" customFormat="1" ht="13" customHeight="1"/>
    <row r="382" s="3" customFormat="1" ht="13" customHeight="1"/>
    <row r="383" s="3" customFormat="1" ht="13" customHeight="1"/>
    <row r="384" s="3" customFormat="1" ht="13" customHeight="1"/>
    <row r="385" s="3" customFormat="1" ht="13" customHeight="1"/>
    <row r="386" s="3" customFormat="1" ht="13" customHeight="1"/>
    <row r="387" s="3" customFormat="1" ht="13" customHeight="1"/>
    <row r="388" s="3" customFormat="1" ht="13" customHeight="1"/>
    <row r="389" s="3" customFormat="1" ht="13" customHeight="1"/>
    <row r="390" s="3" customFormat="1" ht="13" customHeight="1"/>
    <row r="391" s="3" customFormat="1" ht="13" customHeight="1"/>
    <row r="392" s="3" customFormat="1" ht="13" customHeight="1"/>
    <row r="393" s="3" customFormat="1" ht="13" customHeight="1"/>
    <row r="394" s="3" customFormat="1" ht="13" customHeight="1"/>
    <row r="395" s="3" customFormat="1" ht="13" customHeight="1"/>
    <row r="396" s="3" customFormat="1" ht="13" customHeight="1"/>
    <row r="397" s="3" customFormat="1" ht="13" customHeight="1"/>
    <row r="398" s="3" customFormat="1" ht="13" customHeight="1"/>
    <row r="399" s="3" customFormat="1" ht="13" customHeight="1"/>
    <row r="400" s="3" customFormat="1" ht="13" customHeight="1"/>
    <row r="401" spans="12:13" s="3" customFormat="1" ht="13" customHeight="1"/>
    <row r="402" spans="12:13" s="3" customFormat="1" ht="13" customHeight="1"/>
    <row r="403" spans="12:13" s="3" customFormat="1" ht="13" customHeight="1"/>
    <row r="404" spans="12:13" s="3" customFormat="1" ht="13" customHeight="1"/>
    <row r="405" spans="12:13" s="3" customFormat="1" ht="13" customHeight="1"/>
    <row r="406" spans="12:13" s="3" customFormat="1" ht="13" customHeight="1"/>
    <row r="407" spans="12:13" s="3" customFormat="1" ht="13" customHeight="1"/>
    <row r="408" spans="12:13" s="3" customFormat="1" ht="13" customHeight="1"/>
    <row r="409" spans="12:13" s="3" customFormat="1" ht="13" customHeight="1"/>
    <row r="410" spans="12:13" s="3" customFormat="1" ht="13" customHeight="1"/>
    <row r="411" spans="12:13" s="3" customFormat="1" ht="13" customHeight="1"/>
    <row r="412" spans="12:13" s="3" customFormat="1" ht="13" customHeight="1"/>
    <row r="413" spans="12:13" s="3" customFormat="1" ht="13" customHeight="1">
      <c r="L413" s="47"/>
      <c r="M413" s="47"/>
    </row>
    <row r="414" spans="12:13" s="3" customFormat="1" ht="13" customHeight="1">
      <c r="L414" s="47"/>
      <c r="M414" s="47"/>
    </row>
    <row r="415" spans="12:13" s="3" customFormat="1" ht="13" customHeight="1">
      <c r="L415" s="47"/>
      <c r="M415" s="47"/>
    </row>
    <row r="416" spans="12:13" s="3" customFormat="1" ht="13" customHeight="1">
      <c r="L416" s="47"/>
      <c r="M416" s="47"/>
    </row>
    <row r="417" spans="12:29" s="3" customFormat="1" ht="13" customHeight="1">
      <c r="L417" s="47"/>
      <c r="M417" s="47"/>
    </row>
    <row r="418" spans="12:29" s="3" customFormat="1" ht="13" customHeight="1">
      <c r="L418" s="47"/>
      <c r="M418" s="47"/>
    </row>
    <row r="419" spans="12:29" s="3" customFormat="1" ht="13" customHeight="1">
      <c r="L419" s="47"/>
      <c r="M419" s="47"/>
    </row>
    <row r="420" spans="12:29" s="3" customFormat="1" ht="13" customHeight="1">
      <c r="L420" s="47"/>
      <c r="M420" s="47"/>
    </row>
    <row r="421" spans="12:29" s="3" customFormat="1" ht="13" customHeight="1">
      <c r="L421" s="47"/>
      <c r="M421" s="47"/>
    </row>
    <row r="422" spans="12:29" s="3" customFormat="1" ht="13" customHeight="1">
      <c r="L422" s="47"/>
      <c r="M422" s="47"/>
    </row>
    <row r="423" spans="12:29" s="3" customFormat="1" ht="13" customHeight="1">
      <c r="L423" s="47"/>
      <c r="M423" s="47"/>
    </row>
    <row r="424" spans="12:29" s="3" customFormat="1" ht="13" customHeight="1">
      <c r="L424" s="47"/>
      <c r="M424" s="47"/>
    </row>
    <row r="425" spans="12:29" s="3" customFormat="1" ht="13" customHeight="1">
      <c r="L425" s="47"/>
      <c r="M425" s="47"/>
    </row>
    <row r="426" spans="12:29" s="3" customFormat="1" ht="13" customHeight="1">
      <c r="L426" s="47"/>
      <c r="M426" s="47"/>
    </row>
    <row r="427" spans="12:29" s="3" customFormat="1" ht="13" customHeight="1">
      <c r="L427" s="47"/>
      <c r="M427" s="47"/>
    </row>
    <row r="428" spans="12:29" s="3" customFormat="1" ht="13" customHeight="1">
      <c r="L428" s="47"/>
      <c r="M428" s="47"/>
    </row>
    <row r="429" spans="12:29" s="3" customFormat="1" ht="13" customHeight="1">
      <c r="L429" s="47"/>
      <c r="M429" s="47"/>
    </row>
    <row r="430" spans="12:29" s="3" customFormat="1" ht="13" customHeight="1">
      <c r="L430" s="47"/>
      <c r="M430" s="47"/>
    </row>
    <row r="431" spans="12:29" s="3" customFormat="1" ht="13" customHeight="1">
      <c r="L431" s="47"/>
      <c r="M431" s="47"/>
      <c r="Y431" s="46"/>
      <c r="Z431" s="46"/>
      <c r="AA431" s="46"/>
      <c r="AC431" s="46"/>
    </row>
    <row r="432" spans="12:29" s="3" customFormat="1" ht="13" customHeight="1">
      <c r="L432" s="47"/>
      <c r="M432" s="47"/>
    </row>
    <row r="433" spans="12:13" s="3" customFormat="1" ht="13" customHeight="1">
      <c r="L433" s="47"/>
      <c r="M433" s="47"/>
    </row>
    <row r="434" spans="12:13" s="3" customFormat="1" ht="13" customHeight="1">
      <c r="L434" s="47"/>
      <c r="M434" s="47"/>
    </row>
    <row r="435" spans="12:13" s="3" customFormat="1" ht="13" customHeight="1">
      <c r="L435" s="47"/>
      <c r="M435" s="47"/>
    </row>
    <row r="436" spans="12:13" s="3" customFormat="1" ht="13" customHeight="1">
      <c r="L436" s="47"/>
      <c r="M436" s="47"/>
    </row>
    <row r="437" spans="12:13" s="3" customFormat="1" ht="13" customHeight="1">
      <c r="L437" s="47"/>
      <c r="M437" s="47"/>
    </row>
    <row r="438" spans="12:13" s="3" customFormat="1" ht="13" customHeight="1">
      <c r="L438" s="47"/>
      <c r="M438" s="47"/>
    </row>
    <row r="439" spans="12:13" s="3" customFormat="1" ht="13" customHeight="1">
      <c r="L439" s="47"/>
      <c r="M439" s="47"/>
    </row>
    <row r="440" spans="12:13" s="3" customFormat="1" ht="13" customHeight="1">
      <c r="L440" s="47"/>
      <c r="M440" s="47"/>
    </row>
    <row r="441" spans="12:13" s="3" customFormat="1" ht="13" customHeight="1">
      <c r="L441" s="47"/>
      <c r="M441" s="47"/>
    </row>
    <row r="442" spans="12:13" s="3" customFormat="1" ht="13" customHeight="1">
      <c r="L442" s="47"/>
      <c r="M442" s="47"/>
    </row>
    <row r="443" spans="12:13" s="3" customFormat="1" ht="13" customHeight="1">
      <c r="L443" s="47"/>
      <c r="M443" s="47"/>
    </row>
    <row r="444" spans="12:13" s="3" customFormat="1" ht="13" customHeight="1">
      <c r="L444" s="47"/>
      <c r="M444" s="47"/>
    </row>
    <row r="445" spans="12:13" s="3" customFormat="1" ht="13" customHeight="1">
      <c r="L445" s="47"/>
      <c r="M445" s="47"/>
    </row>
    <row r="446" spans="12:13" s="3" customFormat="1" ht="13" customHeight="1">
      <c r="L446" s="47"/>
      <c r="M446" s="47"/>
    </row>
    <row r="447" spans="12:13" s="3" customFormat="1" ht="13" customHeight="1">
      <c r="L447" s="47"/>
      <c r="M447" s="47"/>
    </row>
    <row r="448" spans="12:13" s="3" customFormat="1" ht="13" customHeight="1">
      <c r="L448" s="47"/>
      <c r="M448" s="47"/>
    </row>
    <row r="449" spans="12:13" s="3" customFormat="1" ht="13" customHeight="1">
      <c r="L449" s="47"/>
      <c r="M449" s="47"/>
    </row>
    <row r="450" spans="12:13" s="3" customFormat="1" ht="13" customHeight="1">
      <c r="L450" s="47"/>
      <c r="M450" s="47"/>
    </row>
    <row r="451" spans="12:13" s="3" customFormat="1" ht="13" customHeight="1">
      <c r="L451" s="47"/>
      <c r="M451" s="47"/>
    </row>
    <row r="452" spans="12:13" s="3" customFormat="1" ht="13" customHeight="1">
      <c r="L452" s="47"/>
      <c r="M452" s="47"/>
    </row>
    <row r="453" spans="12:13" s="3" customFormat="1" ht="13" customHeight="1">
      <c r="L453" s="47"/>
      <c r="M453" s="47"/>
    </row>
    <row r="454" spans="12:13" s="3" customFormat="1" ht="13" customHeight="1">
      <c r="L454" s="47"/>
      <c r="M454" s="47"/>
    </row>
    <row r="455" spans="12:13" s="3" customFormat="1" ht="13" customHeight="1">
      <c r="L455" s="47"/>
      <c r="M455" s="47"/>
    </row>
    <row r="456" spans="12:13" s="3" customFormat="1" ht="13" customHeight="1">
      <c r="L456" s="47"/>
      <c r="M456" s="47"/>
    </row>
    <row r="457" spans="12:13" s="3" customFormat="1" ht="13" customHeight="1">
      <c r="L457" s="47"/>
      <c r="M457" s="47"/>
    </row>
    <row r="458" spans="12:13" s="3" customFormat="1" ht="13" customHeight="1">
      <c r="L458" s="47"/>
      <c r="M458" s="47"/>
    </row>
    <row r="459" spans="12:13" s="3" customFormat="1" ht="13" customHeight="1">
      <c r="L459" s="47"/>
      <c r="M459" s="47"/>
    </row>
    <row r="460" spans="12:13" s="3" customFormat="1" ht="13" customHeight="1">
      <c r="L460" s="47"/>
      <c r="M460" s="47"/>
    </row>
    <row r="461" spans="12:13" s="3" customFormat="1" ht="13" customHeight="1">
      <c r="L461" s="47"/>
      <c r="M461" s="47"/>
    </row>
    <row r="462" spans="12:13" s="3" customFormat="1" ht="13" customHeight="1">
      <c r="L462" s="47"/>
      <c r="M462" s="47"/>
    </row>
    <row r="463" spans="12:13" s="3" customFormat="1" ht="13" customHeight="1">
      <c r="L463" s="47"/>
      <c r="M463" s="47"/>
    </row>
    <row r="464" spans="12:13" s="3" customFormat="1" ht="13" customHeight="1">
      <c r="L464" s="47"/>
      <c r="M464" s="47"/>
    </row>
    <row r="465" spans="12:13" s="3" customFormat="1" ht="13" customHeight="1">
      <c r="L465" s="47"/>
      <c r="M465" s="47"/>
    </row>
    <row r="466" spans="12:13" s="3" customFormat="1" ht="13" customHeight="1">
      <c r="L466" s="47"/>
      <c r="M466" s="47"/>
    </row>
    <row r="467" spans="12:13" s="3" customFormat="1" ht="13" customHeight="1">
      <c r="L467" s="47"/>
      <c r="M467" s="47"/>
    </row>
    <row r="468" spans="12:13" s="3" customFormat="1" ht="13" customHeight="1">
      <c r="L468" s="47"/>
      <c r="M468" s="47"/>
    </row>
    <row r="469" spans="12:13" s="3" customFormat="1" ht="13" customHeight="1">
      <c r="L469" s="47"/>
      <c r="M469" s="47"/>
    </row>
    <row r="470" spans="12:13" s="3" customFormat="1" ht="13" customHeight="1">
      <c r="L470" s="47"/>
      <c r="M470" s="47"/>
    </row>
    <row r="471" spans="12:13" s="3" customFormat="1" ht="13" customHeight="1">
      <c r="L471" s="47"/>
      <c r="M471" s="47"/>
    </row>
    <row r="472" spans="12:13" s="3" customFormat="1" ht="13" customHeight="1">
      <c r="L472" s="47"/>
      <c r="M472" s="47"/>
    </row>
    <row r="473" spans="12:13" s="3" customFormat="1" ht="13" customHeight="1">
      <c r="L473" s="47"/>
      <c r="M473" s="47"/>
    </row>
    <row r="474" spans="12:13" s="3" customFormat="1" ht="13" customHeight="1">
      <c r="L474" s="47"/>
      <c r="M474" s="47"/>
    </row>
    <row r="475" spans="12:13" s="3" customFormat="1" ht="13" customHeight="1">
      <c r="L475" s="47"/>
      <c r="M475" s="47"/>
    </row>
    <row r="476" spans="12:13" s="3" customFormat="1" ht="13" customHeight="1">
      <c r="L476" s="47"/>
      <c r="M476" s="47"/>
    </row>
    <row r="477" spans="12:13" s="3" customFormat="1" ht="13" customHeight="1">
      <c r="L477" s="47"/>
      <c r="M477" s="47"/>
    </row>
    <row r="478" spans="12:13" s="3" customFormat="1" ht="13" customHeight="1">
      <c r="L478" s="47"/>
      <c r="M478" s="47"/>
    </row>
    <row r="479" spans="12:13" s="3" customFormat="1" ht="13" customHeight="1">
      <c r="L479" s="47"/>
      <c r="M479" s="47"/>
    </row>
    <row r="480" spans="12:13" s="3" customFormat="1" ht="13" customHeight="1">
      <c r="L480" s="47"/>
      <c r="M480" s="47"/>
    </row>
    <row r="481" spans="12:13" s="3" customFormat="1" ht="13" customHeight="1">
      <c r="L481" s="47"/>
      <c r="M481" s="47"/>
    </row>
    <row r="482" spans="12:13" s="3" customFormat="1" ht="13" customHeight="1">
      <c r="L482" s="47"/>
      <c r="M482" s="47"/>
    </row>
    <row r="483" spans="12:13" s="3" customFormat="1" ht="13" customHeight="1">
      <c r="L483" s="47"/>
      <c r="M483" s="47"/>
    </row>
    <row r="484" spans="12:13" s="3" customFormat="1" ht="13" customHeight="1">
      <c r="L484" s="47"/>
      <c r="M484" s="47"/>
    </row>
    <row r="485" spans="12:13" s="3" customFormat="1" ht="13" customHeight="1">
      <c r="L485" s="47"/>
      <c r="M485" s="47"/>
    </row>
    <row r="486" spans="12:13" s="3" customFormat="1" ht="13" customHeight="1">
      <c r="L486" s="47"/>
      <c r="M486" s="47"/>
    </row>
    <row r="487" spans="12:13" s="3" customFormat="1" ht="13" customHeight="1">
      <c r="L487" s="47"/>
      <c r="M487" s="47"/>
    </row>
    <row r="488" spans="12:13" s="3" customFormat="1" ht="13" customHeight="1">
      <c r="L488" s="47"/>
      <c r="M488" s="47"/>
    </row>
    <row r="489" spans="12:13" s="3" customFormat="1" ht="13" customHeight="1">
      <c r="L489" s="47"/>
      <c r="M489" s="47"/>
    </row>
    <row r="490" spans="12:13" s="3" customFormat="1" ht="13" customHeight="1">
      <c r="L490" s="47"/>
      <c r="M490" s="47"/>
    </row>
    <row r="491" spans="12:13" s="3" customFormat="1" ht="13" customHeight="1">
      <c r="L491" s="47"/>
      <c r="M491" s="47"/>
    </row>
    <row r="492" spans="12:13" s="3" customFormat="1" ht="13" customHeight="1">
      <c r="L492" s="47"/>
      <c r="M492" s="47"/>
    </row>
    <row r="493" spans="12:13" s="3" customFormat="1" ht="13" customHeight="1">
      <c r="L493" s="47"/>
      <c r="M493" s="47"/>
    </row>
    <row r="494" spans="12:13" ht="13" customHeight="1">
      <c r="L494" s="1"/>
      <c r="M494" s="1"/>
    </row>
    <row r="495" spans="12:13" ht="13" customHeight="1">
      <c r="L495" s="1"/>
      <c r="M495" s="1"/>
    </row>
    <row r="496" spans="12:13" ht="13" customHeight="1">
      <c r="L496" s="1"/>
      <c r="M496" s="1"/>
    </row>
    <row r="497" spans="12:13" ht="13" customHeight="1">
      <c r="L497" s="1"/>
      <c r="M497" s="1"/>
    </row>
    <row r="498" spans="12:13" ht="13" customHeight="1">
      <c r="L498" s="1"/>
      <c r="M498" s="1"/>
    </row>
    <row r="499" spans="12:13" ht="13" customHeight="1">
      <c r="L499" s="1"/>
      <c r="M499" s="1"/>
    </row>
    <row r="500" spans="12:13" ht="13" customHeight="1">
      <c r="L500" s="1"/>
      <c r="M500" s="1"/>
    </row>
    <row r="501" spans="12:13" ht="13" customHeight="1">
      <c r="L501" s="1"/>
      <c r="M501" s="1"/>
    </row>
    <row r="502" spans="12:13" ht="13" customHeight="1">
      <c r="L502" s="1"/>
      <c r="M502" s="1"/>
    </row>
    <row r="503" spans="12:13" ht="13" customHeight="1">
      <c r="L503" s="1"/>
      <c r="M503" s="1"/>
    </row>
    <row r="504" spans="12:13" ht="13" customHeight="1">
      <c r="L504" s="1"/>
      <c r="M504" s="1"/>
    </row>
    <row r="505" spans="12:13" ht="13" customHeight="1">
      <c r="L505" s="1"/>
      <c r="M505" s="1"/>
    </row>
    <row r="506" spans="12:13" ht="13" customHeight="1">
      <c r="L506" s="1"/>
      <c r="M506" s="1"/>
    </row>
    <row r="507" spans="12:13" ht="13" customHeight="1">
      <c r="L507" s="1"/>
      <c r="M507" s="1"/>
    </row>
    <row r="508" spans="12:13" ht="13" customHeight="1">
      <c r="L508" s="1"/>
      <c r="M508" s="1"/>
    </row>
    <row r="509" spans="12:13" ht="13" customHeight="1">
      <c r="L509" s="1"/>
      <c r="M509" s="1"/>
    </row>
    <row r="510" spans="12:13" ht="13" customHeight="1">
      <c r="L510" s="1"/>
      <c r="M510" s="1"/>
    </row>
    <row r="511" spans="12:13" ht="13" customHeight="1">
      <c r="L511" s="1"/>
      <c r="M511" s="1"/>
    </row>
    <row r="512" spans="12:13" ht="13" customHeight="1">
      <c r="L512" s="1"/>
      <c r="M512" s="1"/>
    </row>
    <row r="513" spans="12:13" ht="13" customHeight="1">
      <c r="L513" s="1"/>
      <c r="M513" s="1"/>
    </row>
    <row r="514" spans="12:13" ht="13" customHeight="1">
      <c r="L514" s="1"/>
      <c r="M514" s="1"/>
    </row>
    <row r="515" spans="12:13" ht="13" customHeight="1">
      <c r="L515" s="1"/>
      <c r="M515" s="1"/>
    </row>
    <row r="516" spans="12:13" ht="13" customHeight="1">
      <c r="L516" s="1"/>
      <c r="M516" s="1"/>
    </row>
    <row r="517" spans="12:13" ht="13" customHeight="1">
      <c r="L517" s="1"/>
      <c r="M517" s="1"/>
    </row>
    <row r="518" spans="12:13" ht="13" customHeight="1">
      <c r="L518" s="1"/>
      <c r="M518" s="1"/>
    </row>
    <row r="519" spans="12:13" ht="13" customHeight="1">
      <c r="L519" s="1"/>
      <c r="M519" s="1"/>
    </row>
    <row r="520" spans="12:13" ht="13" customHeight="1">
      <c r="L520" s="1"/>
      <c r="M520" s="1"/>
    </row>
    <row r="521" spans="12:13" ht="13" customHeight="1">
      <c r="L521" s="1"/>
      <c r="M521" s="1"/>
    </row>
    <row r="522" spans="12:13" ht="13" customHeight="1">
      <c r="L522" s="1"/>
      <c r="M522" s="1"/>
    </row>
    <row r="523" spans="12:13" ht="13" customHeight="1">
      <c r="L523" s="1"/>
      <c r="M523" s="1"/>
    </row>
    <row r="524" spans="12:13" ht="13" customHeight="1">
      <c r="L524" s="1"/>
      <c r="M524" s="1"/>
    </row>
    <row r="525" spans="12:13" ht="13" customHeight="1">
      <c r="L525" s="1"/>
      <c r="M525" s="1"/>
    </row>
    <row r="526" spans="12:13" ht="13" customHeight="1">
      <c r="L526" s="1"/>
      <c r="M526" s="1"/>
    </row>
    <row r="527" spans="12:13" ht="13" customHeight="1">
      <c r="L527" s="1"/>
      <c r="M527" s="1"/>
    </row>
    <row r="528" spans="12:13" ht="13" customHeight="1">
      <c r="L528" s="1"/>
      <c r="M528" s="1"/>
    </row>
    <row r="529" spans="12:13" ht="13" customHeight="1">
      <c r="L529" s="1"/>
      <c r="M529" s="1"/>
    </row>
    <row r="530" spans="12:13" ht="13" customHeight="1">
      <c r="L530" s="1"/>
      <c r="M530" s="1"/>
    </row>
    <row r="531" spans="12:13" ht="13" customHeight="1">
      <c r="L531" s="1"/>
      <c r="M531" s="1"/>
    </row>
    <row r="532" spans="12:13" ht="13" customHeight="1">
      <c r="L532" s="1"/>
      <c r="M532" s="1"/>
    </row>
    <row r="533" spans="12:13" ht="13" customHeight="1">
      <c r="L533" s="1"/>
      <c r="M533" s="1"/>
    </row>
    <row r="534" spans="12:13" ht="13" customHeight="1">
      <c r="L534" s="1"/>
      <c r="M534" s="1"/>
    </row>
    <row r="535" spans="12:13" ht="13" customHeight="1">
      <c r="L535" s="1"/>
      <c r="M535" s="1"/>
    </row>
    <row r="536" spans="12:13" ht="13" customHeight="1">
      <c r="L536" s="1"/>
      <c r="M536" s="1"/>
    </row>
    <row r="537" spans="12:13" ht="13" customHeight="1">
      <c r="L537" s="1"/>
      <c r="M537" s="1"/>
    </row>
    <row r="538" spans="12:13" ht="13" customHeight="1">
      <c r="L538" s="1"/>
      <c r="M538" s="1"/>
    </row>
    <row r="539" spans="12:13" ht="13" customHeight="1">
      <c r="L539" s="1"/>
      <c r="M539" s="1"/>
    </row>
    <row r="540" spans="12:13" ht="13" customHeight="1">
      <c r="L540" s="1"/>
      <c r="M540" s="1"/>
    </row>
    <row r="541" spans="12:13" ht="13" customHeight="1">
      <c r="L541" s="1"/>
      <c r="M541" s="1"/>
    </row>
    <row r="542" spans="12:13" ht="13" customHeight="1">
      <c r="L542" s="1"/>
      <c r="M542" s="1"/>
    </row>
    <row r="543" spans="12:13" ht="13" customHeight="1">
      <c r="L543" s="1"/>
      <c r="M543" s="1"/>
    </row>
    <row r="544" spans="12:13" ht="13" customHeight="1">
      <c r="L544" s="1"/>
      <c r="M544" s="1"/>
    </row>
    <row r="545" spans="12:13" ht="13" customHeight="1">
      <c r="L545" s="1"/>
      <c r="M545" s="1"/>
    </row>
    <row r="546" spans="12:13" ht="13" customHeight="1">
      <c r="L546" s="1"/>
      <c r="M546" s="1"/>
    </row>
    <row r="547" spans="12:13" ht="13" customHeight="1">
      <c r="L547" s="1"/>
      <c r="M547" s="1"/>
    </row>
    <row r="548" spans="12:13" ht="13" customHeight="1">
      <c r="L548" s="1"/>
      <c r="M548" s="1"/>
    </row>
    <row r="549" spans="12:13" ht="13" customHeight="1">
      <c r="L549" s="1"/>
      <c r="M549" s="1"/>
    </row>
    <row r="550" spans="12:13" ht="13" customHeight="1">
      <c r="L550" s="1"/>
      <c r="M550" s="1"/>
    </row>
    <row r="551" spans="12:13" ht="13" customHeight="1">
      <c r="L551" s="1"/>
      <c r="M551" s="1"/>
    </row>
    <row r="552" spans="12:13" ht="13" customHeight="1">
      <c r="L552" s="1"/>
      <c r="M552" s="1"/>
    </row>
    <row r="553" spans="12:13" ht="13" customHeight="1">
      <c r="L553" s="1"/>
      <c r="M553" s="1"/>
    </row>
    <row r="554" spans="12:13" ht="13" customHeight="1">
      <c r="L554" s="1"/>
      <c r="M554" s="1"/>
    </row>
    <row r="555" spans="12:13" ht="13" customHeight="1">
      <c r="L555" s="1"/>
      <c r="M555" s="1"/>
    </row>
    <row r="556" spans="12:13" ht="13" customHeight="1">
      <c r="L556" s="1"/>
      <c r="M556" s="1"/>
    </row>
    <row r="557" spans="12:13" ht="13" customHeight="1">
      <c r="L557" s="1"/>
      <c r="M557" s="1"/>
    </row>
    <row r="558" spans="12:13" ht="13" customHeight="1">
      <c r="L558" s="1"/>
      <c r="M558" s="1"/>
    </row>
    <row r="559" spans="12:13" ht="13" customHeight="1">
      <c r="L559" s="1"/>
      <c r="M559" s="1"/>
    </row>
    <row r="560" spans="12:13" ht="13" customHeight="1">
      <c r="L560" s="1"/>
      <c r="M560" s="1"/>
    </row>
    <row r="561" spans="12:13" ht="13" customHeight="1">
      <c r="L561" s="1"/>
      <c r="M561" s="1"/>
    </row>
    <row r="562" spans="12:13" ht="13" customHeight="1">
      <c r="L562" s="1"/>
      <c r="M562" s="1"/>
    </row>
    <row r="563" spans="12:13" ht="13" customHeight="1">
      <c r="L563" s="1"/>
      <c r="M563" s="1"/>
    </row>
    <row r="564" spans="12:13" ht="13" customHeight="1">
      <c r="L564" s="1"/>
      <c r="M564" s="1"/>
    </row>
    <row r="565" spans="12:13" ht="13" customHeight="1">
      <c r="L565" s="1"/>
      <c r="M565" s="1"/>
    </row>
    <row r="566" spans="12:13" ht="13" customHeight="1">
      <c r="L566" s="1"/>
      <c r="M566" s="1"/>
    </row>
    <row r="567" spans="12:13" ht="13" customHeight="1">
      <c r="L567" s="1"/>
      <c r="M567" s="1"/>
    </row>
    <row r="568" spans="12:13" ht="13" customHeight="1">
      <c r="L568" s="1"/>
      <c r="M568" s="1"/>
    </row>
    <row r="569" spans="12:13" ht="13" customHeight="1">
      <c r="L569" s="1"/>
      <c r="M569" s="1"/>
    </row>
    <row r="570" spans="12:13" ht="13" customHeight="1">
      <c r="L570" s="1"/>
      <c r="M570" s="1"/>
    </row>
    <row r="571" spans="12:13" ht="13" customHeight="1">
      <c r="L571" s="1"/>
      <c r="M571" s="1"/>
    </row>
    <row r="572" spans="12:13" ht="13" customHeight="1">
      <c r="L572" s="1"/>
      <c r="M572" s="1"/>
    </row>
    <row r="573" spans="12:13" ht="13" customHeight="1">
      <c r="L573" s="1"/>
      <c r="M573" s="1"/>
    </row>
    <row r="574" spans="12:13" ht="13" customHeight="1">
      <c r="L574" s="1"/>
      <c r="M574" s="1"/>
    </row>
    <row r="575" spans="12:13" ht="13" customHeight="1">
      <c r="L575" s="1"/>
      <c r="M575" s="1"/>
    </row>
    <row r="576" spans="12:13" ht="13" customHeight="1">
      <c r="L576" s="1"/>
      <c r="M576" s="1"/>
    </row>
    <row r="577" spans="12:13" ht="13" customHeight="1">
      <c r="L577" s="1"/>
      <c r="M577" s="1"/>
    </row>
    <row r="578" spans="12:13" ht="13" customHeight="1">
      <c r="L578" s="1"/>
      <c r="M578" s="1"/>
    </row>
    <row r="579" spans="12:13" ht="13" customHeight="1">
      <c r="L579" s="1"/>
      <c r="M579" s="1"/>
    </row>
    <row r="580" spans="12:13" ht="13" customHeight="1">
      <c r="L580" s="1"/>
      <c r="M580" s="1"/>
    </row>
    <row r="581" spans="12:13" ht="13" customHeight="1">
      <c r="L581" s="1"/>
      <c r="M581" s="1"/>
    </row>
    <row r="582" spans="12:13" ht="13" customHeight="1">
      <c r="L582" s="1"/>
      <c r="M582" s="1"/>
    </row>
    <row r="583" spans="12:13" ht="13" customHeight="1">
      <c r="L583" s="1"/>
      <c r="M583" s="1"/>
    </row>
    <row r="584" spans="12:13" ht="13" customHeight="1">
      <c r="L584" s="1"/>
      <c r="M584" s="1"/>
    </row>
    <row r="585" spans="12:13" ht="13" customHeight="1">
      <c r="L585" s="1"/>
      <c r="M585" s="1"/>
    </row>
    <row r="586" spans="12:13" ht="13" customHeight="1">
      <c r="L586" s="1"/>
      <c r="M586" s="1"/>
    </row>
    <row r="587" spans="12:13" ht="13" customHeight="1">
      <c r="L587" s="1"/>
      <c r="M587" s="1"/>
    </row>
    <row r="588" spans="12:13" ht="13" customHeight="1">
      <c r="L588" s="1"/>
      <c r="M588" s="1"/>
    </row>
    <row r="589" spans="12:13" ht="13" customHeight="1">
      <c r="L589" s="1"/>
      <c r="M589" s="1"/>
    </row>
    <row r="590" spans="12:13" ht="13" customHeight="1">
      <c r="L590" s="1"/>
      <c r="M590" s="1"/>
    </row>
    <row r="591" spans="12:13" ht="13" customHeight="1">
      <c r="L591" s="1"/>
      <c r="M591" s="1"/>
    </row>
    <row r="592" spans="12:13" ht="13" customHeight="1">
      <c r="L592" s="1"/>
      <c r="M592" s="1"/>
    </row>
    <row r="593" spans="12:13" ht="13" customHeight="1">
      <c r="L593" s="1"/>
      <c r="M593" s="1"/>
    </row>
    <row r="594" spans="12:13" ht="13" customHeight="1">
      <c r="L594" s="1"/>
      <c r="M594" s="1"/>
    </row>
    <row r="595" spans="12:13" ht="13" customHeight="1">
      <c r="L595" s="1"/>
      <c r="M595" s="1"/>
    </row>
    <row r="596" spans="12:13" ht="13" customHeight="1">
      <c r="L596" s="1"/>
      <c r="M596" s="1"/>
    </row>
    <row r="597" spans="12:13" ht="13" customHeight="1">
      <c r="L597" s="1"/>
      <c r="M597" s="1"/>
    </row>
    <row r="598" spans="12:13" ht="13" customHeight="1">
      <c r="L598" s="1"/>
      <c r="M598" s="1"/>
    </row>
    <row r="599" spans="12:13" ht="13" customHeight="1">
      <c r="L599" s="1"/>
      <c r="M599" s="1"/>
    </row>
    <row r="600" spans="12:13" ht="13" customHeight="1">
      <c r="L600" s="1"/>
      <c r="M600" s="1"/>
    </row>
    <row r="601" spans="12:13" ht="13" customHeight="1">
      <c r="L601" s="1"/>
      <c r="M601" s="1"/>
    </row>
    <row r="602" spans="12:13" ht="13" customHeight="1">
      <c r="L602" s="1"/>
      <c r="M602" s="1"/>
    </row>
    <row r="603" spans="12:13" ht="13" customHeight="1">
      <c r="L603" s="1"/>
      <c r="M603" s="1"/>
    </row>
    <row r="604" spans="12:13" ht="13" customHeight="1">
      <c r="L604" s="1"/>
      <c r="M604" s="1"/>
    </row>
    <row r="605" spans="12:13" ht="13" customHeight="1">
      <c r="L605" s="1"/>
      <c r="M605" s="1"/>
    </row>
    <row r="606" spans="12:13" ht="13" customHeight="1">
      <c r="L606" s="1"/>
      <c r="M606" s="1"/>
    </row>
    <row r="607" spans="12:13" ht="13" customHeight="1">
      <c r="L607" s="1"/>
      <c r="M607" s="1"/>
    </row>
    <row r="608" spans="12:13" ht="13" customHeight="1">
      <c r="L608" s="1"/>
      <c r="M608" s="1"/>
    </row>
    <row r="609" spans="12:13" ht="13" customHeight="1">
      <c r="L609" s="1"/>
      <c r="M609" s="1"/>
    </row>
    <row r="610" spans="12:13" ht="13" customHeight="1">
      <c r="L610" s="1"/>
      <c r="M610" s="1"/>
    </row>
    <row r="611" spans="12:13" ht="13" customHeight="1">
      <c r="L611" s="1"/>
      <c r="M611" s="1"/>
    </row>
    <row r="612" spans="12:13" ht="13" customHeight="1">
      <c r="L612" s="1"/>
      <c r="M612" s="1"/>
    </row>
    <row r="613" spans="12:13" ht="13" customHeight="1">
      <c r="L613" s="1"/>
      <c r="M613" s="1"/>
    </row>
    <row r="614" spans="12:13" ht="13" customHeight="1">
      <c r="L614" s="1"/>
      <c r="M614" s="1"/>
    </row>
    <row r="615" spans="12:13" ht="13" customHeight="1">
      <c r="L615" s="1"/>
      <c r="M615" s="1"/>
    </row>
    <row r="616" spans="12:13" ht="13" customHeight="1">
      <c r="L616" s="1"/>
      <c r="M616" s="1"/>
    </row>
    <row r="617" spans="12:13" ht="13" customHeight="1">
      <c r="L617" s="1"/>
      <c r="M617" s="1"/>
    </row>
    <row r="618" spans="12:13" ht="13" customHeight="1">
      <c r="L618" s="1"/>
      <c r="M618" s="1"/>
    </row>
    <row r="619" spans="12:13" ht="13" customHeight="1">
      <c r="L619" s="1"/>
      <c r="M619" s="1"/>
    </row>
    <row r="620" spans="12:13" ht="13" customHeight="1">
      <c r="L620" s="1"/>
      <c r="M620" s="1"/>
    </row>
    <row r="621" spans="12:13" ht="13" customHeight="1">
      <c r="L621" s="1"/>
      <c r="M621" s="1"/>
    </row>
    <row r="622" spans="12:13" ht="13" customHeight="1">
      <c r="L622" s="1"/>
      <c r="M622" s="1"/>
    </row>
    <row r="623" spans="12:13" ht="13" customHeight="1">
      <c r="L623" s="1"/>
      <c r="M623" s="1"/>
    </row>
    <row r="624" spans="12:13" ht="13" customHeight="1">
      <c r="L624" s="1"/>
      <c r="M624" s="1"/>
    </row>
    <row r="625" spans="12:13" ht="13" customHeight="1">
      <c r="L625" s="1"/>
      <c r="M625" s="1"/>
    </row>
    <row r="626" spans="12:13" ht="13" customHeight="1">
      <c r="L626" s="1"/>
      <c r="M626" s="1"/>
    </row>
    <row r="627" spans="12:13" ht="13" customHeight="1">
      <c r="L627" s="1"/>
      <c r="M627" s="1"/>
    </row>
    <row r="628" spans="12:13" ht="13" customHeight="1">
      <c r="L628" s="1"/>
      <c r="M628" s="1"/>
    </row>
    <row r="629" spans="12:13" ht="13" customHeight="1">
      <c r="L629" s="1"/>
      <c r="M629" s="1"/>
    </row>
    <row r="630" spans="12:13" ht="13" customHeight="1">
      <c r="L630" s="1"/>
      <c r="M630" s="1"/>
    </row>
    <row r="631" spans="12:13" ht="13" customHeight="1">
      <c r="L631" s="1"/>
      <c r="M631" s="1"/>
    </row>
    <row r="632" spans="12:13" ht="13" customHeight="1">
      <c r="L632" s="1"/>
      <c r="M632" s="1"/>
    </row>
    <row r="633" spans="12:13" ht="13" customHeight="1">
      <c r="L633" s="1"/>
      <c r="M633" s="1"/>
    </row>
    <row r="634" spans="12:13" ht="13" customHeight="1">
      <c r="L634" s="1"/>
      <c r="M634" s="1"/>
    </row>
    <row r="635" spans="12:13" ht="13" customHeight="1">
      <c r="L635" s="1"/>
      <c r="M635" s="1"/>
    </row>
    <row r="636" spans="12:13" ht="13" customHeight="1">
      <c r="L636" s="1"/>
      <c r="M636" s="1"/>
    </row>
    <row r="637" spans="12:13" ht="13" customHeight="1">
      <c r="L637" s="1"/>
      <c r="M637" s="1"/>
    </row>
    <row r="638" spans="12:13" ht="13" customHeight="1">
      <c r="L638" s="1"/>
      <c r="M638" s="1"/>
    </row>
    <row r="639" spans="12:13" ht="13" customHeight="1">
      <c r="L639" s="1"/>
      <c r="M639" s="1"/>
    </row>
    <row r="640" spans="12:13" ht="13" customHeight="1">
      <c r="L640" s="1"/>
      <c r="M640" s="1"/>
    </row>
    <row r="641" spans="12:13" ht="13" customHeight="1">
      <c r="L641" s="1"/>
      <c r="M641" s="1"/>
    </row>
    <row r="642" spans="12:13" ht="13" customHeight="1">
      <c r="L642" s="1"/>
      <c r="M642" s="1"/>
    </row>
    <row r="643" spans="12:13" ht="13" customHeight="1">
      <c r="L643" s="1"/>
      <c r="M643" s="1"/>
    </row>
    <row r="644" spans="12:13" ht="13" customHeight="1">
      <c r="L644" s="1"/>
      <c r="M644" s="1"/>
    </row>
    <row r="645" spans="12:13" ht="13" customHeight="1">
      <c r="L645" s="1"/>
      <c r="M645" s="1"/>
    </row>
    <row r="646" spans="12:13" ht="13" customHeight="1">
      <c r="L646" s="1"/>
      <c r="M646" s="1"/>
    </row>
    <row r="647" spans="12:13" ht="13" customHeight="1">
      <c r="L647" s="1"/>
      <c r="M647" s="1"/>
    </row>
    <row r="648" spans="12:13" ht="13" customHeight="1">
      <c r="L648" s="1"/>
      <c r="M648" s="1"/>
    </row>
    <row r="649" spans="12:13" ht="13" customHeight="1">
      <c r="L649" s="1"/>
      <c r="M649" s="1"/>
    </row>
    <row r="650" spans="12:13" ht="13" customHeight="1">
      <c r="L650" s="1"/>
      <c r="M650" s="1"/>
    </row>
    <row r="651" spans="12:13" ht="13" customHeight="1">
      <c r="L651" s="1"/>
      <c r="M651" s="1"/>
    </row>
    <row r="652" spans="12:13" ht="13" customHeight="1">
      <c r="L652" s="1"/>
      <c r="M652" s="1"/>
    </row>
    <row r="653" spans="12:13" ht="13" customHeight="1">
      <c r="L653" s="1"/>
      <c r="M653" s="1"/>
    </row>
    <row r="654" spans="12:13" ht="13" customHeight="1">
      <c r="L654" s="1"/>
      <c r="M654" s="1"/>
    </row>
    <row r="655" spans="12:13" ht="13" customHeight="1">
      <c r="L655" s="1"/>
      <c r="M655" s="1"/>
    </row>
    <row r="656" spans="12:13" ht="13" customHeight="1">
      <c r="L656" s="1"/>
      <c r="M656" s="1"/>
    </row>
    <row r="657" spans="12:13" ht="13" customHeight="1">
      <c r="L657" s="1"/>
      <c r="M657" s="1"/>
    </row>
    <row r="658" spans="12:13" ht="13" customHeight="1">
      <c r="L658" s="1"/>
      <c r="M658" s="1"/>
    </row>
    <row r="659" spans="12:13" ht="13" customHeight="1">
      <c r="L659" s="1"/>
      <c r="M659" s="1"/>
    </row>
    <row r="660" spans="12:13" ht="13" customHeight="1">
      <c r="L660" s="1"/>
      <c r="M660" s="1"/>
    </row>
    <row r="661" spans="12:13" ht="13" customHeight="1">
      <c r="L661" s="1"/>
      <c r="M661" s="1"/>
    </row>
    <row r="662" spans="12:13" ht="13" customHeight="1">
      <c r="L662" s="1"/>
      <c r="M662" s="1"/>
    </row>
    <row r="663" spans="12:13" ht="13" customHeight="1">
      <c r="L663" s="1"/>
      <c r="M663" s="1"/>
    </row>
    <row r="664" spans="12:13" ht="13" customHeight="1">
      <c r="L664" s="1"/>
      <c r="M664" s="1"/>
    </row>
    <row r="665" spans="12:13" ht="13" customHeight="1">
      <c r="L665" s="1"/>
      <c r="M665" s="1"/>
    </row>
    <row r="666" spans="12:13" ht="13" customHeight="1">
      <c r="L666" s="1"/>
      <c r="M666" s="1"/>
    </row>
    <row r="667" spans="12:13" ht="13" customHeight="1">
      <c r="L667" s="1"/>
      <c r="M667" s="1"/>
    </row>
    <row r="668" spans="12:13" ht="13" customHeight="1">
      <c r="L668" s="1"/>
      <c r="M668" s="1"/>
    </row>
    <row r="669" spans="12:13" ht="13" customHeight="1">
      <c r="L669" s="1"/>
      <c r="M669" s="1"/>
    </row>
    <row r="670" spans="12:13" ht="13" customHeight="1">
      <c r="L670" s="1"/>
      <c r="M670" s="1"/>
    </row>
    <row r="671" spans="12:13" ht="13" customHeight="1">
      <c r="L671" s="1"/>
      <c r="M671" s="1"/>
    </row>
    <row r="672" spans="12:13" ht="13" customHeight="1">
      <c r="L672" s="1"/>
      <c r="M672" s="1"/>
    </row>
    <row r="673" spans="12:13" ht="13" customHeight="1">
      <c r="L673" s="1"/>
      <c r="M673" s="1"/>
    </row>
    <row r="674" spans="12:13" ht="13" customHeight="1">
      <c r="L674" s="1"/>
      <c r="M674" s="1"/>
    </row>
    <row r="675" spans="12:13" ht="13" customHeight="1">
      <c r="L675" s="1"/>
      <c r="M675" s="1"/>
    </row>
    <row r="676" spans="12:13" ht="13" customHeight="1">
      <c r="L676" s="1"/>
      <c r="M676" s="1"/>
    </row>
    <row r="677" spans="12:13" ht="13" customHeight="1">
      <c r="L677" s="1"/>
      <c r="M677" s="1"/>
    </row>
    <row r="678" spans="12:13" ht="13" customHeight="1">
      <c r="L678" s="1"/>
      <c r="M678" s="1"/>
    </row>
    <row r="679" spans="12:13" ht="13" customHeight="1">
      <c r="L679" s="1"/>
      <c r="M679" s="1"/>
    </row>
    <row r="680" spans="12:13" ht="13" customHeight="1">
      <c r="L680" s="1"/>
      <c r="M680" s="1"/>
    </row>
    <row r="681" spans="12:13" ht="13" customHeight="1">
      <c r="L681" s="1"/>
      <c r="M681" s="1"/>
    </row>
    <row r="682" spans="12:13" ht="13" customHeight="1">
      <c r="L682" s="1"/>
      <c r="M682" s="1"/>
    </row>
    <row r="683" spans="12:13" ht="13" customHeight="1">
      <c r="L683" s="1"/>
      <c r="M683" s="1"/>
    </row>
    <row r="684" spans="12:13" ht="13" customHeight="1">
      <c r="L684" s="1"/>
      <c r="M684" s="1"/>
    </row>
    <row r="685" spans="12:13" ht="13" customHeight="1">
      <c r="L685" s="1"/>
      <c r="M685" s="1"/>
    </row>
    <row r="686" spans="12:13" ht="13" customHeight="1">
      <c r="L686" s="1"/>
      <c r="M686" s="1"/>
    </row>
    <row r="687" spans="12:13" ht="13" customHeight="1">
      <c r="L687" s="1"/>
      <c r="M687" s="1"/>
    </row>
    <row r="688" spans="12:13" ht="13" customHeight="1">
      <c r="L688" s="1"/>
      <c r="M688" s="1"/>
    </row>
    <row r="689" spans="12:13" ht="13" customHeight="1">
      <c r="L689" s="1"/>
      <c r="M689" s="1"/>
    </row>
    <row r="690" spans="12:13" ht="13" customHeight="1">
      <c r="L690" s="1"/>
      <c r="M690" s="1"/>
    </row>
    <row r="691" spans="12:13" ht="13" customHeight="1">
      <c r="L691" s="1"/>
      <c r="M691" s="1"/>
    </row>
    <row r="692" spans="12:13" ht="13" customHeight="1">
      <c r="L692" s="1"/>
      <c r="M692" s="1"/>
    </row>
    <row r="693" spans="12:13" ht="13" customHeight="1">
      <c r="L693" s="1"/>
      <c r="M693" s="1"/>
    </row>
    <row r="694" spans="12:13" ht="13" customHeight="1">
      <c r="L694" s="1"/>
      <c r="M694" s="1"/>
    </row>
    <row r="695" spans="12:13" ht="13" customHeight="1">
      <c r="L695" s="1"/>
      <c r="M695" s="1"/>
    </row>
    <row r="696" spans="12:13" ht="13" customHeight="1">
      <c r="L696" s="1"/>
      <c r="M696" s="1"/>
    </row>
    <row r="697" spans="12:13" ht="13" customHeight="1">
      <c r="L697" s="1"/>
      <c r="M697" s="1"/>
    </row>
    <row r="698" spans="12:13" ht="13" customHeight="1">
      <c r="L698" s="1"/>
      <c r="M698" s="1"/>
    </row>
    <row r="699" spans="12:13" ht="13" customHeight="1">
      <c r="L699" s="1"/>
      <c r="M699" s="1"/>
    </row>
    <row r="700" spans="12:13" ht="13" customHeight="1">
      <c r="L700" s="1"/>
      <c r="M700" s="1"/>
    </row>
    <row r="701" spans="12:13" ht="13" customHeight="1">
      <c r="L701" s="1"/>
      <c r="M701" s="1"/>
    </row>
    <row r="702" spans="12:13" ht="13" customHeight="1">
      <c r="L702" s="1"/>
      <c r="M702" s="1"/>
    </row>
    <row r="703" spans="12:13" ht="13" customHeight="1">
      <c r="L703" s="1"/>
      <c r="M703" s="1"/>
    </row>
    <row r="704" spans="12:13" ht="13" customHeight="1">
      <c r="L704" s="1"/>
      <c r="M704" s="1"/>
    </row>
    <row r="705" spans="12:13" ht="13" customHeight="1">
      <c r="L705" s="1"/>
      <c r="M705" s="1"/>
    </row>
    <row r="706" spans="12:13" ht="13" customHeight="1">
      <c r="L706" s="1"/>
      <c r="M706" s="1"/>
    </row>
    <row r="707" spans="12:13" ht="13" customHeight="1">
      <c r="L707" s="1"/>
      <c r="M707" s="1"/>
    </row>
    <row r="708" spans="12:13" ht="13" customHeight="1">
      <c r="L708" s="1"/>
      <c r="M708" s="1"/>
    </row>
    <row r="709" spans="12:13" ht="13" customHeight="1">
      <c r="L709" s="1"/>
      <c r="M709" s="1"/>
    </row>
    <row r="710" spans="12:13" ht="13" customHeight="1">
      <c r="L710" s="1"/>
      <c r="M710" s="1"/>
    </row>
    <row r="711" spans="12:13" ht="13" customHeight="1">
      <c r="L711" s="1"/>
      <c r="M711" s="1"/>
    </row>
    <row r="712" spans="12:13" ht="13" customHeight="1">
      <c r="L712" s="1"/>
      <c r="M712" s="1"/>
    </row>
    <row r="713" spans="12:13" ht="13" customHeight="1">
      <c r="L713" s="1"/>
      <c r="M713" s="1"/>
    </row>
    <row r="714" spans="12:13" ht="13" customHeight="1">
      <c r="L714" s="1"/>
      <c r="M714" s="1"/>
    </row>
    <row r="715" spans="12:13" ht="13" customHeight="1">
      <c r="L715" s="1"/>
      <c r="M715" s="1"/>
    </row>
    <row r="716" spans="12:13" ht="13" customHeight="1">
      <c r="L716" s="1"/>
      <c r="M716" s="1"/>
    </row>
    <row r="717" spans="12:13" ht="13" customHeight="1">
      <c r="L717" s="1"/>
      <c r="M717" s="1"/>
    </row>
    <row r="718" spans="12:13" ht="13" customHeight="1">
      <c r="L718" s="1"/>
      <c r="M718" s="1"/>
    </row>
    <row r="719" spans="12:13" ht="13" customHeight="1">
      <c r="L719" s="1"/>
      <c r="M719" s="1"/>
    </row>
    <row r="720" spans="12:13" ht="13" customHeight="1">
      <c r="L720" s="1"/>
      <c r="M720" s="1"/>
    </row>
    <row r="721" spans="12:13" ht="13" customHeight="1">
      <c r="L721" s="1"/>
      <c r="M721" s="1"/>
    </row>
    <row r="722" spans="12:13" ht="13" customHeight="1">
      <c r="L722" s="1"/>
      <c r="M722" s="1"/>
    </row>
    <row r="723" spans="12:13" ht="13" customHeight="1">
      <c r="L723" s="1"/>
      <c r="M723" s="1"/>
    </row>
    <row r="724" spans="12:13" ht="13" customHeight="1">
      <c r="L724" s="1"/>
      <c r="M724" s="1"/>
    </row>
    <row r="725" spans="12:13" ht="13" customHeight="1">
      <c r="L725" s="1"/>
      <c r="M725" s="1"/>
    </row>
    <row r="726" spans="12:13" ht="13" customHeight="1">
      <c r="L726" s="1"/>
      <c r="M726" s="1"/>
    </row>
    <row r="727" spans="12:13" ht="13" customHeight="1">
      <c r="L727" s="1"/>
      <c r="M727" s="1"/>
    </row>
    <row r="728" spans="12:13" ht="13" customHeight="1">
      <c r="L728" s="1"/>
      <c r="M728" s="1"/>
    </row>
    <row r="729" spans="12:13" ht="13" customHeight="1">
      <c r="L729" s="1"/>
      <c r="M729" s="1"/>
    </row>
    <row r="730" spans="12:13" ht="13" customHeight="1">
      <c r="L730" s="1"/>
      <c r="M730" s="1"/>
    </row>
    <row r="731" spans="12:13" ht="13" customHeight="1">
      <c r="L731" s="1"/>
      <c r="M731" s="1"/>
    </row>
    <row r="732" spans="12:13" ht="13" customHeight="1">
      <c r="L732" s="1"/>
      <c r="M732" s="1"/>
    </row>
    <row r="733" spans="12:13" ht="13" customHeight="1">
      <c r="L733" s="1"/>
      <c r="M733" s="1"/>
    </row>
    <row r="734" spans="12:13" ht="13" customHeight="1">
      <c r="L734" s="1"/>
      <c r="M734" s="1"/>
    </row>
    <row r="735" spans="12:13" ht="13" customHeight="1">
      <c r="L735" s="1"/>
      <c r="M735" s="1"/>
    </row>
    <row r="736" spans="12:13" ht="13" customHeight="1">
      <c r="L736" s="1"/>
      <c r="M736" s="1"/>
    </row>
    <row r="737" spans="12:13" ht="13" customHeight="1">
      <c r="L737" s="1"/>
      <c r="M737" s="1"/>
    </row>
    <row r="738" spans="12:13" ht="13" customHeight="1">
      <c r="L738" s="1"/>
      <c r="M738" s="1"/>
    </row>
    <row r="739" spans="12:13" ht="13" customHeight="1">
      <c r="L739" s="1"/>
      <c r="M739" s="1"/>
    </row>
    <row r="740" spans="12:13" ht="13" customHeight="1">
      <c r="L740" s="1"/>
      <c r="M740" s="1"/>
    </row>
    <row r="741" spans="12:13" ht="13" customHeight="1">
      <c r="L741" s="1"/>
      <c r="M741" s="1"/>
    </row>
    <row r="742" spans="12:13" ht="13" customHeight="1">
      <c r="L742" s="1"/>
      <c r="M742" s="1"/>
    </row>
    <row r="743" spans="12:13" ht="13" customHeight="1">
      <c r="L743" s="1"/>
      <c r="M743" s="1"/>
    </row>
    <row r="744" spans="12:13" ht="13" customHeight="1">
      <c r="L744" s="1"/>
      <c r="M744" s="1"/>
    </row>
    <row r="745" spans="12:13" ht="13" customHeight="1">
      <c r="L745" s="1"/>
      <c r="M745" s="1"/>
    </row>
    <row r="746" spans="12:13" ht="13" customHeight="1">
      <c r="L746" s="1"/>
      <c r="M746" s="1"/>
    </row>
    <row r="747" spans="12:13" ht="13" customHeight="1">
      <c r="L747" s="1"/>
      <c r="M747" s="1"/>
    </row>
    <row r="748" spans="12:13" ht="13" customHeight="1">
      <c r="L748" s="1"/>
      <c r="M748" s="1"/>
    </row>
    <row r="749" spans="12:13" ht="13" customHeight="1">
      <c r="L749" s="1"/>
      <c r="M749" s="1"/>
    </row>
    <row r="750" spans="12:13" ht="13" customHeight="1">
      <c r="L750" s="1"/>
      <c r="M750" s="1"/>
    </row>
    <row r="751" spans="12:13" ht="13" customHeight="1">
      <c r="L751" s="1"/>
      <c r="M751" s="1"/>
    </row>
    <row r="752" spans="12:13" ht="13" customHeight="1">
      <c r="L752" s="1"/>
      <c r="M752" s="1"/>
    </row>
    <row r="753" spans="12:13" ht="13" customHeight="1">
      <c r="L753" s="1"/>
      <c r="M753" s="1"/>
    </row>
    <row r="754" spans="12:13" ht="13" customHeight="1">
      <c r="L754" s="1"/>
      <c r="M754" s="1"/>
    </row>
    <row r="755" spans="12:13" ht="13" customHeight="1">
      <c r="L755" s="1"/>
      <c r="M755" s="1"/>
    </row>
    <row r="756" spans="12:13" ht="13" customHeight="1">
      <c r="L756" s="1"/>
      <c r="M756" s="1"/>
    </row>
    <row r="757" spans="12:13" ht="13" customHeight="1">
      <c r="L757" s="1"/>
      <c r="M757" s="1"/>
    </row>
    <row r="758" spans="12:13" ht="13" customHeight="1">
      <c r="L758" s="1"/>
      <c r="M758" s="1"/>
    </row>
    <row r="759" spans="12:13" ht="13" customHeight="1">
      <c r="L759" s="1"/>
      <c r="M759" s="1"/>
    </row>
    <row r="760" spans="12:13" ht="13" customHeight="1">
      <c r="L760" s="1"/>
      <c r="M760" s="1"/>
    </row>
    <row r="761" spans="12:13" ht="13" customHeight="1">
      <c r="L761" s="1"/>
      <c r="M761" s="1"/>
    </row>
    <row r="762" spans="12:13" ht="13" customHeight="1">
      <c r="L762" s="1"/>
      <c r="M762" s="1"/>
    </row>
    <row r="763" spans="12:13" ht="13" customHeight="1">
      <c r="L763" s="1"/>
      <c r="M763" s="1"/>
    </row>
    <row r="764" spans="12:13" ht="13" customHeight="1">
      <c r="L764" s="1"/>
      <c r="M764" s="1"/>
    </row>
    <row r="765" spans="12:13" ht="13" customHeight="1">
      <c r="L765" s="1"/>
      <c r="M765" s="1"/>
    </row>
    <row r="766" spans="12:13" ht="13" customHeight="1">
      <c r="L766" s="1"/>
      <c r="M766" s="1"/>
    </row>
    <row r="767" spans="12:13" ht="13" customHeight="1">
      <c r="L767" s="1"/>
      <c r="M767" s="1"/>
    </row>
    <row r="768" spans="12:13" ht="13" customHeight="1">
      <c r="L768" s="1"/>
      <c r="M768" s="1"/>
    </row>
    <row r="769" spans="12:13" ht="13" customHeight="1">
      <c r="L769" s="1"/>
      <c r="M769" s="1"/>
    </row>
    <row r="770" spans="12:13" ht="13" customHeight="1">
      <c r="L770" s="1"/>
      <c r="M770" s="1"/>
    </row>
    <row r="771" spans="12:13" ht="13" customHeight="1">
      <c r="L771" s="1"/>
      <c r="M771" s="1"/>
    </row>
    <row r="772" spans="12:13" ht="13" customHeight="1">
      <c r="L772" s="1"/>
      <c r="M772" s="1"/>
    </row>
    <row r="773" spans="12:13" ht="13" customHeight="1">
      <c r="L773" s="1"/>
      <c r="M773" s="1"/>
    </row>
    <row r="774" spans="12:13" ht="13" customHeight="1">
      <c r="L774" s="1"/>
      <c r="M774" s="1"/>
    </row>
    <row r="775" spans="12:13" ht="13" customHeight="1">
      <c r="L775" s="1"/>
      <c r="M775" s="1"/>
    </row>
    <row r="776" spans="12:13" ht="13" customHeight="1">
      <c r="L776" s="1"/>
      <c r="M776" s="1"/>
    </row>
    <row r="777" spans="12:13" ht="13" customHeight="1">
      <c r="L777" s="1"/>
      <c r="M777" s="1"/>
    </row>
    <row r="778" spans="12:13" ht="13" customHeight="1">
      <c r="L778" s="1"/>
      <c r="M778" s="1"/>
    </row>
    <row r="779" spans="12:13" ht="13" customHeight="1">
      <c r="L779" s="1"/>
      <c r="M779" s="1"/>
    </row>
    <row r="780" spans="12:13" ht="13" customHeight="1">
      <c r="L780" s="1"/>
      <c r="M780" s="1"/>
    </row>
    <row r="781" spans="12:13" ht="13" customHeight="1">
      <c r="L781" s="1"/>
      <c r="M781" s="1"/>
    </row>
    <row r="782" spans="12:13" ht="13" customHeight="1">
      <c r="L782" s="1"/>
      <c r="M782" s="1"/>
    </row>
    <row r="783" spans="12:13" ht="13" customHeight="1">
      <c r="L783" s="1"/>
      <c r="M783" s="1"/>
    </row>
    <row r="784" spans="12:13" ht="13" customHeight="1">
      <c r="L784" s="1"/>
      <c r="M784" s="1"/>
    </row>
    <row r="785" spans="12:13" ht="13" customHeight="1">
      <c r="L785" s="1"/>
      <c r="M785" s="1"/>
    </row>
    <row r="786" spans="12:13" ht="13" customHeight="1">
      <c r="L786" s="1"/>
      <c r="M786" s="1"/>
    </row>
    <row r="787" spans="12:13" ht="13" customHeight="1">
      <c r="L787" s="1"/>
      <c r="M787" s="1"/>
    </row>
    <row r="788" spans="12:13" ht="13" customHeight="1">
      <c r="L788" s="1"/>
      <c r="M788" s="1"/>
    </row>
    <row r="789" spans="12:13" ht="13" customHeight="1">
      <c r="L789" s="1"/>
      <c r="M789" s="1"/>
    </row>
    <row r="790" spans="12:13" ht="13" customHeight="1">
      <c r="L790" s="1"/>
      <c r="M790" s="1"/>
    </row>
    <row r="791" spans="12:13" ht="13" customHeight="1">
      <c r="L791" s="1"/>
      <c r="M791" s="1"/>
    </row>
    <row r="792" spans="12:13" ht="13" customHeight="1">
      <c r="L792" s="1"/>
      <c r="M792" s="1"/>
    </row>
    <row r="793" spans="12:13" ht="13" customHeight="1">
      <c r="L793" s="1"/>
      <c r="M793" s="1"/>
    </row>
    <row r="794" spans="12:13" ht="13" customHeight="1">
      <c r="L794" s="1"/>
      <c r="M794" s="1"/>
    </row>
    <row r="795" spans="12:13" ht="13" customHeight="1">
      <c r="L795" s="1"/>
      <c r="M795" s="1"/>
    </row>
    <row r="796" spans="12:13" ht="13" customHeight="1">
      <c r="L796" s="1"/>
      <c r="M796" s="1"/>
    </row>
    <row r="797" spans="12:13" ht="13" customHeight="1">
      <c r="L797" s="1"/>
      <c r="M797" s="1"/>
    </row>
    <row r="798" spans="12:13" ht="13" customHeight="1">
      <c r="L798" s="1"/>
      <c r="M798" s="1"/>
    </row>
    <row r="799" spans="12:13" ht="13" customHeight="1">
      <c r="L799" s="1"/>
      <c r="M799" s="1"/>
    </row>
    <row r="800" spans="12:13" ht="13" customHeight="1">
      <c r="L800" s="1"/>
      <c r="M800" s="1"/>
    </row>
    <row r="801" spans="12:13" ht="13" customHeight="1">
      <c r="L801" s="1"/>
      <c r="M801" s="1"/>
    </row>
    <row r="802" spans="12:13" ht="13" customHeight="1">
      <c r="L802" s="1"/>
      <c r="M802" s="1"/>
    </row>
    <row r="803" spans="12:13" ht="13" customHeight="1">
      <c r="L803" s="1"/>
      <c r="M803" s="1"/>
    </row>
    <row r="804" spans="12:13" ht="13" customHeight="1">
      <c r="L804" s="1"/>
      <c r="M804" s="1"/>
    </row>
    <row r="805" spans="12:13" ht="13" customHeight="1">
      <c r="L805" s="1"/>
      <c r="M805" s="1"/>
    </row>
    <row r="806" spans="12:13" ht="13" customHeight="1">
      <c r="L806" s="1"/>
      <c r="M806" s="1"/>
    </row>
    <row r="807" spans="12:13" ht="13" customHeight="1">
      <c r="L807" s="1"/>
      <c r="M807" s="1"/>
    </row>
    <row r="808" spans="12:13" ht="13" customHeight="1">
      <c r="L808" s="1"/>
      <c r="M808" s="1"/>
    </row>
    <row r="809" spans="12:13" ht="13" customHeight="1">
      <c r="L809" s="1"/>
      <c r="M809" s="1"/>
    </row>
    <row r="810" spans="12:13" ht="13" customHeight="1">
      <c r="L810" s="1"/>
      <c r="M810" s="1"/>
    </row>
    <row r="811" spans="12:13" ht="13" customHeight="1">
      <c r="L811" s="1"/>
      <c r="M811" s="1"/>
    </row>
    <row r="812" spans="12:13" ht="13" customHeight="1">
      <c r="L812" s="1"/>
      <c r="M812" s="1"/>
    </row>
    <row r="813" spans="12:13" ht="13" customHeight="1">
      <c r="L813" s="1"/>
      <c r="M813" s="1"/>
    </row>
    <row r="814" spans="12:13" ht="13" customHeight="1">
      <c r="L814" s="1"/>
      <c r="M814" s="1"/>
    </row>
    <row r="815" spans="12:13" ht="13" customHeight="1">
      <c r="L815" s="1"/>
      <c r="M815" s="1"/>
    </row>
    <row r="816" spans="12:13" ht="13" customHeight="1">
      <c r="L816" s="1"/>
      <c r="M816" s="1"/>
    </row>
    <row r="817" spans="12:13" ht="13" customHeight="1">
      <c r="L817" s="1"/>
      <c r="M817" s="1"/>
    </row>
    <row r="818" spans="12:13" ht="13" customHeight="1">
      <c r="L818" s="1"/>
      <c r="M818" s="1"/>
    </row>
    <row r="819" spans="12:13" ht="13" customHeight="1">
      <c r="L819" s="1"/>
      <c r="M819" s="1"/>
    </row>
    <row r="820" spans="12:13" ht="13" customHeight="1">
      <c r="L820" s="1"/>
      <c r="M820" s="1"/>
    </row>
    <row r="821" spans="12:13" ht="13" customHeight="1">
      <c r="L821" s="1"/>
      <c r="M821" s="1"/>
    </row>
    <row r="822" spans="12:13" ht="13" customHeight="1">
      <c r="L822" s="1"/>
      <c r="M822" s="1"/>
    </row>
    <row r="823" spans="12:13" ht="13" customHeight="1">
      <c r="L823" s="1"/>
      <c r="M823" s="1"/>
    </row>
    <row r="824" spans="12:13" ht="13" customHeight="1">
      <c r="L824" s="1"/>
      <c r="M824" s="1"/>
    </row>
    <row r="825" spans="12:13" ht="13" customHeight="1">
      <c r="L825" s="1"/>
      <c r="M825" s="1"/>
    </row>
    <row r="826" spans="12:13" ht="13" customHeight="1">
      <c r="L826" s="1"/>
      <c r="M826" s="1"/>
    </row>
    <row r="827" spans="12:13" ht="13" customHeight="1">
      <c r="L827" s="1"/>
      <c r="M827" s="1"/>
    </row>
    <row r="828" spans="12:13" ht="13" customHeight="1">
      <c r="L828" s="1"/>
      <c r="M828" s="1"/>
    </row>
    <row r="829" spans="12:13" ht="13" customHeight="1">
      <c r="L829" s="1"/>
      <c r="M829" s="1"/>
    </row>
    <row r="830" spans="12:13" ht="13" customHeight="1">
      <c r="L830" s="1"/>
      <c r="M830" s="1"/>
    </row>
    <row r="831" spans="12:13" ht="13" customHeight="1">
      <c r="L831" s="1"/>
      <c r="M831" s="1"/>
    </row>
    <row r="832" spans="12:13" ht="13" customHeight="1">
      <c r="L832" s="1"/>
      <c r="M832" s="1"/>
    </row>
    <row r="833" spans="12:13" ht="13" customHeight="1">
      <c r="L833" s="1"/>
      <c r="M833" s="1"/>
    </row>
    <row r="834" spans="12:13" ht="13" customHeight="1">
      <c r="L834" s="1"/>
      <c r="M834" s="1"/>
    </row>
    <row r="835" spans="12:13" ht="13" customHeight="1">
      <c r="L835" s="1"/>
      <c r="M835" s="1"/>
    </row>
    <row r="836" spans="12:13" ht="13" customHeight="1">
      <c r="L836" s="1"/>
      <c r="M836" s="1"/>
    </row>
    <row r="837" spans="12:13" ht="13" customHeight="1">
      <c r="L837" s="1"/>
      <c r="M837" s="1"/>
    </row>
    <row r="838" spans="12:13" ht="13" customHeight="1">
      <c r="L838" s="1"/>
      <c r="M838" s="1"/>
    </row>
    <row r="839" spans="12:13" ht="13" customHeight="1">
      <c r="L839" s="1"/>
      <c r="M839" s="1"/>
    </row>
    <row r="840" spans="12:13" ht="13" customHeight="1">
      <c r="L840" s="1"/>
      <c r="M840" s="1"/>
    </row>
    <row r="841" spans="12:13" ht="13" customHeight="1">
      <c r="L841" s="1"/>
      <c r="M841" s="1"/>
    </row>
    <row r="842" spans="12:13" ht="13" customHeight="1">
      <c r="L842" s="1"/>
      <c r="M842" s="1"/>
    </row>
    <row r="843" spans="12:13" ht="13" customHeight="1">
      <c r="L843" s="1"/>
      <c r="M843" s="1"/>
    </row>
    <row r="844" spans="12:13" ht="13" customHeight="1">
      <c r="L844" s="1"/>
      <c r="M844" s="1"/>
    </row>
    <row r="845" spans="12:13" ht="13" customHeight="1">
      <c r="L845" s="1"/>
      <c r="M845" s="1"/>
    </row>
    <row r="846" spans="12:13" ht="13" customHeight="1">
      <c r="L846" s="1"/>
      <c r="M846" s="1"/>
    </row>
    <row r="847" spans="12:13" ht="13" customHeight="1">
      <c r="L847" s="1"/>
      <c r="M847" s="1"/>
    </row>
    <row r="848" spans="12:13" ht="13" customHeight="1">
      <c r="L848" s="1"/>
      <c r="M848" s="1"/>
    </row>
    <row r="849" spans="12:13" ht="13" customHeight="1">
      <c r="L849" s="1"/>
      <c r="M849" s="1"/>
    </row>
    <row r="850" spans="12:13" ht="13" customHeight="1">
      <c r="L850" s="1"/>
      <c r="M850" s="1"/>
    </row>
    <row r="851" spans="12:13" ht="13" customHeight="1">
      <c r="L851" s="1"/>
      <c r="M851" s="1"/>
    </row>
    <row r="852" spans="12:13" ht="13" customHeight="1">
      <c r="L852" s="1"/>
      <c r="M852" s="1"/>
    </row>
    <row r="853" spans="12:13" ht="13" customHeight="1">
      <c r="L853" s="1"/>
      <c r="M853" s="1"/>
    </row>
    <row r="854" spans="12:13" ht="13" customHeight="1">
      <c r="L854" s="1"/>
      <c r="M854" s="1"/>
    </row>
    <row r="855" spans="12:13" ht="13" customHeight="1">
      <c r="L855" s="1"/>
      <c r="M855" s="1"/>
    </row>
    <row r="856" spans="12:13" ht="13" customHeight="1">
      <c r="L856" s="1"/>
      <c r="M856" s="1"/>
    </row>
    <row r="857" spans="12:13" ht="13" customHeight="1">
      <c r="L857" s="1"/>
      <c r="M857" s="1"/>
    </row>
    <row r="858" spans="12:13" ht="13" customHeight="1">
      <c r="L858" s="1"/>
      <c r="M858" s="1"/>
    </row>
    <row r="859" spans="12:13" ht="13" customHeight="1">
      <c r="L859" s="1"/>
      <c r="M859" s="1"/>
    </row>
    <row r="860" spans="12:13" ht="13" customHeight="1">
      <c r="L860" s="1"/>
      <c r="M860" s="1"/>
    </row>
    <row r="861" spans="12:13" ht="13" customHeight="1">
      <c r="L861" s="1"/>
      <c r="M861" s="1"/>
    </row>
    <row r="862" spans="12:13" ht="13" customHeight="1">
      <c r="L862" s="1"/>
      <c r="M862" s="1"/>
    </row>
    <row r="863" spans="12:13" ht="13" customHeight="1">
      <c r="L863" s="1"/>
      <c r="M863" s="1"/>
    </row>
    <row r="864" spans="12:13" ht="13" customHeight="1">
      <c r="L864" s="1"/>
      <c r="M864" s="1"/>
    </row>
    <row r="865" spans="12:13" ht="13" customHeight="1">
      <c r="L865" s="1"/>
      <c r="M865" s="1"/>
    </row>
    <row r="866" spans="12:13" ht="13" customHeight="1">
      <c r="L866" s="1"/>
      <c r="M866" s="1"/>
    </row>
    <row r="867" spans="12:13" ht="13" customHeight="1">
      <c r="L867" s="1"/>
      <c r="M867" s="1"/>
    </row>
    <row r="868" spans="12:13" ht="13" customHeight="1">
      <c r="L868" s="1"/>
      <c r="M868" s="1"/>
    </row>
    <row r="869" spans="12:13" ht="13" customHeight="1">
      <c r="L869" s="1"/>
      <c r="M869" s="1"/>
    </row>
    <row r="870" spans="12:13" ht="13" customHeight="1">
      <c r="L870" s="1"/>
      <c r="M870" s="1"/>
    </row>
    <row r="871" spans="12:13" ht="13" customHeight="1">
      <c r="L871" s="1"/>
      <c r="M871" s="1"/>
    </row>
    <row r="872" spans="12:13" ht="13" customHeight="1">
      <c r="L872" s="1"/>
      <c r="M872" s="1"/>
    </row>
    <row r="873" spans="12:13" ht="13" customHeight="1">
      <c r="L873" s="1"/>
      <c r="M873" s="1"/>
    </row>
    <row r="874" spans="12:13" ht="13" customHeight="1">
      <c r="L874" s="1"/>
      <c r="M874" s="1"/>
    </row>
    <row r="875" spans="12:13" ht="13" customHeight="1">
      <c r="L875" s="1"/>
      <c r="M875" s="1"/>
    </row>
    <row r="876" spans="12:13" ht="13" customHeight="1">
      <c r="L876" s="1"/>
      <c r="M876" s="1"/>
    </row>
    <row r="877" spans="12:13" ht="13" customHeight="1">
      <c r="L877" s="1"/>
      <c r="M877" s="1"/>
    </row>
    <row r="878" spans="12:13" ht="13" customHeight="1">
      <c r="L878" s="1"/>
      <c r="M878" s="1"/>
    </row>
    <row r="879" spans="12:13" ht="13" customHeight="1">
      <c r="L879" s="1"/>
      <c r="M879" s="1"/>
    </row>
    <row r="880" spans="12:13" ht="13" customHeight="1">
      <c r="L880" s="1"/>
      <c r="M880" s="1"/>
    </row>
    <row r="881" spans="12:13" ht="13" customHeight="1">
      <c r="L881" s="1"/>
      <c r="M881" s="1"/>
    </row>
    <row r="882" spans="12:13" ht="13" customHeight="1">
      <c r="L882" s="1"/>
      <c r="M882" s="1"/>
    </row>
    <row r="883" spans="12:13" ht="13" customHeight="1">
      <c r="L883" s="1"/>
      <c r="M883" s="1"/>
    </row>
    <row r="884" spans="12:13" ht="13" customHeight="1">
      <c r="L884" s="1"/>
      <c r="M884" s="1"/>
    </row>
    <row r="885" spans="12:13" ht="13" customHeight="1">
      <c r="L885" s="1"/>
      <c r="M885" s="1"/>
    </row>
    <row r="886" spans="12:13" ht="13" customHeight="1">
      <c r="L886" s="1"/>
      <c r="M886" s="1"/>
    </row>
    <row r="887" spans="12:13" ht="13" customHeight="1">
      <c r="L887" s="1"/>
      <c r="M887" s="1"/>
    </row>
    <row r="888" spans="12:13" ht="13" customHeight="1">
      <c r="L888" s="1"/>
      <c r="M888" s="1"/>
    </row>
    <row r="889" spans="12:13" ht="13" customHeight="1">
      <c r="L889" s="1"/>
      <c r="M889" s="1"/>
    </row>
    <row r="890" spans="12:13" ht="13" customHeight="1">
      <c r="L890" s="1"/>
      <c r="M890" s="1"/>
    </row>
    <row r="891" spans="12:13" ht="13" customHeight="1">
      <c r="L891" s="1"/>
      <c r="M891" s="1"/>
    </row>
    <row r="892" spans="12:13" ht="13" customHeight="1">
      <c r="L892" s="1"/>
      <c r="M892" s="1"/>
    </row>
    <row r="893" spans="12:13" ht="13" customHeight="1">
      <c r="L893" s="1"/>
      <c r="M893" s="1"/>
    </row>
    <row r="894" spans="12:13" ht="13" customHeight="1">
      <c r="L894" s="1"/>
      <c r="M894" s="1"/>
    </row>
    <row r="895" spans="12:13" ht="13" customHeight="1">
      <c r="L895" s="1"/>
      <c r="M895" s="1"/>
    </row>
    <row r="896" spans="12:13" ht="13" customHeight="1">
      <c r="L896" s="1"/>
      <c r="M896" s="1"/>
    </row>
    <row r="897" spans="12:13" ht="13" customHeight="1">
      <c r="L897" s="1"/>
      <c r="M897" s="1"/>
    </row>
    <row r="898" spans="12:13" ht="13" customHeight="1">
      <c r="L898" s="1"/>
      <c r="M898" s="1"/>
    </row>
    <row r="899" spans="12:13" ht="13" customHeight="1">
      <c r="L899" s="1"/>
      <c r="M899" s="1"/>
    </row>
    <row r="900" spans="12:13" ht="13" customHeight="1">
      <c r="L900" s="1"/>
      <c r="M900" s="1"/>
    </row>
    <row r="901" spans="12:13" ht="13" customHeight="1">
      <c r="L901" s="1"/>
      <c r="M901" s="1"/>
    </row>
    <row r="902" spans="12:13" ht="13" customHeight="1">
      <c r="L902" s="1"/>
      <c r="M902" s="1"/>
    </row>
    <row r="903" spans="12:13" ht="13" customHeight="1">
      <c r="L903" s="1"/>
      <c r="M903" s="1"/>
    </row>
    <row r="904" spans="12:13" ht="13" customHeight="1">
      <c r="L904" s="1"/>
      <c r="M904" s="1"/>
    </row>
    <row r="905" spans="12:13" ht="13" customHeight="1">
      <c r="L905" s="1"/>
      <c r="M905" s="1"/>
    </row>
    <row r="906" spans="12:13" ht="13" customHeight="1">
      <c r="L906" s="1"/>
      <c r="M906" s="1"/>
    </row>
    <row r="907" spans="12:13" ht="13" customHeight="1">
      <c r="L907" s="1"/>
      <c r="M907" s="1"/>
    </row>
    <row r="908" spans="12:13" ht="13" customHeight="1">
      <c r="L908" s="1"/>
      <c r="M908" s="1"/>
    </row>
    <row r="909" spans="12:13" ht="13" customHeight="1">
      <c r="L909" s="1"/>
      <c r="M909" s="1"/>
    </row>
    <row r="910" spans="12:13" ht="13" customHeight="1">
      <c r="L910" s="1"/>
      <c r="M910" s="1"/>
    </row>
    <row r="911" spans="12:13" ht="13" customHeight="1">
      <c r="L911" s="1"/>
      <c r="M911" s="1"/>
    </row>
    <row r="912" spans="12:13" ht="13" customHeight="1">
      <c r="L912" s="1"/>
      <c r="M912" s="1"/>
    </row>
    <row r="913" spans="12:13" ht="13" customHeight="1">
      <c r="L913" s="1"/>
      <c r="M913" s="1"/>
    </row>
    <row r="914" spans="12:13" ht="13" customHeight="1">
      <c r="L914" s="1"/>
      <c r="M914" s="1"/>
    </row>
    <row r="915" spans="12:13" ht="13" customHeight="1">
      <c r="L915" s="1"/>
      <c r="M915" s="1"/>
    </row>
    <row r="916" spans="12:13" ht="13" customHeight="1">
      <c r="L916" s="1"/>
      <c r="M916" s="1"/>
    </row>
    <row r="917" spans="12:13" ht="13" customHeight="1">
      <c r="L917" s="1"/>
      <c r="M917" s="1"/>
    </row>
    <row r="918" spans="12:13" ht="13" customHeight="1">
      <c r="L918" s="1"/>
      <c r="M918" s="1"/>
    </row>
    <row r="919" spans="12:13" ht="13" customHeight="1">
      <c r="L919" s="1"/>
      <c r="M919" s="1"/>
    </row>
    <row r="920" spans="12:13" ht="13" customHeight="1">
      <c r="L920" s="1"/>
      <c r="M920" s="1"/>
    </row>
    <row r="921" spans="12:13" ht="13" customHeight="1">
      <c r="L921" s="1"/>
      <c r="M921" s="1"/>
    </row>
    <row r="922" spans="12:13" ht="13" customHeight="1">
      <c r="L922" s="1"/>
      <c r="M922" s="1"/>
    </row>
    <row r="923" spans="12:13" ht="13" customHeight="1">
      <c r="L923" s="1"/>
      <c r="M923" s="1"/>
    </row>
    <row r="924" spans="12:13" ht="13" customHeight="1">
      <c r="L924" s="1"/>
      <c r="M924" s="1"/>
    </row>
    <row r="925" spans="12:13" ht="13" customHeight="1">
      <c r="L925" s="1"/>
      <c r="M925" s="1"/>
    </row>
    <row r="926" spans="12:13" ht="13" customHeight="1">
      <c r="L926" s="1"/>
      <c r="M926" s="1"/>
    </row>
    <row r="927" spans="12:13" ht="13" customHeight="1">
      <c r="L927" s="1"/>
      <c r="M927" s="1"/>
    </row>
    <row r="928" spans="12:13" ht="13" customHeight="1">
      <c r="L928" s="1"/>
      <c r="M928" s="1"/>
    </row>
    <row r="929" spans="12:13" ht="13" customHeight="1">
      <c r="L929" s="1"/>
      <c r="M929" s="1"/>
    </row>
    <row r="930" spans="12:13" ht="13" customHeight="1">
      <c r="L930" s="1"/>
      <c r="M930" s="1"/>
    </row>
    <row r="931" spans="12:13" ht="13" customHeight="1">
      <c r="L931" s="1"/>
      <c r="M931" s="1"/>
    </row>
    <row r="932" spans="12:13" ht="13" customHeight="1">
      <c r="L932" s="1"/>
      <c r="M932" s="1"/>
    </row>
    <row r="933" spans="12:13" ht="13" customHeight="1">
      <c r="L933" s="1"/>
      <c r="M933" s="1"/>
    </row>
    <row r="934" spans="12:13" ht="13" customHeight="1">
      <c r="L934" s="1"/>
      <c r="M934" s="1"/>
    </row>
    <row r="935" spans="12:13" ht="13" customHeight="1">
      <c r="L935" s="1"/>
      <c r="M935" s="1"/>
    </row>
    <row r="936" spans="12:13" ht="13" customHeight="1">
      <c r="L936" s="1"/>
      <c r="M936" s="1"/>
    </row>
    <row r="937" spans="12:13" ht="13" customHeight="1">
      <c r="L937" s="1"/>
      <c r="M937" s="1"/>
    </row>
    <row r="938" spans="12:13" ht="13" customHeight="1">
      <c r="L938" s="1"/>
      <c r="M938" s="1"/>
    </row>
    <row r="939" spans="12:13" ht="13" customHeight="1">
      <c r="L939" s="1"/>
      <c r="M939" s="1"/>
    </row>
    <row r="940" spans="12:13" ht="13" customHeight="1">
      <c r="L940" s="1"/>
      <c r="M940" s="1"/>
    </row>
    <row r="941" spans="12:13" ht="13" customHeight="1">
      <c r="L941" s="1"/>
      <c r="M941" s="1"/>
    </row>
    <row r="942" spans="12:13" ht="13" customHeight="1">
      <c r="L942" s="1"/>
      <c r="M942" s="1"/>
    </row>
    <row r="943" spans="12:13" ht="13" customHeight="1">
      <c r="L943" s="1"/>
      <c r="M943" s="1"/>
    </row>
    <row r="944" spans="12:13" ht="13" customHeight="1">
      <c r="L944" s="1"/>
      <c r="M944" s="1"/>
    </row>
    <row r="945" spans="12:13" ht="13" customHeight="1">
      <c r="L945" s="1"/>
      <c r="M945" s="1"/>
    </row>
    <row r="946" spans="12:13" ht="13" customHeight="1">
      <c r="L946" s="1"/>
      <c r="M946" s="1"/>
    </row>
    <row r="947" spans="12:13" ht="13" customHeight="1">
      <c r="L947" s="1"/>
      <c r="M947" s="1"/>
    </row>
    <row r="948" spans="12:13" ht="13" customHeight="1">
      <c r="L948" s="1"/>
      <c r="M948" s="1"/>
    </row>
    <row r="949" spans="12:13" ht="13" customHeight="1">
      <c r="L949" s="1"/>
      <c r="M949" s="1"/>
    </row>
    <row r="950" spans="12:13" ht="13" customHeight="1">
      <c r="L950" s="1"/>
      <c r="M950" s="1"/>
    </row>
    <row r="951" spans="12:13" ht="13" customHeight="1">
      <c r="L951" s="1"/>
      <c r="M951" s="1"/>
    </row>
    <row r="952" spans="12:13" ht="13" customHeight="1">
      <c r="L952" s="1"/>
      <c r="M952" s="1"/>
    </row>
    <row r="953" spans="12:13" ht="13" customHeight="1">
      <c r="L953" s="1"/>
      <c r="M953" s="1"/>
    </row>
    <row r="954" spans="12:13" ht="13" customHeight="1">
      <c r="L954" s="1"/>
      <c r="M954" s="1"/>
    </row>
    <row r="955" spans="12:13" ht="13" customHeight="1">
      <c r="L955" s="1"/>
      <c r="M955" s="1"/>
    </row>
    <row r="956" spans="12:13" ht="13" customHeight="1">
      <c r="L956" s="1"/>
      <c r="M956" s="1"/>
    </row>
    <row r="957" spans="12:13" ht="13" customHeight="1">
      <c r="L957" s="1"/>
      <c r="M957" s="1"/>
    </row>
    <row r="958" spans="12:13" ht="13" customHeight="1">
      <c r="L958" s="1"/>
      <c r="M958" s="1"/>
    </row>
    <row r="959" spans="12:13" ht="13" customHeight="1">
      <c r="L959" s="1"/>
      <c r="M959" s="1"/>
    </row>
    <row r="960" spans="12:13" ht="13" customHeight="1">
      <c r="L960" s="1"/>
      <c r="M960" s="1"/>
    </row>
    <row r="961" spans="12:13" ht="13" customHeight="1">
      <c r="L961" s="1"/>
      <c r="M961" s="1"/>
    </row>
    <row r="962" spans="12:13" ht="13" customHeight="1">
      <c r="L962" s="1"/>
      <c r="M962" s="1"/>
    </row>
    <row r="963" spans="12:13" ht="13" customHeight="1">
      <c r="L963" s="1"/>
      <c r="M963" s="1"/>
    </row>
    <row r="964" spans="12:13" ht="13" customHeight="1">
      <c r="L964" s="1"/>
      <c r="M964" s="1"/>
    </row>
    <row r="965" spans="12:13" ht="13" customHeight="1">
      <c r="L965" s="1"/>
      <c r="M965" s="1"/>
    </row>
    <row r="966" spans="12:13" ht="13" customHeight="1">
      <c r="L966" s="1"/>
      <c r="M966" s="1"/>
    </row>
    <row r="967" spans="12:13" ht="13" customHeight="1">
      <c r="L967" s="1"/>
      <c r="M967" s="1"/>
    </row>
    <row r="968" spans="12:13" ht="13" customHeight="1">
      <c r="L968" s="1"/>
      <c r="M968" s="1"/>
    </row>
    <row r="969" spans="12:13" ht="13" customHeight="1">
      <c r="L969" s="1"/>
      <c r="M969" s="1"/>
    </row>
    <row r="970" spans="12:13" ht="13" customHeight="1">
      <c r="L970" s="1"/>
      <c r="M970" s="1"/>
    </row>
    <row r="971" spans="12:13" ht="13" customHeight="1">
      <c r="L971" s="1"/>
      <c r="M971" s="1"/>
    </row>
    <row r="972" spans="12:13" ht="13" customHeight="1">
      <c r="L972" s="1"/>
      <c r="M972" s="1"/>
    </row>
    <row r="973" spans="12:13" ht="13" customHeight="1">
      <c r="L973" s="1"/>
      <c r="M973" s="1"/>
    </row>
    <row r="974" spans="12:13" ht="13" customHeight="1">
      <c r="L974" s="1"/>
      <c r="M974" s="1"/>
    </row>
    <row r="975" spans="12:13" ht="13" customHeight="1">
      <c r="L975" s="1"/>
      <c r="M975" s="1"/>
    </row>
    <row r="976" spans="12:13" ht="13" customHeight="1">
      <c r="L976" s="1"/>
      <c r="M976" s="1"/>
    </row>
    <row r="977" spans="12:13" ht="13" customHeight="1">
      <c r="L977" s="1"/>
      <c r="M977" s="1"/>
    </row>
    <row r="978" spans="12:13" ht="13" customHeight="1">
      <c r="L978" s="1"/>
      <c r="M978" s="1"/>
    </row>
    <row r="979" spans="12:13" ht="13" customHeight="1">
      <c r="L979" s="1"/>
      <c r="M979" s="1"/>
    </row>
    <row r="980" spans="12:13" ht="13" customHeight="1">
      <c r="L980" s="1"/>
      <c r="M980" s="1"/>
    </row>
    <row r="981" spans="12:13" ht="13" customHeight="1">
      <c r="L981" s="1"/>
      <c r="M981" s="1"/>
    </row>
    <row r="982" spans="12:13" ht="13" customHeight="1">
      <c r="L982" s="1"/>
      <c r="M982" s="1"/>
    </row>
    <row r="983" spans="12:13" ht="13" customHeight="1">
      <c r="L983" s="1"/>
      <c r="M983" s="1"/>
    </row>
    <row r="984" spans="12:13" ht="13" customHeight="1">
      <c r="L984" s="1"/>
      <c r="M984" s="1"/>
    </row>
    <row r="985" spans="12:13" ht="13" customHeight="1">
      <c r="L985" s="1"/>
      <c r="M985" s="1"/>
    </row>
    <row r="986" spans="12:13" ht="13" customHeight="1">
      <c r="L986" s="1"/>
      <c r="M986" s="1"/>
    </row>
    <row r="987" spans="12:13" ht="13" customHeight="1">
      <c r="L987" s="1"/>
      <c r="M987" s="1"/>
    </row>
    <row r="988" spans="12:13" ht="13" customHeight="1">
      <c r="L988" s="1"/>
      <c r="M988" s="1"/>
    </row>
    <row r="989" spans="12:13" ht="13" customHeight="1">
      <c r="L989" s="1"/>
      <c r="M989" s="1"/>
    </row>
    <row r="990" spans="12:13" ht="13" customHeight="1">
      <c r="L990" s="1"/>
      <c r="M990" s="1"/>
    </row>
    <row r="991" spans="12:13" ht="13" customHeight="1">
      <c r="L991" s="1"/>
      <c r="M991" s="1"/>
    </row>
    <row r="992" spans="12:13" ht="13" customHeight="1">
      <c r="L992" s="1"/>
      <c r="M992" s="1"/>
    </row>
    <row r="993" spans="12:13" ht="13" customHeight="1">
      <c r="L993" s="1"/>
      <c r="M993" s="1"/>
    </row>
    <row r="994" spans="12:13" ht="13" customHeight="1">
      <c r="L994" s="1"/>
      <c r="M994" s="1"/>
    </row>
    <row r="995" spans="12:13" ht="13" customHeight="1">
      <c r="L995" s="1"/>
      <c r="M995" s="1"/>
    </row>
    <row r="996" spans="12:13" ht="13" customHeight="1">
      <c r="L996" s="1"/>
      <c r="M996" s="1"/>
    </row>
    <row r="997" spans="12:13" ht="13" customHeight="1">
      <c r="L997" s="1"/>
      <c r="M997" s="1"/>
    </row>
    <row r="998" spans="12:13" ht="13" customHeight="1">
      <c r="L998" s="1"/>
      <c r="M998" s="1"/>
    </row>
    <row r="999" spans="12:13" ht="13" customHeight="1">
      <c r="L999" s="1"/>
      <c r="M999" s="1"/>
    </row>
    <row r="1000" spans="12:13" ht="13" customHeight="1">
      <c r="L1000" s="1"/>
      <c r="M1000" s="1"/>
    </row>
    <row r="1001" spans="12:13" ht="13" customHeight="1">
      <c r="L1001" s="1"/>
      <c r="M1001" s="1"/>
    </row>
    <row r="1002" spans="12:13" ht="13" customHeight="1">
      <c r="L1002" s="1"/>
      <c r="M1002" s="1"/>
    </row>
    <row r="1003" spans="12:13" ht="13" customHeight="1">
      <c r="L1003" s="1"/>
      <c r="M1003" s="1"/>
    </row>
    <row r="1004" spans="12:13" ht="13" customHeight="1">
      <c r="L1004" s="1"/>
      <c r="M1004" s="1"/>
    </row>
    <row r="1005" spans="12:13" ht="13" customHeight="1">
      <c r="L1005" s="1"/>
      <c r="M1005" s="1"/>
    </row>
    <row r="1006" spans="12:13" ht="13" customHeight="1">
      <c r="L1006" s="1"/>
      <c r="M1006" s="1"/>
    </row>
    <row r="1007" spans="12:13" ht="13" customHeight="1">
      <c r="L1007" s="1"/>
      <c r="M1007" s="1"/>
    </row>
    <row r="1008" spans="12:13" ht="13" customHeight="1">
      <c r="L1008" s="1"/>
      <c r="M1008" s="1"/>
    </row>
    <row r="1009" spans="12:13" ht="13" customHeight="1">
      <c r="L1009" s="1"/>
      <c r="M1009" s="1"/>
    </row>
    <row r="1010" spans="12:13" ht="13" customHeight="1">
      <c r="L1010" s="1"/>
      <c r="M1010" s="1"/>
    </row>
    <row r="1011" spans="12:13" ht="13" customHeight="1">
      <c r="L1011" s="1"/>
      <c r="M1011" s="1"/>
    </row>
    <row r="1012" spans="12:13" ht="13" customHeight="1">
      <c r="L1012" s="1"/>
      <c r="M1012" s="1"/>
    </row>
    <row r="1013" spans="12:13" ht="13" customHeight="1">
      <c r="L1013" s="1"/>
      <c r="M1013" s="1"/>
    </row>
    <row r="1014" spans="12:13" ht="13" customHeight="1">
      <c r="L1014" s="1"/>
      <c r="M1014" s="1"/>
    </row>
    <row r="1015" spans="12:13" ht="13" customHeight="1">
      <c r="L1015" s="1"/>
      <c r="M1015" s="1"/>
    </row>
    <row r="1016" spans="12:13" ht="13" customHeight="1">
      <c r="L1016" s="1"/>
      <c r="M1016" s="1"/>
    </row>
    <row r="1017" spans="12:13" ht="13" customHeight="1">
      <c r="L1017" s="1"/>
      <c r="M1017" s="1"/>
    </row>
    <row r="1018" spans="12:13" ht="13" customHeight="1">
      <c r="L1018" s="1"/>
      <c r="M1018" s="1"/>
    </row>
    <row r="1019" spans="12:13" ht="13" customHeight="1">
      <c r="L1019" s="1"/>
      <c r="M1019" s="1"/>
    </row>
    <row r="1020" spans="12:13" ht="13" customHeight="1">
      <c r="L1020" s="1"/>
      <c r="M1020" s="1"/>
    </row>
    <row r="1021" spans="12:13" ht="13" customHeight="1">
      <c r="L1021" s="1"/>
      <c r="M1021" s="1"/>
    </row>
    <row r="1022" spans="12:13" ht="13" customHeight="1">
      <c r="L1022" s="1"/>
      <c r="M1022" s="1"/>
    </row>
    <row r="1023" spans="12:13" ht="13" customHeight="1">
      <c r="L1023" s="1"/>
      <c r="M1023" s="1"/>
    </row>
    <row r="1024" spans="12:13" ht="13" customHeight="1">
      <c r="L1024" s="1"/>
      <c r="M1024" s="1"/>
    </row>
    <row r="1025" spans="12:13" ht="13" customHeight="1">
      <c r="L1025" s="1"/>
      <c r="M1025" s="1"/>
    </row>
    <row r="1026" spans="12:13" ht="13" customHeight="1">
      <c r="L1026" s="1"/>
      <c r="M1026" s="1"/>
    </row>
    <row r="1027" spans="12:13" ht="13" customHeight="1">
      <c r="L1027" s="1"/>
      <c r="M1027" s="1"/>
    </row>
    <row r="1028" spans="12:13" ht="13" customHeight="1">
      <c r="L1028" s="1"/>
      <c r="M1028" s="1"/>
    </row>
    <row r="1029" spans="12:13" ht="13" customHeight="1">
      <c r="L1029" s="1"/>
      <c r="M1029" s="1"/>
    </row>
    <row r="1030" spans="12:13" ht="13" customHeight="1">
      <c r="L1030" s="1"/>
      <c r="M1030" s="1"/>
    </row>
    <row r="1031" spans="12:13" ht="13" customHeight="1">
      <c r="L1031" s="1"/>
      <c r="M1031" s="1"/>
    </row>
    <row r="1032" spans="12:13" ht="13" customHeight="1">
      <c r="L1032" s="1"/>
      <c r="M1032" s="1"/>
    </row>
    <row r="1033" spans="12:13" ht="13" customHeight="1">
      <c r="L1033" s="1"/>
      <c r="M1033" s="1"/>
    </row>
    <row r="1034" spans="12:13" ht="13" customHeight="1">
      <c r="L1034" s="1"/>
      <c r="M1034" s="1"/>
    </row>
    <row r="1035" spans="12:13" ht="13" customHeight="1">
      <c r="L1035" s="1"/>
      <c r="M1035" s="1"/>
    </row>
    <row r="1036" spans="12:13" ht="13" customHeight="1">
      <c r="L1036" s="1"/>
      <c r="M1036" s="1"/>
    </row>
    <row r="1037" spans="12:13" ht="13" customHeight="1">
      <c r="L1037" s="1"/>
      <c r="M1037" s="1"/>
    </row>
    <row r="1038" spans="12:13" ht="13" customHeight="1">
      <c r="L1038" s="1"/>
      <c r="M1038" s="1"/>
    </row>
    <row r="1039" spans="12:13" ht="13" customHeight="1">
      <c r="L1039" s="1"/>
      <c r="M1039" s="1"/>
    </row>
    <row r="1040" spans="12:13" ht="13" customHeight="1">
      <c r="L1040" s="1"/>
      <c r="M1040" s="1"/>
    </row>
    <row r="1041" spans="12:13" ht="13" customHeight="1">
      <c r="L1041" s="1"/>
      <c r="M1041" s="1"/>
    </row>
    <row r="1042" spans="12:13" ht="13" customHeight="1">
      <c r="L1042" s="1"/>
      <c r="M1042" s="1"/>
    </row>
    <row r="1043" spans="12:13" ht="13" customHeight="1">
      <c r="L1043" s="1"/>
      <c r="M1043" s="1"/>
    </row>
    <row r="1044" spans="12:13" ht="13" customHeight="1">
      <c r="L1044" s="1"/>
      <c r="M1044" s="1"/>
    </row>
    <row r="1045" spans="12:13" ht="13" customHeight="1">
      <c r="L1045" s="1"/>
      <c r="M1045" s="1"/>
    </row>
    <row r="1046" spans="12:13" ht="13" customHeight="1">
      <c r="L1046" s="1"/>
      <c r="M1046" s="1"/>
    </row>
    <row r="1047" spans="12:13" ht="13" customHeight="1">
      <c r="L1047" s="1"/>
      <c r="M1047" s="1"/>
    </row>
    <row r="1048" spans="12:13" ht="13" customHeight="1">
      <c r="L1048" s="1"/>
      <c r="M1048" s="1"/>
    </row>
    <row r="1049" spans="12:13" ht="13" customHeight="1">
      <c r="L1049" s="1"/>
      <c r="M1049" s="1"/>
    </row>
    <row r="1050" spans="12:13" ht="13" customHeight="1">
      <c r="L1050" s="1"/>
      <c r="M1050" s="1"/>
    </row>
    <row r="1051" spans="12:13" ht="13" customHeight="1">
      <c r="L1051" s="1"/>
      <c r="M1051" s="1"/>
    </row>
    <row r="1052" spans="12:13" ht="13" customHeight="1">
      <c r="L1052" s="1"/>
      <c r="M1052" s="1"/>
    </row>
    <row r="1053" spans="12:13" ht="13" customHeight="1">
      <c r="L1053" s="1"/>
      <c r="M1053" s="1"/>
    </row>
    <row r="1054" spans="12:13" ht="13" customHeight="1">
      <c r="L1054" s="1"/>
      <c r="M1054" s="1"/>
    </row>
    <row r="1055" spans="12:13" ht="13" customHeight="1">
      <c r="L1055" s="1"/>
      <c r="M1055" s="1"/>
    </row>
    <row r="1056" spans="12:13" ht="13" customHeight="1">
      <c r="L1056" s="1"/>
      <c r="M1056" s="1"/>
    </row>
    <row r="1057" spans="12:13" ht="13" customHeight="1">
      <c r="L1057" s="1"/>
      <c r="M1057" s="1"/>
    </row>
    <row r="1058" spans="12:13" ht="13" customHeight="1">
      <c r="L1058" s="1"/>
      <c r="M1058" s="1"/>
    </row>
    <row r="1059" spans="12:13" ht="13" customHeight="1">
      <c r="L1059" s="1"/>
      <c r="M1059" s="1"/>
    </row>
    <row r="1060" spans="12:13" ht="13" customHeight="1">
      <c r="L1060" s="1"/>
      <c r="M1060" s="1"/>
    </row>
    <row r="1061" spans="12:13" ht="13" customHeight="1">
      <c r="L1061" s="1"/>
      <c r="M1061" s="1"/>
    </row>
    <row r="1062" spans="12:13" ht="13" customHeight="1">
      <c r="L1062" s="1"/>
      <c r="M1062" s="1"/>
    </row>
    <row r="1063" spans="12:13" ht="13" customHeight="1">
      <c r="L1063" s="1"/>
      <c r="M1063" s="1"/>
    </row>
    <row r="1064" spans="12:13" ht="13" customHeight="1">
      <c r="L1064" s="1"/>
      <c r="M1064" s="1"/>
    </row>
    <row r="1065" spans="12:13" ht="13" customHeight="1">
      <c r="L1065" s="1"/>
      <c r="M1065" s="1"/>
    </row>
    <row r="1066" spans="12:13" ht="13" customHeight="1">
      <c r="L1066" s="1"/>
      <c r="M1066" s="1"/>
    </row>
    <row r="1067" spans="12:13" ht="13" customHeight="1">
      <c r="L1067" s="1"/>
      <c r="M1067" s="1"/>
    </row>
    <row r="1068" spans="12:13" ht="13" customHeight="1">
      <c r="L1068" s="1"/>
      <c r="M1068" s="1"/>
    </row>
    <row r="1069" spans="12:13" ht="13" customHeight="1">
      <c r="L1069" s="1"/>
      <c r="M1069" s="1"/>
    </row>
    <row r="1070" spans="12:13" ht="13" customHeight="1">
      <c r="L1070" s="1"/>
      <c r="M1070" s="1"/>
    </row>
    <row r="1071" spans="12:13" ht="13" customHeight="1">
      <c r="L1071" s="1"/>
      <c r="M1071" s="1"/>
    </row>
    <row r="1072" spans="12:13" ht="13" customHeight="1">
      <c r="L1072" s="1"/>
      <c r="M1072" s="1"/>
    </row>
    <row r="1073" spans="12:13" ht="13" customHeight="1">
      <c r="L1073" s="1"/>
      <c r="M1073" s="1"/>
    </row>
    <row r="1074" spans="12:13" ht="13" customHeight="1">
      <c r="L1074" s="1"/>
      <c r="M1074" s="1"/>
    </row>
    <row r="1075" spans="12:13" ht="13" customHeight="1">
      <c r="L1075" s="1"/>
      <c r="M1075" s="1"/>
    </row>
    <row r="1076" spans="12:13" ht="13" customHeight="1">
      <c r="L1076" s="1"/>
      <c r="M1076" s="1"/>
    </row>
    <row r="1077" spans="12:13" ht="13" customHeight="1">
      <c r="L1077" s="1"/>
      <c r="M1077" s="1"/>
    </row>
    <row r="1078" spans="12:13" ht="13" customHeight="1">
      <c r="L1078" s="1"/>
      <c r="M1078" s="1"/>
    </row>
    <row r="1079" spans="12:13" ht="13" customHeight="1">
      <c r="L1079" s="1"/>
      <c r="M1079" s="1"/>
    </row>
    <row r="1080" spans="12:13" ht="13" customHeight="1">
      <c r="L1080" s="1"/>
      <c r="M1080" s="1"/>
    </row>
    <row r="1081" spans="12:13" ht="13" customHeight="1">
      <c r="L1081" s="1"/>
      <c r="M1081" s="1"/>
    </row>
    <row r="1082" spans="12:13" ht="13" customHeight="1">
      <c r="L1082" s="1"/>
      <c r="M1082" s="1"/>
    </row>
    <row r="1083" spans="12:13" ht="13" customHeight="1">
      <c r="L1083" s="1"/>
      <c r="M1083" s="1"/>
    </row>
    <row r="1084" spans="12:13" ht="13" customHeight="1">
      <c r="L1084" s="1"/>
      <c r="M1084" s="1"/>
    </row>
    <row r="1085" spans="12:13" ht="13" customHeight="1">
      <c r="L1085" s="1"/>
      <c r="M1085" s="1"/>
    </row>
    <row r="1086" spans="12:13" ht="13" customHeight="1">
      <c r="L1086" s="1"/>
      <c r="M1086" s="1"/>
    </row>
    <row r="1087" spans="12:13" ht="13" customHeight="1">
      <c r="L1087" s="1"/>
      <c r="M1087" s="1"/>
    </row>
    <row r="1088" spans="12:13" ht="13" customHeight="1">
      <c r="L1088" s="1"/>
      <c r="M1088" s="1"/>
    </row>
    <row r="1089" spans="12:13" ht="13" customHeight="1">
      <c r="L1089" s="1"/>
      <c r="M1089" s="1"/>
    </row>
    <row r="1090" spans="12:13" ht="13" customHeight="1">
      <c r="L1090" s="1"/>
      <c r="M1090" s="1"/>
    </row>
    <row r="1091" spans="12:13" ht="13" customHeight="1">
      <c r="L1091" s="1"/>
      <c r="M1091" s="1"/>
    </row>
    <row r="1092" spans="12:13" ht="13" customHeight="1">
      <c r="L1092" s="1"/>
      <c r="M1092" s="1"/>
    </row>
    <row r="1093" spans="12:13" ht="13" customHeight="1">
      <c r="L1093" s="1"/>
      <c r="M1093" s="1"/>
    </row>
    <row r="1094" spans="12:13" ht="13" customHeight="1">
      <c r="L1094" s="1"/>
      <c r="M1094" s="1"/>
    </row>
    <row r="1095" spans="12:13" ht="13" customHeight="1">
      <c r="L1095" s="1"/>
      <c r="M1095" s="1"/>
    </row>
    <row r="1096" spans="12:13" ht="13" customHeight="1">
      <c r="L1096" s="1"/>
      <c r="M1096" s="1"/>
    </row>
    <row r="1097" spans="12:13" ht="13" customHeight="1">
      <c r="L1097" s="1"/>
      <c r="M1097" s="1"/>
    </row>
    <row r="1098" spans="12:13" ht="13" customHeight="1">
      <c r="L1098" s="1"/>
      <c r="M1098" s="1"/>
    </row>
    <row r="1099" spans="12:13" ht="13" customHeight="1">
      <c r="L1099" s="1"/>
      <c r="M1099" s="1"/>
    </row>
    <row r="1100" spans="12:13" ht="13" customHeight="1">
      <c r="L1100" s="1"/>
      <c r="M1100" s="1"/>
    </row>
    <row r="1101" spans="12:13" ht="13" customHeight="1">
      <c r="L1101" s="1"/>
      <c r="M1101" s="1"/>
    </row>
    <row r="1102" spans="12:13" ht="13" customHeight="1">
      <c r="L1102" s="1"/>
      <c r="M1102" s="1"/>
    </row>
    <row r="1103" spans="12:13" ht="13" customHeight="1">
      <c r="L1103" s="1"/>
      <c r="M1103" s="1"/>
    </row>
    <row r="1104" spans="12:13" ht="13" customHeight="1">
      <c r="L1104" s="1"/>
      <c r="M1104" s="1"/>
    </row>
    <row r="1105" spans="12:13" ht="13" customHeight="1">
      <c r="L1105" s="1"/>
      <c r="M1105" s="1"/>
    </row>
    <row r="1106" spans="12:13" ht="13" customHeight="1">
      <c r="L1106" s="1"/>
      <c r="M1106" s="1"/>
    </row>
    <row r="1107" spans="12:13" ht="13" customHeight="1">
      <c r="L1107" s="1"/>
      <c r="M1107" s="1"/>
    </row>
    <row r="1108" spans="12:13" ht="13" customHeight="1">
      <c r="L1108" s="1"/>
      <c r="M1108" s="1"/>
    </row>
    <row r="1109" spans="12:13" ht="13" customHeight="1">
      <c r="L1109" s="1"/>
      <c r="M1109" s="1"/>
    </row>
    <row r="1110" spans="12:13" ht="13" customHeight="1">
      <c r="L1110" s="1"/>
      <c r="M1110" s="1"/>
    </row>
    <row r="1111" spans="12:13" ht="13" customHeight="1">
      <c r="L1111" s="1"/>
      <c r="M1111" s="1"/>
    </row>
    <row r="1112" spans="12:13" ht="13" customHeight="1">
      <c r="L1112" s="1"/>
      <c r="M1112" s="1"/>
    </row>
    <row r="1113" spans="12:13" ht="13" customHeight="1">
      <c r="L1113" s="1"/>
      <c r="M1113" s="1"/>
    </row>
    <row r="1114" spans="12:13" ht="13" customHeight="1">
      <c r="L1114" s="1"/>
      <c r="M1114" s="1"/>
    </row>
    <row r="1115" spans="12:13" ht="13" customHeight="1">
      <c r="L1115" s="1"/>
      <c r="M1115" s="1"/>
    </row>
    <row r="1116" spans="12:13" ht="13" customHeight="1">
      <c r="L1116" s="1"/>
      <c r="M1116" s="1"/>
    </row>
    <row r="1117" spans="12:13" ht="13" customHeight="1">
      <c r="L1117" s="1"/>
      <c r="M1117" s="1"/>
    </row>
    <row r="1118" spans="12:13" ht="13" customHeight="1">
      <c r="L1118" s="1"/>
      <c r="M1118" s="1"/>
    </row>
    <row r="1119" spans="12:13" ht="13" customHeight="1">
      <c r="L1119" s="1"/>
      <c r="M1119" s="1"/>
    </row>
    <row r="1120" spans="12:13" ht="13" customHeight="1">
      <c r="L1120" s="1"/>
      <c r="M1120" s="1"/>
    </row>
    <row r="1121" spans="12:13" ht="13" customHeight="1">
      <c r="L1121" s="1"/>
      <c r="M1121" s="1"/>
    </row>
    <row r="1122" spans="12:13" ht="13" customHeight="1">
      <c r="L1122" s="1"/>
      <c r="M1122" s="1"/>
    </row>
    <row r="1123" spans="12:13" ht="13" customHeight="1">
      <c r="L1123" s="1"/>
      <c r="M1123" s="1"/>
    </row>
    <row r="1124" spans="12:13" ht="13" customHeight="1">
      <c r="L1124" s="1"/>
      <c r="M1124" s="1"/>
    </row>
    <row r="1125" spans="12:13" ht="13" customHeight="1">
      <c r="L1125" s="1"/>
      <c r="M1125" s="1"/>
    </row>
    <row r="1126" spans="12:13" ht="13" customHeight="1">
      <c r="L1126" s="1"/>
      <c r="M1126" s="1"/>
    </row>
    <row r="1127" spans="12:13" ht="13" customHeight="1">
      <c r="L1127" s="1"/>
      <c r="M1127" s="1"/>
    </row>
    <row r="1128" spans="12:13" ht="13" customHeight="1">
      <c r="L1128" s="1"/>
      <c r="M1128" s="1"/>
    </row>
    <row r="1129" spans="12:13" ht="13" customHeight="1">
      <c r="L1129" s="1"/>
      <c r="M1129" s="1"/>
    </row>
    <row r="1130" spans="12:13" ht="13" customHeight="1">
      <c r="L1130" s="1"/>
      <c r="M1130" s="1"/>
    </row>
    <row r="1131" spans="12:13" ht="13" customHeight="1">
      <c r="L1131" s="1"/>
      <c r="M1131" s="1"/>
    </row>
    <row r="1132" spans="12:13" ht="13" customHeight="1">
      <c r="L1132" s="1"/>
      <c r="M1132" s="1"/>
    </row>
    <row r="1133" spans="12:13" ht="13" customHeight="1">
      <c r="L1133" s="1"/>
      <c r="M1133" s="1"/>
    </row>
    <row r="1134" spans="12:13" ht="13" customHeight="1">
      <c r="L1134" s="1"/>
      <c r="M1134" s="1"/>
    </row>
    <row r="1135" spans="12:13" ht="13" customHeight="1">
      <c r="L1135" s="1"/>
      <c r="M1135" s="1"/>
    </row>
    <row r="1136" spans="12:13" ht="13" customHeight="1">
      <c r="L1136" s="1"/>
      <c r="M1136" s="1"/>
    </row>
    <row r="1137" spans="12:13" ht="13" customHeight="1">
      <c r="L1137" s="1"/>
      <c r="M1137" s="1"/>
    </row>
    <row r="1138" spans="12:13" ht="13" customHeight="1">
      <c r="L1138" s="1"/>
      <c r="M1138" s="1"/>
    </row>
    <row r="1139" spans="12:13" ht="13" customHeight="1">
      <c r="L1139" s="1"/>
      <c r="M1139" s="1"/>
    </row>
    <row r="1140" spans="12:13" ht="13" customHeight="1">
      <c r="L1140" s="1"/>
      <c r="M1140" s="1"/>
    </row>
    <row r="1141" spans="12:13" ht="13" customHeight="1">
      <c r="L1141" s="1"/>
      <c r="M1141" s="1"/>
    </row>
    <row r="1142" spans="12:13" ht="13" customHeight="1">
      <c r="L1142" s="1"/>
      <c r="M1142" s="1"/>
    </row>
    <row r="1143" spans="12:13" ht="13" customHeight="1">
      <c r="L1143" s="1"/>
      <c r="M1143" s="1"/>
    </row>
    <row r="1144" spans="12:13" ht="13" customHeight="1">
      <c r="L1144" s="1"/>
      <c r="M1144" s="1"/>
    </row>
    <row r="1145" spans="12:13" ht="13" customHeight="1">
      <c r="L1145" s="1"/>
      <c r="M1145" s="1"/>
    </row>
    <row r="1146" spans="12:13" ht="13" customHeight="1">
      <c r="L1146" s="1"/>
      <c r="M1146" s="1"/>
    </row>
    <row r="1147" spans="12:13" ht="13" customHeight="1">
      <c r="L1147" s="1"/>
      <c r="M1147" s="1"/>
    </row>
    <row r="1148" spans="12:13" ht="13" customHeight="1">
      <c r="L1148" s="1"/>
      <c r="M1148" s="1"/>
    </row>
    <row r="1149" spans="12:13" ht="13" customHeight="1">
      <c r="L1149" s="1"/>
      <c r="M1149" s="1"/>
    </row>
    <row r="1150" spans="12:13" ht="13" customHeight="1">
      <c r="L1150" s="1"/>
      <c r="M1150" s="1"/>
    </row>
    <row r="1151" spans="12:13" ht="13" customHeight="1">
      <c r="L1151" s="1"/>
      <c r="M1151" s="1"/>
    </row>
    <row r="1152" spans="12:13" ht="13" customHeight="1">
      <c r="L1152" s="1"/>
      <c r="M1152" s="1"/>
    </row>
    <row r="1153" spans="12:13" ht="13" customHeight="1">
      <c r="L1153" s="1"/>
      <c r="M1153" s="1"/>
    </row>
    <row r="1154" spans="12:13" ht="13" customHeight="1">
      <c r="L1154" s="1"/>
      <c r="M1154" s="1"/>
    </row>
    <row r="1155" spans="12:13" ht="13" customHeight="1">
      <c r="L1155" s="1"/>
      <c r="M1155" s="1"/>
    </row>
    <row r="1156" spans="12:13" ht="13" customHeight="1">
      <c r="L1156" s="1"/>
      <c r="M1156" s="1"/>
    </row>
    <row r="1157" spans="12:13" ht="13" customHeight="1">
      <c r="L1157" s="1"/>
      <c r="M1157" s="1"/>
    </row>
    <row r="1158" spans="12:13" ht="13" customHeight="1">
      <c r="L1158" s="1"/>
      <c r="M1158" s="1"/>
    </row>
    <row r="1159" spans="12:13" ht="13" customHeight="1">
      <c r="L1159" s="1"/>
      <c r="M1159" s="1"/>
    </row>
    <row r="1160" spans="12:13" ht="13" customHeight="1">
      <c r="L1160" s="1"/>
      <c r="M1160" s="1"/>
    </row>
    <row r="1161" spans="12:13" ht="13" customHeight="1">
      <c r="L1161" s="1"/>
      <c r="M1161" s="1"/>
    </row>
    <row r="1162" spans="12:13" ht="13" customHeight="1">
      <c r="L1162" s="1"/>
      <c r="M1162" s="1"/>
    </row>
    <row r="1163" spans="12:13" ht="13" customHeight="1">
      <c r="L1163" s="1"/>
      <c r="M1163" s="1"/>
    </row>
    <row r="1164" spans="12:13" ht="13" customHeight="1">
      <c r="L1164" s="1"/>
      <c r="M1164" s="1"/>
    </row>
    <row r="1165" spans="12:13" ht="13" customHeight="1">
      <c r="L1165" s="1"/>
      <c r="M1165" s="1"/>
    </row>
    <row r="1166" spans="12:13" ht="13" customHeight="1">
      <c r="L1166" s="1"/>
      <c r="M1166" s="1"/>
    </row>
    <row r="1167" spans="12:13" ht="13" customHeight="1">
      <c r="L1167" s="1"/>
      <c r="M1167" s="1"/>
    </row>
    <row r="1168" spans="12:13" ht="13" customHeight="1">
      <c r="L1168" s="1"/>
      <c r="M1168" s="1"/>
    </row>
    <row r="1169" spans="12:13" ht="13" customHeight="1">
      <c r="L1169" s="1"/>
      <c r="M1169" s="1"/>
    </row>
    <row r="1170" spans="12:13" ht="13" customHeight="1">
      <c r="L1170" s="1"/>
      <c r="M1170" s="1"/>
    </row>
    <row r="1171" spans="12:13" ht="13" customHeight="1">
      <c r="L1171" s="1"/>
      <c r="M1171" s="1"/>
    </row>
    <row r="1172" spans="12:13" ht="13" customHeight="1">
      <c r="L1172" s="1"/>
      <c r="M1172" s="1"/>
    </row>
    <row r="1173" spans="12:13" ht="13" customHeight="1">
      <c r="L1173" s="1"/>
      <c r="M1173" s="1"/>
    </row>
    <row r="1174" spans="12:13" ht="13" customHeight="1">
      <c r="L1174" s="1"/>
      <c r="M1174" s="1"/>
    </row>
    <row r="1175" spans="12:13" ht="13" customHeight="1">
      <c r="L1175" s="1"/>
      <c r="M1175" s="1"/>
    </row>
    <row r="1176" spans="12:13" ht="13" customHeight="1">
      <c r="L1176" s="1"/>
      <c r="M1176" s="1"/>
    </row>
    <row r="1177" spans="12:13" ht="13" customHeight="1">
      <c r="L1177" s="1"/>
      <c r="M1177" s="1"/>
    </row>
    <row r="1178" spans="12:13" ht="13" customHeight="1">
      <c r="L1178" s="1"/>
      <c r="M1178" s="1"/>
    </row>
    <row r="1179" spans="12:13" ht="13" customHeight="1">
      <c r="L1179" s="1"/>
      <c r="M1179" s="1"/>
    </row>
    <row r="1180" spans="12:13" ht="13" customHeight="1">
      <c r="L1180" s="1"/>
      <c r="M1180" s="1"/>
    </row>
    <row r="1181" spans="12:13" ht="13" customHeight="1">
      <c r="L1181" s="1"/>
      <c r="M1181" s="1"/>
    </row>
    <row r="1182" spans="12:13" ht="13" customHeight="1">
      <c r="L1182" s="1"/>
      <c r="M1182" s="1"/>
    </row>
    <row r="1183" spans="12:13" ht="13" customHeight="1">
      <c r="L1183" s="1"/>
      <c r="M1183" s="1"/>
    </row>
    <row r="1184" spans="12:13" ht="13" customHeight="1">
      <c r="L1184" s="1"/>
      <c r="M1184" s="1"/>
    </row>
    <row r="1185" spans="12:13" ht="13" customHeight="1">
      <c r="L1185" s="1"/>
      <c r="M1185" s="1"/>
    </row>
    <row r="1186" spans="12:13" ht="13" customHeight="1">
      <c r="L1186" s="1"/>
      <c r="M1186" s="1"/>
    </row>
    <row r="1187" spans="12:13" ht="13" customHeight="1">
      <c r="L1187" s="1"/>
      <c r="M1187" s="1"/>
    </row>
    <row r="1188" spans="12:13" ht="13" customHeight="1">
      <c r="L1188" s="1"/>
      <c r="M1188" s="1"/>
    </row>
    <row r="1189" spans="12:13" ht="13" customHeight="1">
      <c r="L1189" s="1"/>
      <c r="M1189" s="1"/>
    </row>
    <row r="1190" spans="12:13" ht="13" customHeight="1">
      <c r="L1190" s="1"/>
      <c r="M1190" s="1"/>
    </row>
    <row r="1191" spans="12:13" ht="13" customHeight="1">
      <c r="L1191" s="1"/>
      <c r="M1191" s="1"/>
    </row>
    <row r="1192" spans="12:13" ht="13" customHeight="1">
      <c r="L1192" s="1"/>
      <c r="M1192" s="1"/>
    </row>
    <row r="1193" spans="12:13" ht="13" customHeight="1">
      <c r="L1193" s="1"/>
      <c r="M1193" s="1"/>
    </row>
    <row r="1194" spans="12:13" ht="13" customHeight="1">
      <c r="L1194" s="1"/>
      <c r="M1194" s="1"/>
    </row>
    <row r="1195" spans="12:13" ht="13" customHeight="1">
      <c r="L1195" s="1"/>
      <c r="M1195" s="1"/>
    </row>
    <row r="1196" spans="12:13" ht="13" customHeight="1">
      <c r="L1196" s="1"/>
      <c r="M1196" s="1"/>
    </row>
    <row r="1197" spans="12:13" ht="13" customHeight="1">
      <c r="L1197" s="1"/>
      <c r="M1197" s="1"/>
    </row>
    <row r="1198" spans="12:13" ht="13" customHeight="1">
      <c r="L1198" s="1"/>
      <c r="M1198" s="1"/>
    </row>
    <row r="1199" spans="12:13" ht="13" customHeight="1">
      <c r="L1199" s="1"/>
      <c r="M1199" s="1"/>
    </row>
    <row r="1200" spans="12:13" ht="13" customHeight="1">
      <c r="L1200" s="1"/>
      <c r="M1200" s="1"/>
    </row>
    <row r="1201" spans="12:13" ht="13" customHeight="1">
      <c r="L1201" s="1"/>
      <c r="M1201" s="1"/>
    </row>
    <row r="1202" spans="12:13" ht="13" customHeight="1">
      <c r="L1202" s="1"/>
      <c r="M1202" s="1"/>
    </row>
    <row r="1203" spans="12:13" ht="13" customHeight="1">
      <c r="L1203" s="1"/>
      <c r="M1203" s="1"/>
    </row>
    <row r="1204" spans="12:13" ht="13" customHeight="1">
      <c r="L1204" s="1"/>
      <c r="M1204" s="1"/>
    </row>
    <row r="1205" spans="12:13" ht="13" customHeight="1">
      <c r="L1205" s="1"/>
      <c r="M1205" s="1"/>
    </row>
    <row r="1206" spans="12:13" ht="13" customHeight="1">
      <c r="L1206" s="1"/>
      <c r="M1206" s="1"/>
    </row>
    <row r="1207" spans="12:13" ht="13" customHeight="1">
      <c r="L1207" s="1"/>
      <c r="M1207" s="1"/>
    </row>
    <row r="1208" spans="12:13" ht="13" customHeight="1">
      <c r="L1208" s="1"/>
      <c r="M1208" s="1"/>
    </row>
    <row r="1209" spans="12:13" ht="13" customHeight="1">
      <c r="L1209" s="1"/>
      <c r="M1209" s="1"/>
    </row>
    <row r="1210" spans="12:13" ht="13" customHeight="1">
      <c r="L1210" s="1"/>
      <c r="M1210" s="1"/>
    </row>
    <row r="1211" spans="12:13" ht="13" customHeight="1">
      <c r="L1211" s="1"/>
      <c r="M1211" s="1"/>
    </row>
    <row r="1212" spans="12:13" ht="13" customHeight="1">
      <c r="L1212" s="1"/>
      <c r="M1212" s="1"/>
    </row>
    <row r="1213" spans="12:13" ht="13" customHeight="1">
      <c r="L1213" s="1"/>
      <c r="M1213" s="1"/>
    </row>
    <row r="1214" spans="12:13" ht="13" customHeight="1">
      <c r="L1214" s="1"/>
      <c r="M1214" s="1"/>
    </row>
    <row r="1215" spans="12:13" ht="13" customHeight="1">
      <c r="L1215" s="1"/>
      <c r="M1215" s="1"/>
    </row>
    <row r="1216" spans="12:13" ht="13" customHeight="1">
      <c r="L1216" s="1"/>
      <c r="M1216" s="1"/>
    </row>
    <row r="1217" spans="12:13" ht="13" customHeight="1">
      <c r="L1217" s="1"/>
      <c r="M1217" s="1"/>
    </row>
    <row r="1218" spans="12:13" ht="13" customHeight="1">
      <c r="L1218" s="1"/>
      <c r="M1218" s="1"/>
    </row>
    <row r="1219" spans="12:13" ht="13" customHeight="1">
      <c r="L1219" s="1"/>
      <c r="M1219" s="1"/>
    </row>
    <row r="1220" spans="12:13" ht="13" customHeight="1">
      <c r="L1220" s="1"/>
      <c r="M1220" s="1"/>
    </row>
    <row r="1221" spans="12:13" ht="13" customHeight="1">
      <c r="L1221" s="1"/>
      <c r="M1221" s="1"/>
    </row>
    <row r="1222" spans="12:13" ht="13" customHeight="1">
      <c r="L1222" s="1"/>
      <c r="M1222" s="1"/>
    </row>
    <row r="1223" spans="12:13" ht="13" customHeight="1">
      <c r="L1223" s="1"/>
      <c r="M1223" s="1"/>
    </row>
    <row r="1224" spans="12:13" ht="13" customHeight="1">
      <c r="L1224" s="1"/>
      <c r="M1224" s="1"/>
    </row>
    <row r="1225" spans="12:13" ht="13" customHeight="1">
      <c r="L1225" s="1"/>
      <c r="M1225" s="1"/>
    </row>
    <row r="1226" spans="12:13" ht="13" customHeight="1">
      <c r="L1226" s="1"/>
      <c r="M1226" s="1"/>
    </row>
    <row r="1227" spans="12:13" ht="13" customHeight="1">
      <c r="L1227" s="1"/>
      <c r="M1227" s="1"/>
    </row>
    <row r="1228" spans="12:13" ht="13" customHeight="1">
      <c r="L1228" s="1"/>
      <c r="M1228" s="1"/>
    </row>
    <row r="1229" spans="12:13" ht="13" customHeight="1">
      <c r="L1229" s="1"/>
      <c r="M1229" s="1"/>
    </row>
    <row r="1230" spans="12:13" ht="13" customHeight="1">
      <c r="L1230" s="1"/>
      <c r="M1230" s="1"/>
    </row>
    <row r="1231" spans="12:13" ht="13" customHeight="1">
      <c r="L1231" s="1"/>
      <c r="M1231" s="1"/>
    </row>
    <row r="1232" spans="12:13" ht="13" customHeight="1">
      <c r="L1232" s="1"/>
      <c r="M1232" s="1"/>
    </row>
    <row r="1233" spans="12:13" ht="13" customHeight="1">
      <c r="L1233" s="1"/>
      <c r="M1233" s="1"/>
    </row>
    <row r="1234" spans="12:13" ht="13" customHeight="1">
      <c r="L1234" s="1"/>
      <c r="M1234" s="1"/>
    </row>
    <row r="1235" spans="12:13" ht="13" customHeight="1">
      <c r="L1235" s="1"/>
      <c r="M1235" s="1"/>
    </row>
    <row r="1236" spans="12:13" ht="13" customHeight="1">
      <c r="L1236" s="1"/>
      <c r="M1236" s="1"/>
    </row>
    <row r="1237" spans="12:13" ht="13" customHeight="1">
      <c r="L1237" s="1"/>
      <c r="M1237" s="1"/>
    </row>
    <row r="1238" spans="12:13" ht="13" customHeight="1">
      <c r="L1238" s="1"/>
      <c r="M1238" s="1"/>
    </row>
    <row r="1239" spans="12:13" ht="13" customHeight="1">
      <c r="L1239" s="1"/>
      <c r="M1239" s="1"/>
    </row>
    <row r="1240" spans="12:13" ht="13" customHeight="1">
      <c r="L1240" s="1"/>
      <c r="M1240" s="1"/>
    </row>
    <row r="1241" spans="12:13" ht="13" customHeight="1">
      <c r="L1241" s="1"/>
      <c r="M1241" s="1"/>
    </row>
    <row r="1242" spans="12:13" ht="13" customHeight="1">
      <c r="L1242" s="1"/>
      <c r="M1242" s="1"/>
    </row>
    <row r="1243" spans="12:13" ht="13" customHeight="1">
      <c r="L1243" s="1"/>
      <c r="M1243" s="1"/>
    </row>
    <row r="1244" spans="12:13" ht="13" customHeight="1">
      <c r="L1244" s="1"/>
      <c r="M1244" s="1"/>
    </row>
    <row r="1245" spans="12:13" ht="13" customHeight="1">
      <c r="L1245" s="1"/>
      <c r="M1245" s="1"/>
    </row>
    <row r="1246" spans="12:13" ht="13" customHeight="1">
      <c r="L1246" s="1"/>
      <c r="M1246" s="1"/>
    </row>
    <row r="1247" spans="12:13" ht="13" customHeight="1">
      <c r="L1247" s="1"/>
      <c r="M1247" s="1"/>
    </row>
    <row r="1248" spans="12:13" ht="13" customHeight="1">
      <c r="L1248" s="1"/>
      <c r="M1248" s="1"/>
    </row>
    <row r="1249" spans="12:13" ht="13" customHeight="1">
      <c r="L1249" s="1"/>
      <c r="M1249" s="1"/>
    </row>
    <row r="1250" spans="12:13" ht="13" customHeight="1">
      <c r="L1250" s="1"/>
      <c r="M1250" s="1"/>
    </row>
    <row r="1251" spans="12:13" ht="13" customHeight="1">
      <c r="L1251" s="1"/>
      <c r="M1251" s="1"/>
    </row>
    <row r="1252" spans="12:13" ht="13" customHeight="1">
      <c r="L1252" s="1"/>
      <c r="M1252" s="1"/>
    </row>
    <row r="1253" spans="12:13" ht="13" customHeight="1">
      <c r="L1253" s="1"/>
      <c r="M1253" s="1"/>
    </row>
    <row r="1254" spans="12:13" ht="13" customHeight="1">
      <c r="L1254" s="1"/>
      <c r="M1254" s="1"/>
    </row>
    <row r="1255" spans="12:13" ht="13" customHeight="1">
      <c r="L1255" s="1"/>
      <c r="M1255" s="1"/>
    </row>
    <row r="1256" spans="12:13" ht="13" customHeight="1">
      <c r="L1256" s="1"/>
      <c r="M1256" s="1"/>
    </row>
    <row r="1257" spans="12:13" ht="13" customHeight="1">
      <c r="L1257" s="1"/>
      <c r="M1257" s="1"/>
    </row>
    <row r="1258" spans="12:13" ht="13" customHeight="1">
      <c r="L1258" s="1"/>
      <c r="M1258" s="1"/>
    </row>
    <row r="1259" spans="12:13" ht="13" customHeight="1">
      <c r="L1259" s="1"/>
      <c r="M1259" s="1"/>
    </row>
    <row r="1260" spans="12:13" ht="13" customHeight="1">
      <c r="L1260" s="1"/>
      <c r="M1260" s="1"/>
    </row>
    <row r="1261" spans="12:13" ht="13" customHeight="1">
      <c r="L1261" s="1"/>
      <c r="M1261" s="1"/>
    </row>
    <row r="1262" spans="12:13" ht="13" customHeight="1">
      <c r="L1262" s="1"/>
      <c r="M1262" s="1"/>
    </row>
    <row r="1263" spans="12:13" ht="13" customHeight="1">
      <c r="L1263" s="1"/>
      <c r="M1263" s="1"/>
    </row>
    <row r="1264" spans="12:13" ht="13" customHeight="1">
      <c r="L1264" s="1"/>
      <c r="M1264" s="1"/>
    </row>
    <row r="1265" spans="12:13" ht="13" customHeight="1">
      <c r="L1265" s="1"/>
      <c r="M1265" s="1"/>
    </row>
    <row r="1266" spans="12:13" ht="13" customHeight="1">
      <c r="L1266" s="1"/>
      <c r="M1266" s="1"/>
    </row>
    <row r="1267" spans="12:13" ht="13" customHeight="1">
      <c r="L1267" s="1"/>
      <c r="M1267" s="1"/>
    </row>
    <row r="1268" spans="12:13" ht="13" customHeight="1">
      <c r="L1268" s="1"/>
      <c r="M1268" s="1"/>
    </row>
    <row r="1269" spans="12:13" ht="13" customHeight="1">
      <c r="L1269" s="1"/>
      <c r="M1269" s="1"/>
    </row>
    <row r="1270" spans="12:13" ht="13" customHeight="1">
      <c r="L1270" s="1"/>
      <c r="M1270" s="1"/>
    </row>
    <row r="1271" spans="12:13" ht="13" customHeight="1">
      <c r="L1271" s="1"/>
      <c r="M1271" s="1"/>
    </row>
    <row r="1272" spans="12:13" ht="13" customHeight="1">
      <c r="L1272" s="1"/>
      <c r="M1272" s="1"/>
    </row>
    <row r="1273" spans="12:13" ht="13" customHeight="1">
      <c r="L1273" s="1"/>
      <c r="M1273" s="1"/>
    </row>
    <row r="1274" spans="12:13" ht="13" customHeight="1">
      <c r="L1274" s="1"/>
      <c r="M1274" s="1"/>
    </row>
    <row r="1275" spans="12:13" ht="13" customHeight="1">
      <c r="L1275" s="1"/>
      <c r="M1275" s="1"/>
    </row>
    <row r="1276" spans="12:13" ht="13" customHeight="1">
      <c r="L1276" s="1"/>
      <c r="M1276" s="1"/>
    </row>
    <row r="1277" spans="12:13" ht="13" customHeight="1">
      <c r="L1277" s="1"/>
      <c r="M1277" s="1"/>
    </row>
    <row r="1278" spans="12:13" ht="13" customHeight="1">
      <c r="L1278" s="1"/>
      <c r="M1278" s="1"/>
    </row>
    <row r="1279" spans="12:13" ht="13" customHeight="1">
      <c r="L1279" s="1"/>
      <c r="M1279" s="1"/>
    </row>
    <row r="1280" spans="12:13" ht="13" customHeight="1">
      <c r="L1280" s="1"/>
      <c r="M1280" s="1"/>
    </row>
    <row r="1281" spans="12:13" ht="13" customHeight="1">
      <c r="L1281" s="1"/>
      <c r="M1281" s="1"/>
    </row>
    <row r="1282" spans="12:13" ht="13" customHeight="1">
      <c r="L1282" s="1"/>
      <c r="M1282" s="1"/>
    </row>
    <row r="1283" spans="12:13" ht="13" customHeight="1">
      <c r="L1283" s="1"/>
      <c r="M1283" s="1"/>
    </row>
    <row r="1284" spans="12:13" ht="13" customHeight="1">
      <c r="L1284" s="1"/>
      <c r="M1284" s="1"/>
    </row>
    <row r="1285" spans="12:13" ht="13" customHeight="1">
      <c r="L1285" s="1"/>
      <c r="M1285" s="1"/>
    </row>
    <row r="1286" spans="12:13" ht="13" customHeight="1">
      <c r="L1286" s="1"/>
      <c r="M1286" s="1"/>
    </row>
    <row r="1287" spans="12:13" ht="13" customHeight="1">
      <c r="L1287" s="1"/>
      <c r="M1287" s="1"/>
    </row>
    <row r="1288" spans="12:13" ht="13" customHeight="1">
      <c r="L1288" s="1"/>
      <c r="M1288" s="1"/>
    </row>
    <row r="1289" spans="12:13" ht="13" customHeight="1">
      <c r="L1289" s="1"/>
      <c r="M1289" s="1"/>
    </row>
    <row r="1290" spans="12:13" ht="13" customHeight="1">
      <c r="L1290" s="1"/>
      <c r="M1290" s="1"/>
    </row>
    <row r="1291" spans="12:13" ht="13" customHeight="1">
      <c r="L1291" s="1"/>
      <c r="M1291" s="1"/>
    </row>
    <row r="1292" spans="12:13" ht="13" customHeight="1">
      <c r="L1292" s="1"/>
      <c r="M1292" s="1"/>
    </row>
    <row r="1293" spans="12:13" ht="13" customHeight="1">
      <c r="L1293" s="1"/>
      <c r="M1293" s="1"/>
    </row>
    <row r="1294" spans="12:13" ht="13" customHeight="1">
      <c r="L1294" s="1"/>
      <c r="M1294" s="1"/>
    </row>
    <row r="1295" spans="12:13" ht="13" customHeight="1">
      <c r="L1295" s="1"/>
      <c r="M1295" s="1"/>
    </row>
    <row r="1296" spans="12:13" ht="13" customHeight="1">
      <c r="L1296" s="1"/>
      <c r="M1296" s="1"/>
    </row>
    <row r="1297" spans="12:13" ht="13" customHeight="1">
      <c r="L1297" s="1"/>
      <c r="M1297" s="1"/>
    </row>
    <row r="1298" spans="12:13" ht="13" customHeight="1">
      <c r="L1298" s="1"/>
      <c r="M1298" s="1"/>
    </row>
    <row r="1299" spans="12:13" ht="13" customHeight="1">
      <c r="L1299" s="1"/>
      <c r="M1299" s="1"/>
    </row>
    <row r="1300" spans="12:13" ht="13" customHeight="1">
      <c r="L1300" s="1"/>
      <c r="M1300" s="1"/>
    </row>
    <row r="1301" spans="12:13" ht="13" customHeight="1">
      <c r="L1301" s="1"/>
      <c r="M1301" s="1"/>
    </row>
    <row r="1302" spans="12:13" ht="13" customHeight="1">
      <c r="L1302" s="1"/>
      <c r="M1302" s="1"/>
    </row>
    <row r="1303" spans="12:13" ht="13" customHeight="1">
      <c r="L1303" s="1"/>
      <c r="M1303" s="1"/>
    </row>
    <row r="1304" spans="12:13" ht="13" customHeight="1">
      <c r="L1304" s="1"/>
      <c r="M1304" s="1"/>
    </row>
    <row r="1305" spans="12:13" ht="13" customHeight="1">
      <c r="L1305" s="1"/>
      <c r="M1305" s="1"/>
    </row>
    <row r="1306" spans="12:13" ht="13" customHeight="1">
      <c r="L1306" s="1"/>
      <c r="M1306" s="1"/>
    </row>
    <row r="1307" spans="12:13" ht="13" customHeight="1">
      <c r="L1307" s="1"/>
      <c r="M1307" s="1"/>
    </row>
    <row r="1308" spans="12:13" ht="13" customHeight="1">
      <c r="L1308" s="1"/>
      <c r="M1308" s="1"/>
    </row>
    <row r="1309" spans="12:13" ht="13" customHeight="1">
      <c r="L1309" s="1"/>
      <c r="M1309" s="1"/>
    </row>
    <row r="1310" spans="12:13" ht="13" customHeight="1">
      <c r="L1310" s="1"/>
      <c r="M1310" s="1"/>
    </row>
    <row r="1311" spans="12:13" ht="13" customHeight="1">
      <c r="L1311" s="1"/>
      <c r="M1311" s="1"/>
    </row>
    <row r="1312" spans="12:13" ht="13" customHeight="1">
      <c r="L1312" s="1"/>
      <c r="M1312" s="1"/>
    </row>
    <row r="1313" spans="12:13" ht="13" customHeight="1">
      <c r="L1313" s="1"/>
      <c r="M1313" s="1"/>
    </row>
    <row r="1314" spans="12:13" ht="13" customHeight="1">
      <c r="L1314" s="1"/>
      <c r="M1314" s="1"/>
    </row>
    <row r="1315" spans="12:13" ht="13" customHeight="1">
      <c r="L1315" s="1"/>
      <c r="M1315" s="1"/>
    </row>
    <row r="1316" spans="12:13" ht="13" customHeight="1">
      <c r="L1316" s="1"/>
      <c r="M1316" s="1"/>
    </row>
    <row r="1317" spans="12:13" ht="13" customHeight="1">
      <c r="L1317" s="1"/>
      <c r="M1317" s="1"/>
    </row>
    <row r="1318" spans="12:13" ht="13" customHeight="1">
      <c r="L1318" s="1"/>
      <c r="M1318" s="1"/>
    </row>
    <row r="1319" spans="12:13" ht="13" customHeight="1">
      <c r="L1319" s="1"/>
      <c r="M1319" s="1"/>
    </row>
    <row r="1320" spans="12:13" ht="13" customHeight="1">
      <c r="L1320" s="1"/>
      <c r="M1320" s="1"/>
    </row>
    <row r="1321" spans="12:13" ht="13" customHeight="1">
      <c r="L1321" s="1"/>
      <c r="M1321" s="1"/>
    </row>
    <row r="1322" spans="12:13" ht="13" customHeight="1">
      <c r="L1322" s="1"/>
      <c r="M1322" s="1"/>
    </row>
    <row r="1323" spans="12:13" ht="13" customHeight="1">
      <c r="L1323" s="1"/>
      <c r="M1323" s="1"/>
    </row>
    <row r="1324" spans="12:13" ht="13" customHeight="1">
      <c r="L1324" s="1"/>
      <c r="M1324" s="1"/>
    </row>
    <row r="1325" spans="12:13" ht="13" customHeight="1">
      <c r="L1325" s="1"/>
      <c r="M1325" s="1"/>
    </row>
    <row r="1326" spans="12:13" ht="13" customHeight="1">
      <c r="L1326" s="1"/>
      <c r="M1326" s="1"/>
    </row>
    <row r="1327" spans="12:13" ht="13" customHeight="1">
      <c r="L1327" s="1"/>
      <c r="M1327" s="1"/>
    </row>
    <row r="1328" spans="12:13" ht="13" customHeight="1">
      <c r="L1328" s="1"/>
      <c r="M1328" s="1"/>
    </row>
    <row r="1329" spans="12:13" ht="13" customHeight="1">
      <c r="L1329" s="1"/>
      <c r="M1329" s="1"/>
    </row>
    <row r="1330" spans="12:13" ht="13" customHeight="1">
      <c r="L1330" s="1"/>
      <c r="M1330" s="1"/>
    </row>
    <row r="1331" spans="12:13" ht="13" customHeight="1">
      <c r="L1331" s="1"/>
      <c r="M1331" s="1"/>
    </row>
    <row r="1332" spans="12:13" ht="13" customHeight="1">
      <c r="L1332" s="1"/>
      <c r="M1332" s="1"/>
    </row>
    <row r="1333" spans="12:13" ht="13" customHeight="1">
      <c r="L1333" s="1"/>
      <c r="M1333" s="1"/>
    </row>
    <row r="1334" spans="12:13" ht="13" customHeight="1">
      <c r="L1334" s="1"/>
      <c r="M1334" s="1"/>
    </row>
    <row r="1335" spans="12:13" ht="13" customHeight="1">
      <c r="L1335" s="1"/>
      <c r="M1335" s="1"/>
    </row>
    <row r="1336" spans="12:13" ht="13" customHeight="1">
      <c r="L1336" s="1"/>
      <c r="M1336" s="1"/>
    </row>
    <row r="1337" spans="12:13" ht="13" customHeight="1">
      <c r="L1337" s="1"/>
      <c r="M1337" s="1"/>
    </row>
    <row r="1338" spans="12:13" ht="13" customHeight="1">
      <c r="L1338" s="1"/>
      <c r="M1338" s="1"/>
    </row>
    <row r="1339" spans="12:13" ht="13" customHeight="1">
      <c r="L1339" s="1"/>
      <c r="M1339" s="1"/>
    </row>
    <row r="1340" spans="12:13" ht="13" customHeight="1">
      <c r="L1340" s="1"/>
      <c r="M1340" s="1"/>
    </row>
    <row r="1341" spans="12:13" ht="13" customHeight="1">
      <c r="L1341" s="1"/>
      <c r="M1341" s="1"/>
    </row>
    <row r="1342" spans="12:13" ht="13" customHeight="1">
      <c r="L1342" s="1"/>
      <c r="M1342" s="1"/>
    </row>
    <row r="1343" spans="12:13" ht="13" customHeight="1">
      <c r="L1343" s="1"/>
      <c r="M1343" s="1"/>
    </row>
    <row r="1344" spans="12:13" ht="13" customHeight="1">
      <c r="L1344" s="1"/>
      <c r="M1344" s="1"/>
    </row>
    <row r="1345" spans="12:13" ht="13" customHeight="1">
      <c r="L1345" s="1"/>
      <c r="M1345" s="1"/>
    </row>
    <row r="1346" spans="12:13" ht="13" customHeight="1">
      <c r="L1346" s="1"/>
      <c r="M1346" s="1"/>
    </row>
    <row r="1347" spans="12:13" ht="13" customHeight="1">
      <c r="L1347" s="1"/>
      <c r="M1347" s="1"/>
    </row>
    <row r="1348" spans="12:13" ht="13" customHeight="1">
      <c r="L1348" s="1"/>
      <c r="M1348" s="1"/>
    </row>
    <row r="1349" spans="12:13" ht="13" customHeight="1">
      <c r="L1349" s="1"/>
      <c r="M1349" s="1"/>
    </row>
    <row r="1350" spans="12:13" ht="13" customHeight="1">
      <c r="L1350" s="1"/>
      <c r="M1350" s="1"/>
    </row>
    <row r="1351" spans="12:13" ht="13" customHeight="1">
      <c r="L1351" s="1"/>
      <c r="M1351" s="1"/>
    </row>
    <row r="1352" spans="12:13" ht="13" customHeight="1">
      <c r="L1352" s="1"/>
      <c r="M1352" s="1"/>
    </row>
    <row r="1353" spans="12:13" ht="13" customHeight="1">
      <c r="L1353" s="1"/>
      <c r="M1353" s="1"/>
    </row>
    <row r="1354" spans="12:13" ht="13" customHeight="1">
      <c r="L1354" s="1"/>
      <c r="M1354" s="1"/>
    </row>
    <row r="1355" spans="12:13" ht="13" customHeight="1">
      <c r="L1355" s="1"/>
      <c r="M1355" s="1"/>
    </row>
    <row r="1356" spans="12:13" ht="13" customHeight="1">
      <c r="L1356" s="1"/>
      <c r="M1356" s="1"/>
    </row>
    <row r="1357" spans="12:13" ht="13" customHeight="1">
      <c r="L1357" s="1"/>
      <c r="M1357" s="1"/>
    </row>
    <row r="1358" spans="12:13" ht="13" customHeight="1">
      <c r="L1358" s="1"/>
      <c r="M1358" s="1"/>
    </row>
    <row r="1359" spans="12:13" ht="13" customHeight="1">
      <c r="L1359" s="1"/>
      <c r="M1359" s="1"/>
    </row>
    <row r="1360" spans="12:13" ht="13" customHeight="1">
      <c r="L1360" s="1"/>
      <c r="M1360" s="1"/>
    </row>
    <row r="1361" spans="12:13" ht="13" customHeight="1">
      <c r="L1361" s="1"/>
      <c r="M1361" s="1"/>
    </row>
    <row r="1362" spans="12:13" ht="13" customHeight="1">
      <c r="L1362" s="1"/>
      <c r="M1362" s="1"/>
    </row>
    <row r="1363" spans="12:13" ht="13" customHeight="1">
      <c r="L1363" s="1"/>
      <c r="M1363" s="1"/>
    </row>
    <row r="1364" spans="12:13" ht="13" customHeight="1">
      <c r="L1364" s="1"/>
      <c r="M1364" s="1"/>
    </row>
    <row r="1365" spans="12:13" ht="13" customHeight="1">
      <c r="L1365" s="1"/>
      <c r="M1365" s="1"/>
    </row>
    <row r="1366" spans="12:13" ht="13" customHeight="1">
      <c r="L1366" s="1"/>
      <c r="M1366" s="1"/>
    </row>
    <row r="1367" spans="12:13" ht="13" customHeight="1">
      <c r="L1367" s="1"/>
      <c r="M1367" s="1"/>
    </row>
    <row r="1368" spans="12:13" ht="13" customHeight="1">
      <c r="L1368" s="1"/>
      <c r="M1368" s="1"/>
    </row>
    <row r="1369" spans="12:13" ht="13" customHeight="1">
      <c r="L1369" s="1"/>
      <c r="M1369" s="1"/>
    </row>
    <row r="1370" spans="12:13" ht="13" customHeight="1">
      <c r="L1370" s="1"/>
      <c r="M1370" s="1"/>
    </row>
    <row r="1371" spans="12:13" ht="13" customHeight="1">
      <c r="L1371" s="1"/>
      <c r="M1371" s="1"/>
    </row>
    <row r="1372" spans="12:13" ht="13" customHeight="1">
      <c r="L1372" s="1"/>
      <c r="M1372" s="1"/>
    </row>
    <row r="1373" spans="12:13" ht="13" customHeight="1">
      <c r="L1373" s="1"/>
      <c r="M1373" s="1"/>
    </row>
    <row r="1374" spans="12:13" ht="13" customHeight="1">
      <c r="L1374" s="1"/>
      <c r="M1374" s="1"/>
    </row>
    <row r="1375" spans="12:13" ht="13" customHeight="1">
      <c r="L1375" s="1"/>
      <c r="M1375" s="1"/>
    </row>
    <row r="1376" spans="12:13" ht="13" customHeight="1">
      <c r="L1376" s="1"/>
      <c r="M1376" s="1"/>
    </row>
    <row r="1377" spans="12:13" ht="13" customHeight="1">
      <c r="L1377" s="1"/>
      <c r="M1377" s="1"/>
    </row>
    <row r="1378" spans="12:13" ht="13" customHeight="1">
      <c r="L1378" s="1"/>
      <c r="M1378" s="1"/>
    </row>
    <row r="1379" spans="12:13" ht="13" customHeight="1">
      <c r="L1379" s="1"/>
      <c r="M1379" s="1"/>
    </row>
    <row r="1380" spans="12:13" ht="13" customHeight="1">
      <c r="L1380" s="1"/>
      <c r="M1380" s="1"/>
    </row>
    <row r="1381" spans="12:13" ht="13" customHeight="1">
      <c r="L1381" s="1"/>
      <c r="M1381" s="1"/>
    </row>
    <row r="1382" spans="12:13" ht="13" customHeight="1">
      <c r="L1382" s="1"/>
      <c r="M1382" s="1"/>
    </row>
    <row r="1383" spans="12:13" ht="13" customHeight="1">
      <c r="L1383" s="1"/>
      <c r="M1383" s="1"/>
    </row>
    <row r="1384" spans="12:13" ht="13" customHeight="1">
      <c r="L1384" s="1"/>
      <c r="M1384" s="1"/>
    </row>
    <row r="1385" spans="12:13" ht="13" customHeight="1">
      <c r="L1385" s="1"/>
      <c r="M1385" s="1"/>
    </row>
    <row r="1386" spans="12:13" ht="13" customHeight="1">
      <c r="L1386" s="1"/>
      <c r="M1386" s="1"/>
    </row>
    <row r="1387" spans="12:13" ht="13" customHeight="1">
      <c r="L1387" s="1"/>
      <c r="M1387" s="1"/>
    </row>
    <row r="1388" spans="12:13" ht="13" customHeight="1">
      <c r="L1388" s="1"/>
      <c r="M1388" s="1"/>
    </row>
    <row r="1389" spans="12:13" ht="13" customHeight="1">
      <c r="L1389" s="1"/>
      <c r="M1389" s="1"/>
    </row>
    <row r="1390" spans="12:13" ht="13" customHeight="1">
      <c r="L1390" s="1"/>
      <c r="M1390" s="1"/>
    </row>
    <row r="1391" spans="12:13" ht="13" customHeight="1">
      <c r="L1391" s="1"/>
      <c r="M1391" s="1"/>
    </row>
    <row r="1392" spans="12:13" ht="13" customHeight="1">
      <c r="L1392" s="1"/>
      <c r="M1392" s="1"/>
    </row>
    <row r="1393" spans="12:13" ht="13" customHeight="1">
      <c r="L1393" s="1"/>
      <c r="M1393" s="1"/>
    </row>
    <row r="1394" spans="12:13" ht="13" customHeight="1">
      <c r="L1394" s="1"/>
      <c r="M1394" s="1"/>
    </row>
    <row r="1395" spans="12:13" ht="13" customHeight="1">
      <c r="L1395" s="1"/>
      <c r="M1395" s="1"/>
    </row>
    <row r="1396" spans="12:13" ht="13" customHeight="1">
      <c r="L1396" s="1"/>
      <c r="M1396" s="1"/>
    </row>
    <row r="1397" spans="12:13" ht="13" customHeight="1">
      <c r="L1397" s="1"/>
      <c r="M1397" s="1"/>
    </row>
    <row r="1398" spans="12:13" ht="13" customHeight="1">
      <c r="L1398" s="1"/>
      <c r="M1398" s="1"/>
    </row>
    <row r="1399" spans="12:13" ht="13" customHeight="1">
      <c r="L1399" s="1"/>
      <c r="M1399" s="1"/>
    </row>
    <row r="1400" spans="12:13" ht="13" customHeight="1">
      <c r="L1400" s="1"/>
      <c r="M1400" s="1"/>
    </row>
    <row r="1401" spans="12:13" ht="13" customHeight="1">
      <c r="L1401" s="1"/>
      <c r="M1401" s="1"/>
    </row>
    <row r="1402" spans="12:13" ht="13" customHeight="1">
      <c r="L1402" s="1"/>
      <c r="M1402" s="1"/>
    </row>
    <row r="1403" spans="12:13" ht="13" customHeight="1">
      <c r="L1403" s="1"/>
      <c r="M1403" s="1"/>
    </row>
    <row r="1404" spans="12:13" ht="13" customHeight="1">
      <c r="L1404" s="1"/>
      <c r="M1404" s="1"/>
    </row>
    <row r="1405" spans="12:13" ht="13" customHeight="1">
      <c r="L1405" s="1"/>
      <c r="M1405" s="1"/>
    </row>
    <row r="1406" spans="12:13" ht="13" customHeight="1">
      <c r="L1406" s="1"/>
      <c r="M1406" s="1"/>
    </row>
    <row r="1407" spans="12:13" ht="13" customHeight="1">
      <c r="L1407" s="1"/>
      <c r="M1407" s="1"/>
    </row>
    <row r="1408" spans="12:13" ht="13" customHeight="1">
      <c r="L1408" s="1"/>
      <c r="M1408" s="1"/>
    </row>
    <row r="1409" spans="12:13" ht="13" customHeight="1">
      <c r="L1409" s="1"/>
      <c r="M1409" s="1"/>
    </row>
    <row r="1410" spans="12:13" ht="13" customHeight="1">
      <c r="L1410" s="1"/>
      <c r="M1410" s="1"/>
    </row>
    <row r="1411" spans="12:13" ht="13" customHeight="1">
      <c r="L1411" s="1"/>
      <c r="M1411" s="1"/>
    </row>
    <row r="1412" spans="12:13" ht="13" customHeight="1">
      <c r="L1412" s="1"/>
      <c r="M1412" s="1"/>
    </row>
    <row r="1413" spans="12:13" ht="13" customHeight="1">
      <c r="L1413" s="1"/>
      <c r="M1413" s="1"/>
    </row>
    <row r="1414" spans="12:13" ht="13" customHeight="1">
      <c r="L1414" s="1"/>
      <c r="M1414" s="1"/>
    </row>
    <row r="1415" spans="12:13" ht="13" customHeight="1">
      <c r="L1415" s="1"/>
      <c r="M1415" s="1"/>
    </row>
    <row r="1416" spans="12:13" ht="13" customHeight="1">
      <c r="L1416" s="1"/>
      <c r="M1416" s="1"/>
    </row>
    <row r="1417" spans="12:13" ht="13" customHeight="1">
      <c r="L1417" s="1"/>
      <c r="M1417" s="1"/>
    </row>
    <row r="1418" spans="12:13" ht="13" customHeight="1">
      <c r="L1418" s="1"/>
      <c r="M1418" s="1"/>
    </row>
    <row r="1419" spans="12:13" ht="13" customHeight="1">
      <c r="L1419" s="1"/>
      <c r="M1419" s="1"/>
    </row>
    <row r="1420" spans="12:13" ht="13" customHeight="1">
      <c r="L1420" s="1"/>
      <c r="M1420" s="1"/>
    </row>
    <row r="1421" spans="12:13" ht="13" customHeight="1">
      <c r="L1421" s="1"/>
      <c r="M1421" s="1"/>
    </row>
    <row r="1422" spans="12:13" ht="13" customHeight="1">
      <c r="L1422" s="1"/>
      <c r="M1422" s="1"/>
    </row>
    <row r="1423" spans="12:13" ht="13" customHeight="1">
      <c r="L1423" s="1"/>
      <c r="M1423" s="1"/>
    </row>
    <row r="1424" spans="12:13" ht="13" customHeight="1">
      <c r="L1424" s="1"/>
      <c r="M1424" s="1"/>
    </row>
    <row r="1425" spans="12:13" ht="13" customHeight="1">
      <c r="L1425" s="1"/>
      <c r="M1425" s="1"/>
    </row>
    <row r="1426" spans="12:13" ht="13" customHeight="1">
      <c r="L1426" s="1"/>
      <c r="M1426" s="1"/>
    </row>
    <row r="1427" spans="12:13" ht="13" customHeight="1">
      <c r="L1427" s="1"/>
      <c r="M1427" s="1"/>
    </row>
    <row r="1428" spans="12:13" ht="13" customHeight="1">
      <c r="L1428" s="1"/>
      <c r="M1428" s="1"/>
    </row>
    <row r="1429" spans="12:13" ht="13" customHeight="1">
      <c r="L1429" s="1"/>
      <c r="M1429" s="1"/>
    </row>
    <row r="1430" spans="12:13" ht="13" customHeight="1">
      <c r="L1430" s="1"/>
      <c r="M1430" s="1"/>
    </row>
    <row r="1431" spans="12:13" ht="13" customHeight="1">
      <c r="L1431" s="1"/>
      <c r="M1431" s="1"/>
    </row>
    <row r="1432" spans="12:13" ht="13" customHeight="1">
      <c r="L1432" s="1"/>
      <c r="M1432" s="1"/>
    </row>
    <row r="1433" spans="12:13" ht="13" customHeight="1">
      <c r="L1433" s="1"/>
      <c r="M1433" s="1"/>
    </row>
    <row r="1434" spans="12:13" ht="13" customHeight="1">
      <c r="L1434" s="1"/>
      <c r="M1434" s="1"/>
    </row>
    <row r="1435" spans="12:13" ht="13" customHeight="1">
      <c r="L1435" s="1"/>
      <c r="M1435" s="1"/>
    </row>
    <row r="1436" spans="12:13" ht="13" customHeight="1">
      <c r="L1436" s="1"/>
      <c r="M1436" s="1"/>
    </row>
    <row r="1437" spans="12:13" ht="13" customHeight="1">
      <c r="L1437" s="1"/>
      <c r="M1437" s="1"/>
    </row>
    <row r="1438" spans="12:13" ht="13" customHeight="1">
      <c r="L1438" s="1"/>
      <c r="M1438" s="1"/>
    </row>
    <row r="1439" spans="12:13" ht="13" customHeight="1">
      <c r="L1439" s="1"/>
      <c r="M1439" s="1"/>
    </row>
    <row r="1440" spans="12:13" ht="13" customHeight="1">
      <c r="L1440" s="1"/>
      <c r="M1440" s="1"/>
    </row>
    <row r="1441" spans="12:13" ht="13" customHeight="1">
      <c r="L1441" s="1"/>
      <c r="M1441" s="1"/>
    </row>
    <row r="1442" spans="12:13" ht="13" customHeight="1">
      <c r="L1442" s="1"/>
      <c r="M1442" s="1"/>
    </row>
    <row r="1443" spans="12:13" ht="13" customHeight="1">
      <c r="L1443" s="1"/>
      <c r="M1443" s="1"/>
    </row>
    <row r="1444" spans="12:13" ht="13" customHeight="1">
      <c r="L1444" s="1"/>
      <c r="M1444" s="1"/>
    </row>
    <row r="1445" spans="12:13" ht="13" customHeight="1">
      <c r="L1445" s="1"/>
      <c r="M1445" s="1"/>
    </row>
    <row r="1446" spans="12:13" ht="13" customHeight="1">
      <c r="L1446" s="1"/>
      <c r="M1446" s="1"/>
    </row>
    <row r="1447" spans="12:13" ht="13" customHeight="1">
      <c r="L1447" s="1"/>
      <c r="M1447" s="1"/>
    </row>
    <row r="1448" spans="12:13" ht="13" customHeight="1">
      <c r="L1448" s="1"/>
      <c r="M1448" s="1"/>
    </row>
    <row r="1449" spans="12:13" ht="13" customHeight="1">
      <c r="L1449" s="1"/>
      <c r="M1449" s="1"/>
    </row>
    <row r="1450" spans="12:13" ht="13" customHeight="1">
      <c r="L1450" s="1"/>
      <c r="M1450" s="1"/>
    </row>
    <row r="1451" spans="12:13" ht="13" customHeight="1">
      <c r="L1451" s="1"/>
      <c r="M1451" s="1"/>
    </row>
    <row r="1452" spans="12:13" ht="13" customHeight="1">
      <c r="L1452" s="1"/>
      <c r="M1452" s="1"/>
    </row>
    <row r="1453" spans="12:13" ht="13" customHeight="1">
      <c r="L1453" s="1"/>
      <c r="M1453" s="1"/>
    </row>
    <row r="1454" spans="12:13" ht="13" customHeight="1">
      <c r="L1454" s="1"/>
      <c r="M1454" s="1"/>
    </row>
    <row r="1455" spans="12:13" ht="13" customHeight="1">
      <c r="L1455" s="1"/>
      <c r="M1455" s="1"/>
    </row>
    <row r="1456" spans="12:13" ht="13" customHeight="1">
      <c r="L1456" s="1"/>
      <c r="M1456" s="1"/>
    </row>
    <row r="1457" spans="12:13" ht="13" customHeight="1">
      <c r="L1457" s="1"/>
      <c r="M1457" s="1"/>
    </row>
    <row r="1458" spans="12:13" ht="13" customHeight="1">
      <c r="L1458" s="1"/>
      <c r="M1458" s="1"/>
    </row>
    <row r="1459" spans="12:13" ht="13" customHeight="1">
      <c r="L1459" s="1"/>
      <c r="M1459" s="1"/>
    </row>
    <row r="1460" spans="12:13" ht="13" customHeight="1">
      <c r="L1460" s="1"/>
      <c r="M1460" s="1"/>
    </row>
    <row r="1461" spans="12:13" ht="13" customHeight="1">
      <c r="L1461" s="1"/>
      <c r="M1461" s="1"/>
    </row>
    <row r="1462" spans="12:13" ht="13" customHeight="1">
      <c r="L1462" s="1"/>
      <c r="M1462" s="1"/>
    </row>
    <row r="1463" spans="12:13" ht="13" customHeight="1">
      <c r="L1463" s="1"/>
      <c r="M1463" s="1"/>
    </row>
    <row r="1464" spans="12:13" ht="13" customHeight="1">
      <c r="L1464" s="1"/>
      <c r="M1464" s="1"/>
    </row>
    <row r="1465" spans="12:13" ht="13" customHeight="1">
      <c r="L1465" s="1"/>
      <c r="M1465" s="1"/>
    </row>
    <row r="1466" spans="12:13" ht="13" customHeight="1">
      <c r="L1466" s="1"/>
      <c r="M1466" s="1"/>
    </row>
    <row r="1467" spans="12:13" ht="13" customHeight="1">
      <c r="L1467" s="1"/>
      <c r="M1467" s="1"/>
    </row>
    <row r="1468" spans="12:13" ht="13" customHeight="1">
      <c r="L1468" s="1"/>
      <c r="M1468" s="1"/>
    </row>
    <row r="1469" spans="12:13" ht="13" customHeight="1">
      <c r="L1469" s="1"/>
      <c r="M1469" s="1"/>
    </row>
    <row r="1470" spans="12:13" ht="13" customHeight="1">
      <c r="L1470" s="1"/>
      <c r="M1470" s="1"/>
    </row>
    <row r="1471" spans="12:13" ht="13" customHeight="1">
      <c r="L1471" s="1"/>
      <c r="M1471" s="1"/>
    </row>
    <row r="1472" spans="12:13" ht="13" customHeight="1">
      <c r="L1472" s="1"/>
      <c r="M1472" s="1"/>
    </row>
    <row r="1473" spans="12:13" ht="13" customHeight="1">
      <c r="L1473" s="1"/>
      <c r="M1473" s="1"/>
    </row>
    <row r="1474" spans="12:13" ht="13" customHeight="1">
      <c r="L1474" s="1"/>
      <c r="M1474" s="1"/>
    </row>
    <row r="1475" spans="12:13" ht="13" customHeight="1">
      <c r="L1475" s="1"/>
      <c r="M1475" s="1"/>
    </row>
    <row r="1476" spans="12:13" ht="13" customHeight="1">
      <c r="L1476" s="1"/>
      <c r="M1476" s="1"/>
    </row>
    <row r="1477" spans="12:13" ht="13" customHeight="1">
      <c r="L1477" s="1"/>
      <c r="M1477" s="1"/>
    </row>
    <row r="1478" spans="12:13" ht="13" customHeight="1">
      <c r="L1478" s="1"/>
      <c r="M1478" s="1"/>
    </row>
    <row r="1479" spans="12:13" ht="13" customHeight="1">
      <c r="L1479" s="1"/>
      <c r="M1479" s="1"/>
    </row>
    <row r="1480" spans="12:13" ht="13" customHeight="1">
      <c r="L1480" s="1"/>
      <c r="M1480" s="1"/>
    </row>
    <row r="1481" spans="12:13" ht="13" customHeight="1">
      <c r="L1481" s="1"/>
      <c r="M1481" s="1"/>
    </row>
    <row r="1482" spans="12:13" ht="13" customHeight="1">
      <c r="L1482" s="1"/>
      <c r="M1482" s="1"/>
    </row>
    <row r="1483" spans="12:13" ht="13" customHeight="1">
      <c r="L1483" s="1"/>
      <c r="M1483" s="1"/>
    </row>
    <row r="1484" spans="12:13" ht="13" customHeight="1">
      <c r="L1484" s="1"/>
      <c r="M1484" s="1"/>
    </row>
    <row r="1485" spans="12:13" ht="13" customHeight="1">
      <c r="L1485" s="1"/>
      <c r="M1485" s="1"/>
    </row>
    <row r="1486" spans="12:13" ht="13" customHeight="1">
      <c r="L1486" s="1"/>
      <c r="M1486" s="1"/>
    </row>
    <row r="1487" spans="12:13" ht="13" customHeight="1">
      <c r="L1487" s="1"/>
      <c r="M1487" s="1"/>
    </row>
    <row r="1488" spans="12:13" ht="13" customHeight="1">
      <c r="L1488" s="1"/>
      <c r="M1488" s="1"/>
    </row>
    <row r="1489" spans="12:13" ht="13" customHeight="1">
      <c r="L1489" s="1"/>
      <c r="M1489" s="1"/>
    </row>
    <row r="1490" spans="12:13" ht="13" customHeight="1">
      <c r="L1490" s="1"/>
      <c r="M1490" s="1"/>
    </row>
    <row r="1491" spans="12:13" ht="13" customHeight="1">
      <c r="L1491" s="1"/>
      <c r="M1491" s="1"/>
    </row>
    <row r="1492" spans="12:13" ht="13" customHeight="1">
      <c r="L1492" s="1"/>
      <c r="M1492" s="1"/>
    </row>
    <row r="1493" spans="12:13" ht="13" customHeight="1">
      <c r="L1493" s="1"/>
      <c r="M1493" s="1"/>
    </row>
    <row r="1494" spans="12:13" ht="13" customHeight="1">
      <c r="L1494" s="1"/>
      <c r="M1494" s="1"/>
    </row>
    <row r="1495" spans="12:13" ht="13" customHeight="1">
      <c r="L1495" s="1"/>
      <c r="M1495" s="1"/>
    </row>
    <row r="1496" spans="12:13" ht="13" customHeight="1">
      <c r="L1496" s="1"/>
      <c r="M1496" s="1"/>
    </row>
    <row r="1497" spans="12:13" ht="13" customHeight="1">
      <c r="L1497" s="1"/>
      <c r="M1497" s="1"/>
    </row>
    <row r="1498" spans="12:13" ht="13" customHeight="1">
      <c r="L1498" s="1"/>
      <c r="M1498" s="1"/>
    </row>
    <row r="1499" spans="12:13" ht="13" customHeight="1">
      <c r="L1499" s="1"/>
      <c r="M1499" s="1"/>
    </row>
    <row r="1500" spans="12:13" ht="13" customHeight="1">
      <c r="L1500" s="1"/>
      <c r="M1500" s="1"/>
    </row>
    <row r="1501" spans="12:13" ht="13" customHeight="1">
      <c r="L1501" s="1"/>
      <c r="M1501" s="1"/>
    </row>
    <row r="1502" spans="12:13" ht="13" customHeight="1">
      <c r="L1502" s="1"/>
      <c r="M1502" s="1"/>
    </row>
    <row r="1503" spans="12:13" ht="13" customHeight="1">
      <c r="L1503" s="1"/>
      <c r="M1503" s="1"/>
    </row>
    <row r="1504" spans="12:13" ht="13" customHeight="1">
      <c r="L1504" s="1"/>
      <c r="M1504" s="1"/>
    </row>
    <row r="1505" spans="12:13" ht="13" customHeight="1">
      <c r="L1505" s="1"/>
      <c r="M1505" s="1"/>
    </row>
    <row r="1506" spans="12:13" ht="13" customHeight="1">
      <c r="L1506" s="1"/>
      <c r="M1506" s="1"/>
    </row>
    <row r="1507" spans="12:13" ht="13" customHeight="1">
      <c r="L1507" s="1"/>
      <c r="M1507" s="1"/>
    </row>
    <row r="1508" spans="12:13" ht="13" customHeight="1">
      <c r="L1508" s="1"/>
      <c r="M1508" s="1"/>
    </row>
    <row r="1509" spans="12:13" ht="13" customHeight="1">
      <c r="L1509" s="1"/>
      <c r="M1509" s="1"/>
    </row>
    <row r="1510" spans="12:13" ht="13" customHeight="1">
      <c r="L1510" s="1"/>
      <c r="M1510" s="1"/>
    </row>
    <row r="1511" spans="12:13" ht="13" customHeight="1">
      <c r="L1511" s="1"/>
      <c r="M1511" s="1"/>
    </row>
    <row r="1512" spans="12:13" ht="13" customHeight="1">
      <c r="L1512" s="1"/>
      <c r="M1512" s="1"/>
    </row>
    <row r="1513" spans="12:13" ht="13" customHeight="1">
      <c r="L1513" s="1"/>
      <c r="M1513" s="1"/>
    </row>
    <row r="1514" spans="12:13" ht="13" customHeight="1">
      <c r="L1514" s="1"/>
      <c r="M1514" s="1"/>
    </row>
    <row r="1515" spans="12:13" ht="13" customHeight="1">
      <c r="L1515" s="1"/>
      <c r="M1515" s="1"/>
    </row>
    <row r="1516" spans="12:13" ht="13" customHeight="1">
      <c r="L1516" s="1"/>
      <c r="M1516" s="1"/>
    </row>
    <row r="1517" spans="12:13" ht="13" customHeight="1">
      <c r="L1517" s="1"/>
      <c r="M1517" s="1"/>
    </row>
    <row r="1518" spans="12:13" ht="13" customHeight="1">
      <c r="L1518" s="1"/>
      <c r="M1518" s="1"/>
    </row>
    <row r="1519" spans="12:13" ht="13" customHeight="1">
      <c r="L1519" s="1"/>
      <c r="M1519" s="1"/>
    </row>
    <row r="1520" spans="12:13" ht="13" customHeight="1">
      <c r="L1520" s="1"/>
      <c r="M1520" s="1"/>
    </row>
    <row r="1521" spans="12:13" ht="13" customHeight="1">
      <c r="L1521" s="1"/>
      <c r="M1521" s="1"/>
    </row>
    <row r="1522" spans="12:13" ht="13" customHeight="1">
      <c r="L1522" s="1"/>
      <c r="M1522" s="1"/>
    </row>
    <row r="1523" spans="12:13" ht="13" customHeight="1">
      <c r="L1523" s="1"/>
      <c r="M1523" s="1"/>
    </row>
    <row r="1524" spans="12:13" ht="13" customHeight="1">
      <c r="L1524" s="1"/>
      <c r="M1524" s="1"/>
    </row>
    <row r="1525" spans="12:13" ht="13" customHeight="1">
      <c r="L1525" s="1"/>
      <c r="M1525" s="1"/>
    </row>
    <row r="1526" spans="12:13" ht="13" customHeight="1">
      <c r="L1526" s="1"/>
      <c r="M1526" s="1"/>
    </row>
    <row r="1527" spans="12:13" ht="13" customHeight="1">
      <c r="L1527" s="1"/>
      <c r="M1527" s="1"/>
    </row>
    <row r="1528" spans="12:13" ht="13" customHeight="1">
      <c r="L1528" s="1"/>
      <c r="M1528" s="1"/>
    </row>
    <row r="1529" spans="12:13" ht="13" customHeight="1">
      <c r="L1529" s="1"/>
      <c r="M1529" s="1"/>
    </row>
    <row r="1530" spans="12:13" ht="13" customHeight="1">
      <c r="L1530" s="1"/>
      <c r="M1530" s="1"/>
    </row>
    <row r="1531" spans="12:13" ht="13" customHeight="1">
      <c r="L1531" s="1"/>
      <c r="M1531" s="1"/>
    </row>
    <row r="1532" spans="12:13" ht="13" customHeight="1">
      <c r="L1532" s="1"/>
      <c r="M1532" s="1"/>
    </row>
    <row r="1533" spans="12:13" ht="13" customHeight="1">
      <c r="L1533" s="1"/>
      <c r="M1533" s="1"/>
    </row>
    <row r="1534" spans="12:13" ht="13" customHeight="1">
      <c r="L1534" s="1"/>
      <c r="M1534" s="1"/>
    </row>
    <row r="1535" spans="12:13" ht="13" customHeight="1">
      <c r="L1535" s="1"/>
      <c r="M1535" s="1"/>
    </row>
    <row r="1536" spans="12:13" ht="13" customHeight="1">
      <c r="L1536" s="1"/>
      <c r="M1536" s="1"/>
    </row>
    <row r="1537" spans="12:13" ht="13" customHeight="1">
      <c r="L1537" s="1"/>
      <c r="M1537" s="1"/>
    </row>
    <row r="1538" spans="12:13" ht="13" customHeight="1">
      <c r="L1538" s="1"/>
      <c r="M1538" s="1"/>
    </row>
    <row r="1539" spans="12:13" ht="13" customHeight="1">
      <c r="L1539" s="1"/>
      <c r="M1539" s="1"/>
    </row>
    <row r="1540" spans="12:13" ht="13" customHeight="1">
      <c r="L1540" s="1"/>
      <c r="M1540" s="1"/>
    </row>
    <row r="1541" spans="12:13" ht="13" customHeight="1">
      <c r="L1541" s="1"/>
      <c r="M1541" s="1"/>
    </row>
    <row r="1542" spans="12:13" ht="13" customHeight="1">
      <c r="L1542" s="1"/>
      <c r="M1542" s="1"/>
    </row>
    <row r="1543" spans="12:13" ht="13" customHeight="1">
      <c r="L1543" s="1"/>
      <c r="M1543" s="1"/>
    </row>
    <row r="1544" spans="12:13" ht="13" customHeight="1">
      <c r="L1544" s="1"/>
      <c r="M1544" s="1"/>
    </row>
    <row r="1545" spans="12:13" ht="13" customHeight="1">
      <c r="L1545" s="1"/>
      <c r="M1545" s="1"/>
    </row>
    <row r="1546" spans="12:13" ht="13" customHeight="1">
      <c r="L1546" s="1"/>
      <c r="M1546" s="1"/>
    </row>
    <row r="1547" spans="12:13" ht="13" customHeight="1">
      <c r="L1547" s="1"/>
      <c r="M1547" s="1"/>
    </row>
    <row r="1548" spans="12:13" ht="13" customHeight="1">
      <c r="L1548" s="1"/>
      <c r="M1548" s="1"/>
    </row>
    <row r="1549" spans="12:13" ht="13" customHeight="1">
      <c r="L1549" s="1"/>
      <c r="M1549" s="1"/>
    </row>
    <row r="1550" spans="12:13" ht="13" customHeight="1">
      <c r="L1550" s="1"/>
      <c r="M1550" s="1"/>
    </row>
    <row r="1551" spans="12:13" ht="13" customHeight="1">
      <c r="L1551" s="1"/>
      <c r="M1551" s="1"/>
    </row>
    <row r="1552" spans="12:13" ht="13" customHeight="1">
      <c r="L1552" s="1"/>
      <c r="M1552" s="1"/>
    </row>
    <row r="1553" spans="12:13" ht="13" customHeight="1">
      <c r="L1553" s="1"/>
      <c r="M1553" s="1"/>
    </row>
    <row r="1554" spans="12:13" ht="13" customHeight="1">
      <c r="L1554" s="1"/>
      <c r="M1554" s="1"/>
    </row>
    <row r="1555" spans="12:13" ht="13" customHeight="1">
      <c r="L1555" s="1"/>
      <c r="M1555" s="1"/>
    </row>
    <row r="1556" spans="12:13" ht="13" customHeight="1">
      <c r="L1556" s="1"/>
      <c r="M1556" s="1"/>
    </row>
    <row r="1557" spans="12:13" ht="13" customHeight="1">
      <c r="L1557" s="1"/>
      <c r="M1557" s="1"/>
    </row>
    <row r="1558" spans="12:13" ht="13" customHeight="1">
      <c r="L1558" s="1"/>
      <c r="M1558" s="1"/>
    </row>
    <row r="1559" spans="12:13" ht="13" customHeight="1">
      <c r="L1559" s="1"/>
      <c r="M1559" s="1"/>
    </row>
    <row r="1560" spans="12:13" ht="13" customHeight="1">
      <c r="L1560" s="1"/>
      <c r="M1560" s="1"/>
    </row>
    <row r="1561" spans="12:13" ht="13" customHeight="1">
      <c r="L1561" s="1"/>
      <c r="M1561" s="1"/>
    </row>
    <row r="1562" spans="12:13" ht="13" customHeight="1">
      <c r="L1562" s="1"/>
      <c r="M1562" s="1"/>
    </row>
    <row r="1563" spans="12:13" ht="13" customHeight="1">
      <c r="L1563" s="1"/>
      <c r="M1563" s="1"/>
    </row>
    <row r="1564" spans="12:13" ht="13" customHeight="1">
      <c r="L1564" s="1"/>
      <c r="M1564" s="1"/>
    </row>
    <row r="1565" spans="12:13" ht="13" customHeight="1">
      <c r="L1565" s="1"/>
      <c r="M1565" s="1"/>
    </row>
    <row r="1566" spans="12:13" ht="13" customHeight="1">
      <c r="L1566" s="1"/>
      <c r="M1566" s="1"/>
    </row>
    <row r="1567" spans="12:13" ht="13" customHeight="1">
      <c r="L1567" s="1"/>
      <c r="M1567" s="1"/>
    </row>
    <row r="1568" spans="12:13" ht="13" customHeight="1">
      <c r="L1568" s="1"/>
      <c r="M1568" s="1"/>
    </row>
    <row r="1569" spans="12:13" ht="13" customHeight="1">
      <c r="L1569" s="1"/>
      <c r="M1569" s="1"/>
    </row>
    <row r="1570" spans="12:13" ht="13" customHeight="1">
      <c r="L1570" s="1"/>
      <c r="M1570" s="1"/>
    </row>
    <row r="1571" spans="12:13" ht="13" customHeight="1">
      <c r="L1571" s="1"/>
      <c r="M1571" s="1"/>
    </row>
    <row r="1572" spans="12:13" ht="13" customHeight="1">
      <c r="L1572" s="1"/>
      <c r="M1572" s="1"/>
    </row>
    <row r="1573" spans="12:13" ht="13" customHeight="1">
      <c r="L1573" s="1"/>
      <c r="M1573" s="1"/>
    </row>
    <row r="1574" spans="12:13" ht="13" customHeight="1">
      <c r="L1574" s="1"/>
      <c r="M1574" s="1"/>
    </row>
    <row r="1575" spans="12:13" ht="13" customHeight="1">
      <c r="L1575" s="1"/>
      <c r="M1575" s="1"/>
    </row>
    <row r="1576" spans="12:13" ht="13" customHeight="1">
      <c r="L1576" s="1"/>
      <c r="M1576" s="1"/>
    </row>
    <row r="1577" spans="12:13" ht="13" customHeight="1">
      <c r="L1577" s="1"/>
      <c r="M1577" s="1"/>
    </row>
    <row r="1578" spans="12:13" ht="13" customHeight="1">
      <c r="L1578" s="1"/>
      <c r="M1578" s="1"/>
    </row>
    <row r="1579" spans="12:13" ht="13" customHeight="1">
      <c r="L1579" s="1"/>
      <c r="M1579" s="1"/>
    </row>
    <row r="1580" spans="12:13" ht="13" customHeight="1">
      <c r="L1580" s="1"/>
      <c r="M1580" s="1"/>
    </row>
    <row r="1581" spans="12:13" ht="13" customHeight="1">
      <c r="L1581" s="1"/>
      <c r="M1581" s="1"/>
    </row>
    <row r="1582" spans="12:13" ht="13" customHeight="1">
      <c r="L1582" s="1"/>
      <c r="M1582" s="1"/>
    </row>
    <row r="1583" spans="12:13" ht="13" customHeight="1">
      <c r="L1583" s="1"/>
      <c r="M1583" s="1"/>
    </row>
    <row r="1584" spans="12:13" ht="13" customHeight="1">
      <c r="L1584" s="1"/>
      <c r="M1584" s="1"/>
    </row>
    <row r="1585" spans="12:13" ht="13" customHeight="1">
      <c r="L1585" s="1"/>
      <c r="M1585" s="1"/>
    </row>
    <row r="1586" spans="12:13" ht="13" customHeight="1">
      <c r="L1586" s="1"/>
      <c r="M1586" s="1"/>
    </row>
    <row r="1587" spans="12:13" ht="13" customHeight="1">
      <c r="L1587" s="1"/>
      <c r="M1587" s="1"/>
    </row>
    <row r="1588" spans="12:13" ht="13" customHeight="1">
      <c r="L1588" s="1"/>
      <c r="M1588" s="1"/>
    </row>
    <row r="1589" spans="12:13" ht="13" customHeight="1">
      <c r="L1589" s="1"/>
      <c r="M1589" s="1"/>
    </row>
    <row r="1590" spans="12:13" ht="13" customHeight="1">
      <c r="L1590" s="1"/>
      <c r="M1590" s="1"/>
    </row>
    <row r="1591" spans="12:13" ht="13" customHeight="1">
      <c r="L1591" s="1"/>
      <c r="M1591" s="1"/>
    </row>
    <row r="1592" spans="12:13" ht="13" customHeight="1">
      <c r="L1592" s="1"/>
      <c r="M1592" s="1"/>
    </row>
    <row r="1593" spans="12:13" ht="13" customHeight="1">
      <c r="L1593" s="1"/>
      <c r="M1593" s="1"/>
    </row>
    <row r="1594" spans="12:13" ht="13" customHeight="1">
      <c r="L1594" s="1"/>
      <c r="M1594" s="1"/>
    </row>
    <row r="1595" spans="12:13" ht="13" customHeight="1">
      <c r="L1595" s="1"/>
      <c r="M1595" s="1"/>
    </row>
    <row r="1596" spans="12:13" ht="13" customHeight="1">
      <c r="L1596" s="1"/>
      <c r="M1596" s="1"/>
    </row>
    <row r="1597" spans="12:13" ht="13" customHeight="1">
      <c r="L1597" s="1"/>
      <c r="M1597" s="1"/>
    </row>
    <row r="1598" spans="12:13" ht="13" customHeight="1">
      <c r="L1598" s="1"/>
      <c r="M1598" s="1"/>
    </row>
    <row r="1599" spans="12:13" ht="13" customHeight="1">
      <c r="L1599" s="1"/>
      <c r="M1599" s="1"/>
    </row>
    <row r="1600" spans="12:13" ht="13" customHeight="1">
      <c r="L1600" s="1"/>
      <c r="M1600" s="1"/>
    </row>
    <row r="1601" spans="12:13" ht="13" customHeight="1">
      <c r="L1601" s="1"/>
      <c r="M1601" s="1"/>
    </row>
    <row r="1602" spans="12:13" ht="13" customHeight="1">
      <c r="L1602" s="1"/>
      <c r="M1602" s="1"/>
    </row>
    <row r="1603" spans="12:13" ht="13" customHeight="1">
      <c r="L1603" s="1"/>
      <c r="M1603" s="1"/>
    </row>
    <row r="1604" spans="12:13" ht="13" customHeight="1">
      <c r="L1604" s="1"/>
      <c r="M1604" s="1"/>
    </row>
    <row r="1605" spans="12:13" ht="13" customHeight="1">
      <c r="L1605" s="1"/>
      <c r="M1605" s="1"/>
    </row>
    <row r="1606" spans="12:13" ht="13" customHeight="1">
      <c r="L1606" s="1"/>
      <c r="M1606" s="1"/>
    </row>
    <row r="1607" spans="12:13" ht="13" customHeight="1">
      <c r="L1607" s="1"/>
      <c r="M1607" s="1"/>
    </row>
    <row r="1608" spans="12:13" ht="13" customHeight="1">
      <c r="L1608" s="1"/>
      <c r="M1608" s="1"/>
    </row>
    <row r="1609" spans="12:13" ht="13" customHeight="1">
      <c r="L1609" s="1"/>
      <c r="M1609" s="1"/>
    </row>
    <row r="1610" spans="12:13" ht="13" customHeight="1">
      <c r="L1610" s="1"/>
      <c r="M1610" s="1"/>
    </row>
    <row r="1611" spans="12:13" ht="13" customHeight="1">
      <c r="L1611" s="1"/>
      <c r="M1611" s="1"/>
    </row>
    <row r="1612" spans="12:13" ht="13" customHeight="1">
      <c r="L1612" s="1"/>
      <c r="M1612" s="1"/>
    </row>
    <row r="1613" spans="12:13" ht="13" customHeight="1">
      <c r="L1613" s="1"/>
      <c r="M1613" s="1"/>
    </row>
    <row r="1614" spans="12:13" ht="13" customHeight="1">
      <c r="L1614" s="1"/>
      <c r="M1614" s="1"/>
    </row>
    <row r="1615" spans="12:13" ht="13" customHeight="1">
      <c r="L1615" s="1"/>
      <c r="M1615" s="1"/>
    </row>
    <row r="1616" spans="12:13" ht="13" customHeight="1">
      <c r="L1616" s="1"/>
      <c r="M1616" s="1"/>
    </row>
    <row r="1617" spans="12:13" ht="13" customHeight="1">
      <c r="L1617" s="1"/>
      <c r="M1617" s="1"/>
    </row>
    <row r="1618" spans="12:13" ht="13" customHeight="1">
      <c r="L1618" s="1"/>
      <c r="M1618" s="1"/>
    </row>
    <row r="1619" spans="12:13" ht="13" customHeight="1">
      <c r="L1619" s="1"/>
      <c r="M1619" s="1"/>
    </row>
    <row r="1620" spans="12:13" ht="13" customHeight="1">
      <c r="L1620" s="1"/>
      <c r="M1620" s="1"/>
    </row>
    <row r="1621" spans="12:13" ht="13" customHeight="1">
      <c r="L1621" s="1"/>
      <c r="M1621" s="1"/>
    </row>
    <row r="1622" spans="12:13" ht="13" customHeight="1">
      <c r="L1622" s="1"/>
      <c r="M1622" s="1"/>
    </row>
    <row r="1623" spans="12:13" ht="13" customHeight="1">
      <c r="L1623" s="1"/>
      <c r="M1623" s="1"/>
    </row>
    <row r="1624" spans="12:13" ht="13" customHeight="1">
      <c r="L1624" s="1"/>
      <c r="M1624" s="1"/>
    </row>
    <row r="1625" spans="12:13" ht="13" customHeight="1">
      <c r="L1625" s="1"/>
      <c r="M1625" s="1"/>
    </row>
    <row r="1626" spans="12:13" ht="13" customHeight="1">
      <c r="L1626" s="1"/>
      <c r="M1626" s="1"/>
    </row>
    <row r="1627" spans="12:13" ht="13" customHeight="1">
      <c r="L1627" s="1"/>
      <c r="M1627" s="1"/>
    </row>
    <row r="1628" spans="12:13" ht="13" customHeight="1">
      <c r="L1628" s="1"/>
      <c r="M1628" s="1"/>
    </row>
    <row r="1629" spans="12:13" ht="13" customHeight="1">
      <c r="L1629" s="1"/>
      <c r="M1629" s="1"/>
    </row>
    <row r="1630" spans="12:13" ht="13" customHeight="1">
      <c r="L1630" s="1"/>
      <c r="M1630" s="1"/>
    </row>
    <row r="1631" spans="12:13" ht="13" customHeight="1">
      <c r="L1631" s="1"/>
      <c r="M1631" s="1"/>
    </row>
    <row r="1632" spans="12:13" ht="13" customHeight="1">
      <c r="L1632" s="1"/>
      <c r="M1632" s="1"/>
    </row>
    <row r="1633" spans="12:13" ht="13" customHeight="1">
      <c r="L1633" s="1"/>
      <c r="M1633" s="1"/>
    </row>
    <row r="1634" spans="12:13" ht="13" customHeight="1">
      <c r="L1634" s="1"/>
      <c r="M1634" s="1"/>
    </row>
    <row r="1635" spans="12:13" ht="13" customHeight="1">
      <c r="L1635" s="1"/>
      <c r="M1635" s="1"/>
    </row>
    <row r="1636" spans="12:13" ht="13" customHeight="1">
      <c r="L1636" s="1"/>
      <c r="M1636" s="1"/>
    </row>
    <row r="1637" spans="12:13" ht="13" customHeight="1">
      <c r="L1637" s="1"/>
      <c r="M1637" s="1"/>
    </row>
    <row r="1638" spans="12:13" ht="13" customHeight="1">
      <c r="L1638" s="1"/>
      <c r="M1638" s="1"/>
    </row>
    <row r="1639" spans="12:13" ht="13" customHeight="1">
      <c r="L1639" s="1"/>
      <c r="M1639" s="1"/>
    </row>
    <row r="1640" spans="12:13" ht="13" customHeight="1">
      <c r="L1640" s="1"/>
      <c r="M1640" s="1"/>
    </row>
    <row r="1641" spans="12:13" ht="13" customHeight="1">
      <c r="L1641" s="1"/>
      <c r="M1641" s="1"/>
    </row>
    <row r="1642" spans="12:13" ht="13" customHeight="1">
      <c r="L1642" s="1"/>
      <c r="M1642" s="1"/>
    </row>
    <row r="1643" spans="12:13" ht="13" customHeight="1">
      <c r="L1643" s="1"/>
      <c r="M1643" s="1"/>
    </row>
    <row r="1644" spans="12:13" ht="13" customHeight="1">
      <c r="L1644" s="1"/>
      <c r="M1644" s="1"/>
    </row>
    <row r="1645" spans="12:13" ht="13" customHeight="1">
      <c r="L1645" s="1"/>
      <c r="M1645" s="1"/>
    </row>
    <row r="1646" spans="12:13" ht="13" customHeight="1">
      <c r="L1646" s="1"/>
      <c r="M1646" s="1"/>
    </row>
    <row r="1647" spans="12:13" ht="13" customHeight="1">
      <c r="L1647" s="1"/>
      <c r="M1647" s="1"/>
    </row>
    <row r="1648" spans="12:13" ht="13" customHeight="1">
      <c r="L1648" s="1"/>
      <c r="M1648" s="1"/>
    </row>
    <row r="1649" spans="12:13" ht="13" customHeight="1">
      <c r="L1649" s="1"/>
      <c r="M1649" s="1"/>
    </row>
    <row r="1650" spans="12:13" ht="13" customHeight="1">
      <c r="L1650" s="1"/>
      <c r="M1650" s="1"/>
    </row>
    <row r="1651" spans="12:13" ht="13" customHeight="1">
      <c r="L1651" s="1"/>
      <c r="M1651" s="1"/>
    </row>
    <row r="1652" spans="12:13" ht="13" customHeight="1">
      <c r="L1652" s="1"/>
      <c r="M1652" s="1"/>
    </row>
    <row r="1653" spans="12:13" ht="13" customHeight="1">
      <c r="L1653" s="1"/>
      <c r="M1653" s="1"/>
    </row>
    <row r="1654" spans="12:13" ht="13" customHeight="1">
      <c r="L1654" s="1"/>
      <c r="M1654" s="1"/>
    </row>
    <row r="1655" spans="12:13" ht="13" customHeight="1">
      <c r="L1655" s="1"/>
      <c r="M1655" s="1"/>
    </row>
    <row r="1656" spans="12:13" ht="13" customHeight="1">
      <c r="L1656" s="1"/>
      <c r="M1656" s="1"/>
    </row>
    <row r="1657" spans="12:13" ht="13" customHeight="1">
      <c r="L1657" s="1"/>
      <c r="M1657" s="1"/>
    </row>
    <row r="1658" spans="12:13" ht="13" customHeight="1">
      <c r="L1658" s="1"/>
      <c r="M1658" s="1"/>
    </row>
    <row r="1659" spans="12:13" ht="13" customHeight="1">
      <c r="L1659" s="1"/>
      <c r="M1659" s="1"/>
    </row>
    <row r="1660" spans="12:13" ht="13" customHeight="1">
      <c r="L1660" s="1"/>
      <c r="M1660" s="1"/>
    </row>
    <row r="1661" spans="12:13" ht="13" customHeight="1">
      <c r="L1661" s="1"/>
      <c r="M1661" s="1"/>
    </row>
    <row r="1662" spans="12:13" ht="13" customHeight="1">
      <c r="L1662" s="1"/>
      <c r="M1662" s="1"/>
    </row>
    <row r="1663" spans="12:13" ht="13" customHeight="1">
      <c r="L1663" s="1"/>
      <c r="M1663" s="1"/>
    </row>
    <row r="1664" spans="12:13" ht="13" customHeight="1">
      <c r="L1664" s="1"/>
      <c r="M1664" s="1"/>
    </row>
    <row r="1665" spans="12:13" ht="13" customHeight="1">
      <c r="L1665" s="1"/>
      <c r="M1665" s="1"/>
    </row>
    <row r="1666" spans="12:13" ht="13" customHeight="1">
      <c r="L1666" s="1"/>
      <c r="M1666" s="1"/>
    </row>
    <row r="1667" spans="12:13" ht="13" customHeight="1">
      <c r="L1667" s="1"/>
      <c r="M1667" s="1"/>
    </row>
    <row r="1668" spans="12:13" ht="13" customHeight="1">
      <c r="L1668" s="1"/>
      <c r="M1668" s="1"/>
    </row>
    <row r="1669" spans="12:13" ht="13" customHeight="1">
      <c r="L1669" s="1"/>
      <c r="M1669" s="1"/>
    </row>
    <row r="1670" spans="12:13" ht="13" customHeight="1">
      <c r="L1670" s="1"/>
      <c r="M1670" s="1"/>
    </row>
    <row r="1671" spans="12:13" ht="13" customHeight="1">
      <c r="L1671" s="1"/>
      <c r="M1671" s="1"/>
    </row>
    <row r="1672" spans="12:13" ht="13" customHeight="1">
      <c r="L1672" s="1"/>
      <c r="M1672" s="1"/>
    </row>
    <row r="1673" spans="12:13" ht="13" customHeight="1">
      <c r="L1673" s="1"/>
      <c r="M1673" s="1"/>
    </row>
    <row r="1674" spans="12:13" ht="13" customHeight="1">
      <c r="L1674" s="1"/>
      <c r="M1674" s="1"/>
    </row>
    <row r="1675" spans="12:13" ht="13" customHeight="1">
      <c r="L1675" s="1"/>
      <c r="M1675" s="1"/>
    </row>
    <row r="1676" spans="12:13" ht="13" customHeight="1">
      <c r="L1676" s="1"/>
      <c r="M1676" s="1"/>
    </row>
    <row r="1677" spans="12:13" ht="13" customHeight="1">
      <c r="L1677" s="1"/>
      <c r="M1677" s="1"/>
    </row>
    <row r="1678" spans="12:13" ht="13" customHeight="1">
      <c r="L1678" s="1"/>
      <c r="M1678" s="1"/>
    </row>
    <row r="1679" spans="12:13" ht="13" customHeight="1">
      <c r="L1679" s="1"/>
      <c r="M1679" s="1"/>
    </row>
    <row r="1680" spans="12:13" ht="13" customHeight="1">
      <c r="L1680" s="1"/>
      <c r="M1680" s="1"/>
    </row>
    <row r="1681" spans="12:13" ht="13" customHeight="1">
      <c r="L1681" s="1"/>
      <c r="M1681" s="1"/>
    </row>
    <row r="1682" spans="12:13" ht="13" customHeight="1">
      <c r="L1682" s="1"/>
      <c r="M1682" s="1"/>
    </row>
    <row r="1683" spans="12:13" ht="13" customHeight="1">
      <c r="L1683" s="1"/>
      <c r="M1683" s="1"/>
    </row>
    <row r="1684" spans="12:13" ht="13" customHeight="1">
      <c r="L1684" s="1"/>
      <c r="M1684" s="1"/>
    </row>
    <row r="1685" spans="12:13" ht="13" customHeight="1">
      <c r="L1685" s="1"/>
      <c r="M1685" s="1"/>
    </row>
    <row r="1686" spans="12:13" ht="13" customHeight="1">
      <c r="L1686" s="1"/>
      <c r="M1686" s="1"/>
    </row>
    <row r="1687" spans="12:13" ht="13" customHeight="1">
      <c r="L1687" s="1"/>
      <c r="M1687" s="1"/>
    </row>
    <row r="1688" spans="12:13" ht="13" customHeight="1">
      <c r="L1688" s="1"/>
      <c r="M1688" s="1"/>
    </row>
    <row r="1689" spans="12:13" ht="13" customHeight="1">
      <c r="L1689" s="1"/>
      <c r="M1689" s="1"/>
    </row>
    <row r="1690" spans="12:13" ht="13" customHeight="1">
      <c r="L1690" s="1"/>
      <c r="M1690" s="1"/>
    </row>
    <row r="1691" spans="12:13" ht="13" customHeight="1">
      <c r="L1691" s="1"/>
      <c r="M1691" s="1"/>
    </row>
    <row r="1692" spans="12:13" ht="13" customHeight="1">
      <c r="L1692" s="1"/>
      <c r="M1692" s="1"/>
    </row>
    <row r="1693" spans="12:13" ht="13" customHeight="1">
      <c r="L1693" s="1"/>
      <c r="M1693" s="1"/>
    </row>
    <row r="1694" spans="12:13" ht="13" customHeight="1">
      <c r="L1694" s="1"/>
      <c r="M1694" s="1"/>
    </row>
    <row r="1695" spans="12:13" ht="13" customHeight="1">
      <c r="L1695" s="1"/>
      <c r="M1695" s="1"/>
    </row>
    <row r="1696" spans="12:13" ht="13" customHeight="1">
      <c r="L1696" s="1"/>
      <c r="M1696" s="1"/>
    </row>
    <row r="1697" spans="12:13" ht="13" customHeight="1">
      <c r="L1697" s="1"/>
      <c r="M1697" s="1"/>
    </row>
    <row r="1698" spans="12:13" ht="13" customHeight="1">
      <c r="L1698" s="1"/>
      <c r="M1698" s="1"/>
    </row>
    <row r="1699" spans="12:13" ht="13" customHeight="1">
      <c r="L1699" s="1"/>
      <c r="M1699" s="1"/>
    </row>
    <row r="1700" spans="12:13" ht="13" customHeight="1">
      <c r="L1700" s="1"/>
      <c r="M1700" s="1"/>
    </row>
    <row r="1701" spans="12:13" ht="13" customHeight="1">
      <c r="L1701" s="1"/>
      <c r="M1701" s="1"/>
    </row>
    <row r="1702" spans="12:13" ht="13" customHeight="1">
      <c r="L1702" s="1"/>
      <c r="M1702" s="1"/>
    </row>
    <row r="1703" spans="12:13" ht="13" customHeight="1">
      <c r="L1703" s="1"/>
      <c r="M1703" s="1"/>
    </row>
    <row r="1704" spans="12:13" ht="13" customHeight="1">
      <c r="L1704" s="1"/>
      <c r="M1704" s="1"/>
    </row>
    <row r="1705" spans="12:13" ht="13" customHeight="1">
      <c r="L1705" s="1"/>
      <c r="M1705" s="1"/>
    </row>
    <row r="1706" spans="12:13" ht="13" customHeight="1">
      <c r="L1706" s="1"/>
      <c r="M1706" s="1"/>
    </row>
    <row r="1707" spans="12:13" ht="13" customHeight="1">
      <c r="L1707" s="1"/>
      <c r="M1707" s="1"/>
    </row>
    <row r="1708" spans="12:13" ht="13" customHeight="1">
      <c r="L1708" s="1"/>
      <c r="M1708" s="1"/>
    </row>
    <row r="1709" spans="12:13" ht="13" customHeight="1">
      <c r="L1709" s="1"/>
      <c r="M1709" s="1"/>
    </row>
    <row r="1710" spans="12:13" ht="13" customHeight="1">
      <c r="L1710" s="1"/>
      <c r="M1710" s="1"/>
    </row>
    <row r="1711" spans="12:13" ht="13" customHeight="1">
      <c r="L1711" s="1"/>
      <c r="M1711" s="1"/>
    </row>
    <row r="1712" spans="12:13" ht="13" customHeight="1">
      <c r="L1712" s="1"/>
      <c r="M1712" s="1"/>
    </row>
    <row r="1713" spans="12:13" ht="13" customHeight="1">
      <c r="L1713" s="1"/>
      <c r="M1713" s="1"/>
    </row>
    <row r="1714" spans="12:13" ht="13" customHeight="1">
      <c r="L1714" s="1"/>
      <c r="M1714" s="1"/>
    </row>
    <row r="1715" spans="12:13" ht="13" customHeight="1">
      <c r="L1715" s="1"/>
      <c r="M1715" s="1"/>
    </row>
    <row r="1716" spans="12:13" ht="13" customHeight="1">
      <c r="L1716" s="1"/>
      <c r="M1716" s="1"/>
    </row>
    <row r="1717" spans="12:13" ht="13" customHeight="1">
      <c r="L1717" s="1"/>
      <c r="M1717" s="1"/>
    </row>
    <row r="1718" spans="12:13" ht="13" customHeight="1">
      <c r="L1718" s="1"/>
      <c r="M1718" s="1"/>
    </row>
    <row r="1719" spans="12:13" ht="13" customHeight="1">
      <c r="L1719" s="1"/>
      <c r="M1719" s="1"/>
    </row>
    <row r="1720" spans="12:13" ht="13" customHeight="1">
      <c r="L1720" s="1"/>
      <c r="M1720" s="1"/>
    </row>
    <row r="1721" spans="12:13" ht="13" customHeight="1">
      <c r="L1721" s="1"/>
      <c r="M1721" s="1"/>
    </row>
    <row r="1722" spans="12:13" ht="13" customHeight="1">
      <c r="L1722" s="1"/>
      <c r="M1722" s="1"/>
    </row>
    <row r="1723" spans="12:13" ht="13" customHeight="1">
      <c r="L1723" s="1"/>
      <c r="M1723" s="1"/>
    </row>
    <row r="1724" spans="12:13" ht="13" customHeight="1">
      <c r="L1724" s="1"/>
      <c r="M1724" s="1"/>
    </row>
    <row r="1725" spans="12:13" ht="13" customHeight="1">
      <c r="L1725" s="1"/>
      <c r="M1725" s="1"/>
    </row>
    <row r="1726" spans="12:13" ht="13" customHeight="1">
      <c r="L1726" s="1"/>
      <c r="M1726" s="1"/>
    </row>
    <row r="1727" spans="12:13" ht="13" customHeight="1">
      <c r="L1727" s="1"/>
      <c r="M1727" s="1"/>
    </row>
    <row r="1728" spans="12:13" ht="13" customHeight="1">
      <c r="L1728" s="1"/>
      <c r="M1728" s="1"/>
    </row>
    <row r="1729" spans="12:13" ht="13" customHeight="1">
      <c r="L1729" s="1"/>
      <c r="M1729" s="1"/>
    </row>
    <row r="1730" spans="12:13" ht="13" customHeight="1">
      <c r="L1730" s="1"/>
      <c r="M1730" s="1"/>
    </row>
    <row r="1731" spans="12:13" ht="13" customHeight="1">
      <c r="L1731" s="1"/>
      <c r="M1731" s="1"/>
    </row>
    <row r="1732" spans="12:13" ht="13" customHeight="1">
      <c r="L1732" s="1"/>
      <c r="M1732" s="1"/>
    </row>
    <row r="1733" spans="12:13" ht="13" customHeight="1">
      <c r="L1733" s="1"/>
      <c r="M1733" s="1"/>
    </row>
    <row r="1734" spans="12:13" ht="13" customHeight="1">
      <c r="L1734" s="1"/>
      <c r="M1734" s="1"/>
    </row>
    <row r="1735" spans="12:13" ht="13" customHeight="1">
      <c r="L1735" s="1"/>
      <c r="M1735" s="1"/>
    </row>
    <row r="1736" spans="12:13" ht="13" customHeight="1">
      <c r="L1736" s="1"/>
      <c r="M1736" s="1"/>
    </row>
    <row r="1737" spans="12:13" ht="13" customHeight="1">
      <c r="L1737" s="1"/>
      <c r="M1737" s="1"/>
    </row>
    <row r="1738" spans="12:13" ht="13" customHeight="1">
      <c r="L1738" s="1"/>
      <c r="M1738" s="1"/>
    </row>
    <row r="1739" spans="12:13" ht="13" customHeight="1">
      <c r="L1739" s="1"/>
      <c r="M1739" s="1"/>
    </row>
    <row r="1740" spans="12:13" ht="13" customHeight="1">
      <c r="L1740" s="1"/>
      <c r="M1740" s="1"/>
    </row>
    <row r="1741" spans="12:13" ht="13" customHeight="1">
      <c r="L1741" s="1"/>
      <c r="M1741" s="1"/>
    </row>
    <row r="1742" spans="12:13" ht="13" customHeight="1">
      <c r="L1742" s="1"/>
      <c r="M1742" s="1"/>
    </row>
    <row r="1743" spans="12:13" ht="13" customHeight="1">
      <c r="L1743" s="1"/>
      <c r="M1743" s="1"/>
    </row>
    <row r="1744" spans="12:13" ht="13" customHeight="1">
      <c r="L1744" s="1"/>
      <c r="M1744" s="1"/>
    </row>
    <row r="1745" spans="12:13" ht="13" customHeight="1">
      <c r="L1745" s="1"/>
      <c r="M1745" s="1"/>
    </row>
    <row r="1746" spans="12:13" ht="13" customHeight="1">
      <c r="L1746" s="1"/>
      <c r="M1746" s="1"/>
    </row>
    <row r="1747" spans="12:13" ht="13" customHeight="1">
      <c r="L1747" s="1"/>
      <c r="M1747" s="1"/>
    </row>
    <row r="1748" spans="12:13" ht="13" customHeight="1">
      <c r="L1748" s="1"/>
      <c r="M1748" s="1"/>
    </row>
    <row r="1749" spans="12:13" ht="13" customHeight="1">
      <c r="L1749" s="1"/>
      <c r="M1749" s="1"/>
    </row>
    <row r="1750" spans="12:13" ht="13" customHeight="1">
      <c r="L1750" s="1"/>
      <c r="M1750" s="1"/>
    </row>
    <row r="1751" spans="12:13" ht="13" customHeight="1">
      <c r="L1751" s="1"/>
      <c r="M1751" s="1"/>
    </row>
    <row r="1752" spans="12:13" ht="13" customHeight="1">
      <c r="L1752" s="1"/>
      <c r="M1752" s="1"/>
    </row>
    <row r="1753" spans="12:13" ht="13" customHeight="1">
      <c r="L1753" s="1"/>
      <c r="M1753" s="1"/>
    </row>
    <row r="1754" spans="12:13" ht="13" customHeight="1">
      <c r="L1754" s="1"/>
      <c r="M1754" s="1"/>
    </row>
    <row r="1755" spans="12:13" ht="13" customHeight="1">
      <c r="L1755" s="1"/>
      <c r="M1755" s="1"/>
    </row>
    <row r="1756" spans="12:13" ht="13" customHeight="1">
      <c r="L1756" s="1"/>
      <c r="M1756" s="1"/>
    </row>
    <row r="1757" spans="12:13" ht="13" customHeight="1">
      <c r="L1757" s="1"/>
      <c r="M1757" s="1"/>
    </row>
    <row r="1758" spans="12:13" ht="13" customHeight="1">
      <c r="L1758" s="1"/>
      <c r="M1758" s="1"/>
    </row>
    <row r="1759" spans="12:13" ht="13" customHeight="1">
      <c r="L1759" s="1"/>
      <c r="M1759" s="1"/>
    </row>
    <row r="1760" spans="12:13" ht="13" customHeight="1">
      <c r="L1760" s="1"/>
      <c r="M1760" s="1"/>
    </row>
    <row r="1761" spans="12:13" ht="13" customHeight="1">
      <c r="L1761" s="1"/>
      <c r="M1761" s="1"/>
    </row>
    <row r="1762" spans="12:13" ht="13" customHeight="1">
      <c r="L1762" s="1"/>
      <c r="M1762" s="1"/>
    </row>
    <row r="1763" spans="12:13" ht="13" customHeight="1">
      <c r="L1763" s="1"/>
      <c r="M1763" s="1"/>
    </row>
    <row r="1764" spans="12:13" ht="13" customHeight="1">
      <c r="L1764" s="1"/>
      <c r="M1764" s="1"/>
    </row>
    <row r="1765" spans="12:13" ht="13" customHeight="1">
      <c r="L1765" s="1"/>
      <c r="M1765" s="1"/>
    </row>
    <row r="1766" spans="12:13" ht="13" customHeight="1">
      <c r="L1766" s="1"/>
      <c r="M1766" s="1"/>
    </row>
    <row r="1767" spans="12:13" ht="13" customHeight="1">
      <c r="L1767" s="1"/>
      <c r="M1767" s="1"/>
    </row>
    <row r="1768" spans="12:13" ht="13" customHeight="1">
      <c r="L1768" s="1"/>
      <c r="M1768" s="1"/>
    </row>
    <row r="1769" spans="12:13" ht="13" customHeight="1">
      <c r="L1769" s="1"/>
      <c r="M1769" s="1"/>
    </row>
    <row r="1770" spans="12:13" ht="13" customHeight="1">
      <c r="L1770" s="1"/>
      <c r="M1770" s="1"/>
    </row>
    <row r="1771" spans="12:13" ht="13" customHeight="1">
      <c r="L1771" s="1"/>
      <c r="M1771" s="1"/>
    </row>
    <row r="1772" spans="12:13" ht="13" customHeight="1">
      <c r="L1772" s="1"/>
      <c r="M1772" s="1"/>
    </row>
    <row r="1773" spans="12:13" ht="13" customHeight="1">
      <c r="L1773" s="1"/>
      <c r="M1773" s="1"/>
    </row>
    <row r="1774" spans="12:13" ht="13" customHeight="1">
      <c r="L1774" s="1"/>
      <c r="M1774" s="1"/>
    </row>
    <row r="1775" spans="12:13" ht="13" customHeight="1">
      <c r="L1775" s="1"/>
      <c r="M1775" s="1"/>
    </row>
    <row r="1776" spans="12:13" ht="13" customHeight="1">
      <c r="L1776" s="1"/>
      <c r="M1776" s="1"/>
    </row>
    <row r="1777" spans="12:13" ht="13" customHeight="1">
      <c r="L1777" s="1"/>
      <c r="M1777" s="1"/>
    </row>
    <row r="1778" spans="12:13" ht="13" customHeight="1">
      <c r="L1778" s="1"/>
      <c r="M1778" s="1"/>
    </row>
    <row r="1779" spans="12:13" ht="13" customHeight="1">
      <c r="L1779" s="1"/>
      <c r="M1779" s="1"/>
    </row>
    <row r="1780" spans="12:13" ht="13" customHeight="1">
      <c r="L1780" s="1"/>
      <c r="M1780" s="1"/>
    </row>
    <row r="1781" spans="12:13" ht="13" customHeight="1">
      <c r="L1781" s="1"/>
      <c r="M1781" s="1"/>
    </row>
    <row r="1782" spans="12:13" ht="13" customHeight="1">
      <c r="L1782" s="1"/>
      <c r="M1782" s="1"/>
    </row>
    <row r="1783" spans="12:13" ht="13" customHeight="1">
      <c r="L1783" s="1"/>
      <c r="M1783" s="1"/>
    </row>
    <row r="1784" spans="12:13" ht="13" customHeight="1">
      <c r="L1784" s="1"/>
      <c r="M1784" s="1"/>
    </row>
    <row r="1785" spans="12:13" ht="13" customHeight="1">
      <c r="L1785" s="1"/>
      <c r="M1785" s="1"/>
    </row>
    <row r="1786" spans="12:13" ht="13" customHeight="1">
      <c r="L1786" s="1"/>
      <c r="M1786" s="1"/>
    </row>
    <row r="1787" spans="12:13" ht="13" customHeight="1">
      <c r="L1787" s="1"/>
      <c r="M1787" s="1"/>
    </row>
    <row r="1788" spans="12:13" ht="13" customHeight="1">
      <c r="L1788" s="1"/>
      <c r="M1788" s="1"/>
    </row>
    <row r="1789" spans="12:13" ht="13" customHeight="1">
      <c r="L1789" s="1"/>
      <c r="M1789" s="1"/>
    </row>
    <row r="1790" spans="12:13" ht="13" customHeight="1">
      <c r="L1790" s="1"/>
      <c r="M1790" s="1"/>
    </row>
    <row r="1791" spans="12:13" ht="13" customHeight="1">
      <c r="L1791" s="1"/>
      <c r="M1791" s="1"/>
    </row>
    <row r="1792" spans="12:13" ht="13" customHeight="1">
      <c r="L1792" s="1"/>
      <c r="M1792" s="1"/>
    </row>
    <row r="1793" spans="12:13" ht="13" customHeight="1">
      <c r="L1793" s="1"/>
      <c r="M1793" s="1"/>
    </row>
    <row r="1794" spans="12:13" ht="13" customHeight="1">
      <c r="L1794" s="1"/>
      <c r="M1794" s="1"/>
    </row>
    <row r="1795" spans="12:13" ht="13" customHeight="1">
      <c r="L1795" s="1"/>
      <c r="M1795" s="1"/>
    </row>
    <row r="1796" spans="12:13" ht="13" customHeight="1">
      <c r="L1796" s="1"/>
      <c r="M1796" s="1"/>
    </row>
    <row r="1797" spans="12:13" ht="13" customHeight="1">
      <c r="L1797" s="1"/>
      <c r="M1797" s="1"/>
    </row>
    <row r="1798" spans="12:13" ht="13" customHeight="1">
      <c r="L1798" s="1"/>
      <c r="M1798" s="1"/>
    </row>
    <row r="1799" spans="12:13" ht="13" customHeight="1">
      <c r="L1799" s="1"/>
      <c r="M1799" s="1"/>
    </row>
    <row r="1800" spans="12:13" ht="13" customHeight="1">
      <c r="L1800" s="1"/>
      <c r="M1800" s="1"/>
    </row>
    <row r="1801" spans="12:13" ht="13" customHeight="1">
      <c r="L1801" s="1"/>
      <c r="M1801" s="1"/>
    </row>
    <row r="1802" spans="12:13" ht="13" customHeight="1">
      <c r="L1802" s="1"/>
      <c r="M1802" s="1"/>
    </row>
    <row r="1803" spans="12:13" ht="13" customHeight="1">
      <c r="L1803" s="1"/>
      <c r="M1803" s="1"/>
    </row>
    <row r="1804" spans="12:13" ht="13" customHeight="1">
      <c r="L1804" s="1"/>
      <c r="M1804" s="1"/>
    </row>
    <row r="1805" spans="12:13" ht="13" customHeight="1">
      <c r="L1805" s="1"/>
      <c r="M1805" s="1"/>
    </row>
    <row r="1806" spans="12:13" ht="13" customHeight="1">
      <c r="L1806" s="1"/>
      <c r="M1806" s="1"/>
    </row>
    <row r="1807" spans="12:13" ht="13" customHeight="1">
      <c r="L1807" s="1"/>
      <c r="M1807" s="1"/>
    </row>
    <row r="1808" spans="12:13" ht="13" customHeight="1">
      <c r="L1808" s="1"/>
      <c r="M1808" s="1"/>
    </row>
    <row r="1809" spans="12:13" ht="13" customHeight="1">
      <c r="L1809" s="1"/>
      <c r="M1809" s="1"/>
    </row>
    <row r="1810" spans="12:13" ht="13" customHeight="1">
      <c r="L1810" s="1"/>
      <c r="M1810" s="1"/>
    </row>
    <row r="1811" spans="12:13" ht="13" customHeight="1">
      <c r="L1811" s="1"/>
      <c r="M1811" s="1"/>
    </row>
    <row r="1812" spans="12:13" ht="13" customHeight="1">
      <c r="L1812" s="1"/>
      <c r="M1812" s="1"/>
    </row>
    <row r="1813" spans="12:13" ht="13" customHeight="1">
      <c r="L1813" s="1"/>
      <c r="M1813" s="1"/>
    </row>
    <row r="1814" spans="12:13" ht="13" customHeight="1">
      <c r="L1814" s="1"/>
      <c r="M1814" s="1"/>
    </row>
    <row r="1815" spans="12:13" ht="13" customHeight="1">
      <c r="L1815" s="1"/>
      <c r="M1815" s="1"/>
    </row>
    <row r="1816" spans="12:13" ht="13" customHeight="1">
      <c r="L1816" s="1"/>
      <c r="M1816" s="1"/>
    </row>
    <row r="1817" spans="12:13" ht="13" customHeight="1">
      <c r="L1817" s="1"/>
      <c r="M1817" s="1"/>
    </row>
    <row r="1818" spans="12:13" ht="13" customHeight="1">
      <c r="L1818" s="1"/>
      <c r="M1818" s="1"/>
    </row>
    <row r="1819" spans="12:13" ht="13" customHeight="1">
      <c r="L1819" s="1"/>
      <c r="M1819" s="1"/>
    </row>
    <row r="1820" spans="12:13" ht="13" customHeight="1">
      <c r="L1820" s="1"/>
      <c r="M1820" s="1"/>
    </row>
    <row r="1821" spans="12:13" ht="13" customHeight="1">
      <c r="L1821" s="1"/>
      <c r="M1821" s="1"/>
    </row>
    <row r="1822" spans="12:13" ht="13" customHeight="1">
      <c r="L1822" s="1"/>
      <c r="M1822" s="1"/>
    </row>
    <row r="1823" spans="12:13" ht="13" customHeight="1">
      <c r="L1823" s="1"/>
      <c r="M1823" s="1"/>
    </row>
    <row r="1824" spans="12:13" ht="13" customHeight="1">
      <c r="L1824" s="1"/>
      <c r="M1824" s="1"/>
    </row>
    <row r="1825" spans="12:13" ht="13" customHeight="1">
      <c r="L1825" s="1"/>
      <c r="M1825" s="1"/>
    </row>
    <row r="1826" spans="12:13" ht="13" customHeight="1">
      <c r="L1826" s="1"/>
      <c r="M1826" s="1"/>
    </row>
    <row r="1827" spans="12:13" ht="13" customHeight="1">
      <c r="L1827" s="1"/>
      <c r="M1827" s="1"/>
    </row>
    <row r="1828" spans="12:13" ht="13" customHeight="1">
      <c r="L1828" s="1"/>
      <c r="M1828" s="1"/>
    </row>
    <row r="1829" spans="12:13" ht="13" customHeight="1">
      <c r="L1829" s="1"/>
      <c r="M1829" s="1"/>
    </row>
    <row r="1830" spans="12:13" ht="13" customHeight="1">
      <c r="L1830" s="1"/>
      <c r="M1830" s="1"/>
    </row>
    <row r="1831" spans="12:13" ht="13" customHeight="1">
      <c r="L1831" s="1"/>
      <c r="M1831" s="1"/>
    </row>
    <row r="1832" spans="12:13" ht="13" customHeight="1">
      <c r="L1832" s="1"/>
      <c r="M1832" s="1"/>
    </row>
    <row r="1833" spans="12:13" ht="13" customHeight="1">
      <c r="L1833" s="1"/>
      <c r="M1833" s="1"/>
    </row>
    <row r="1834" spans="12:13" ht="13" customHeight="1">
      <c r="L1834" s="1"/>
      <c r="M1834" s="1"/>
    </row>
    <row r="1835" spans="12:13" ht="13" customHeight="1">
      <c r="L1835" s="1"/>
      <c r="M1835" s="1"/>
    </row>
    <row r="1836" spans="12:13" ht="13" customHeight="1">
      <c r="L1836" s="1"/>
      <c r="M1836" s="1"/>
    </row>
    <row r="1837" spans="12:13" ht="13" customHeight="1">
      <c r="L1837" s="1"/>
      <c r="M1837" s="1"/>
    </row>
    <row r="1838" spans="12:13" ht="13" customHeight="1">
      <c r="L1838" s="1"/>
      <c r="M1838" s="1"/>
    </row>
    <row r="1839" spans="12:13" ht="13" customHeight="1">
      <c r="L1839" s="1"/>
      <c r="M1839" s="1"/>
    </row>
    <row r="1840" spans="12:13" ht="13" customHeight="1">
      <c r="L1840" s="1"/>
      <c r="M1840" s="1"/>
    </row>
    <row r="1841" spans="12:13" ht="13" customHeight="1">
      <c r="L1841" s="1"/>
      <c r="M1841" s="1"/>
    </row>
    <row r="1842" spans="12:13" ht="13" customHeight="1">
      <c r="L1842" s="1"/>
      <c r="M1842" s="1"/>
    </row>
    <row r="1843" spans="12:13" ht="13" customHeight="1">
      <c r="L1843" s="1"/>
      <c r="M1843" s="1"/>
    </row>
    <row r="1844" spans="12:13" ht="13" customHeight="1">
      <c r="L1844" s="1"/>
      <c r="M1844" s="1"/>
    </row>
    <row r="1845" spans="12:13" ht="13" customHeight="1">
      <c r="L1845" s="1"/>
      <c r="M1845" s="1"/>
    </row>
    <row r="1846" spans="12:13" ht="13" customHeight="1">
      <c r="L1846" s="1"/>
      <c r="M1846" s="1"/>
    </row>
    <row r="1847" spans="12:13" ht="13" customHeight="1">
      <c r="L1847" s="1"/>
      <c r="M1847" s="1"/>
    </row>
    <row r="1848" spans="12:13" ht="13" customHeight="1">
      <c r="L1848" s="1"/>
      <c r="M1848" s="1"/>
    </row>
    <row r="1849" spans="12:13" ht="13" customHeight="1">
      <c r="L1849" s="1"/>
      <c r="M1849" s="1"/>
    </row>
    <row r="1850" spans="12:13" ht="13" customHeight="1">
      <c r="L1850" s="1"/>
      <c r="M1850" s="1"/>
    </row>
    <row r="1851" spans="12:13" ht="13" customHeight="1">
      <c r="L1851" s="1"/>
      <c r="M1851" s="1"/>
    </row>
    <row r="1852" spans="12:13" ht="13" customHeight="1">
      <c r="L1852" s="1"/>
      <c r="M1852" s="1"/>
    </row>
    <row r="1853" spans="12:13" ht="13" customHeight="1">
      <c r="L1853" s="1"/>
      <c r="M1853" s="1"/>
    </row>
    <row r="1854" spans="12:13" ht="13" customHeight="1">
      <c r="L1854" s="1"/>
      <c r="M1854" s="1"/>
    </row>
    <row r="1855" spans="12:13" ht="13" customHeight="1">
      <c r="L1855" s="1"/>
      <c r="M1855" s="1"/>
    </row>
    <row r="1856" spans="12:13" ht="13" customHeight="1">
      <c r="L1856" s="1"/>
      <c r="M1856" s="1"/>
    </row>
    <row r="1857" spans="12:13" ht="13" customHeight="1">
      <c r="L1857" s="1"/>
      <c r="M1857" s="1"/>
    </row>
    <row r="1858" spans="12:13" ht="13" customHeight="1">
      <c r="L1858" s="1"/>
      <c r="M1858" s="1"/>
    </row>
    <row r="1859" spans="12:13" ht="13" customHeight="1">
      <c r="L1859" s="1"/>
      <c r="M1859" s="1"/>
    </row>
    <row r="1860" spans="12:13" ht="13" customHeight="1">
      <c r="L1860" s="1"/>
      <c r="M1860" s="1"/>
    </row>
    <row r="1861" spans="12:13" ht="13" customHeight="1">
      <c r="L1861" s="1"/>
      <c r="M1861" s="1"/>
    </row>
    <row r="1862" spans="12:13" ht="13" customHeight="1">
      <c r="L1862" s="1"/>
      <c r="M1862" s="1"/>
    </row>
    <row r="1863" spans="12:13" ht="13" customHeight="1">
      <c r="L1863" s="1"/>
      <c r="M1863" s="1"/>
    </row>
    <row r="1864" spans="12:13" ht="13" customHeight="1">
      <c r="L1864" s="1"/>
      <c r="M1864" s="1"/>
    </row>
    <row r="1865" spans="12:13" ht="13" customHeight="1">
      <c r="L1865" s="1"/>
      <c r="M1865" s="1"/>
    </row>
    <row r="1866" spans="12:13" ht="13" customHeight="1">
      <c r="L1866" s="1"/>
      <c r="M1866" s="1"/>
    </row>
    <row r="1867" spans="12:13" ht="13" customHeight="1">
      <c r="L1867" s="1"/>
      <c r="M1867" s="1"/>
    </row>
    <row r="1868" spans="12:13" ht="13" customHeight="1">
      <c r="L1868" s="1"/>
      <c r="M1868" s="1"/>
    </row>
    <row r="1869" spans="12:13" ht="13" customHeight="1">
      <c r="L1869" s="1"/>
      <c r="M1869" s="1"/>
    </row>
    <row r="1870" spans="12:13" ht="13" customHeight="1">
      <c r="L1870" s="1"/>
      <c r="M1870" s="1"/>
    </row>
    <row r="1871" spans="12:13" ht="13" customHeight="1">
      <c r="L1871" s="1"/>
      <c r="M1871" s="1"/>
    </row>
    <row r="1872" spans="12:13" ht="13" customHeight="1">
      <c r="L1872" s="1"/>
      <c r="M1872" s="1"/>
    </row>
    <row r="1873" spans="12:13" ht="13" customHeight="1">
      <c r="L1873" s="1"/>
      <c r="M1873" s="1"/>
    </row>
    <row r="1874" spans="12:13" ht="13" customHeight="1">
      <c r="L1874" s="1"/>
      <c r="M1874" s="1"/>
    </row>
    <row r="1875" spans="12:13" ht="13" customHeight="1">
      <c r="L1875" s="1"/>
      <c r="M1875" s="1"/>
    </row>
    <row r="1876" spans="12:13" ht="13" customHeight="1">
      <c r="L1876" s="1"/>
      <c r="M1876" s="1"/>
    </row>
    <row r="1877" spans="12:13" ht="13" customHeight="1">
      <c r="L1877" s="1"/>
      <c r="M1877" s="1"/>
    </row>
    <row r="1878" spans="12:13" ht="13" customHeight="1">
      <c r="L1878" s="1"/>
      <c r="M1878" s="1"/>
    </row>
    <row r="1879" spans="12:13" ht="13" customHeight="1">
      <c r="L1879" s="1"/>
      <c r="M1879" s="1"/>
    </row>
    <row r="1880" spans="12:13" ht="13" customHeight="1">
      <c r="L1880" s="1"/>
      <c r="M1880" s="1"/>
    </row>
    <row r="1881" spans="12:13" ht="13" customHeight="1">
      <c r="L1881" s="1"/>
      <c r="M1881" s="1"/>
    </row>
    <row r="1882" spans="12:13" ht="13" customHeight="1">
      <c r="L1882" s="1"/>
      <c r="M1882" s="1"/>
    </row>
    <row r="1883" spans="12:13" ht="13" customHeight="1">
      <c r="L1883" s="1"/>
      <c r="M1883" s="1"/>
    </row>
    <row r="1884" spans="12:13" ht="13" customHeight="1">
      <c r="L1884" s="1"/>
      <c r="M1884" s="1"/>
    </row>
    <row r="1885" spans="12:13" ht="13" customHeight="1">
      <c r="L1885" s="1"/>
      <c r="M1885" s="1"/>
    </row>
    <row r="1886" spans="12:13" ht="13" customHeight="1">
      <c r="L1886" s="1"/>
      <c r="M1886" s="1"/>
    </row>
    <row r="1887" spans="12:13" ht="13" customHeight="1">
      <c r="L1887" s="1"/>
      <c r="M1887" s="1"/>
    </row>
    <row r="1888" spans="12:13" ht="13" customHeight="1">
      <c r="L1888" s="1"/>
      <c r="M1888" s="1"/>
    </row>
    <row r="1889" spans="12:13" ht="13" customHeight="1">
      <c r="L1889" s="1"/>
      <c r="M1889" s="1"/>
    </row>
    <row r="1890" spans="12:13" ht="13" customHeight="1">
      <c r="L1890" s="1"/>
      <c r="M1890" s="1"/>
    </row>
    <row r="1891" spans="12:13" ht="13" customHeight="1">
      <c r="L1891" s="1"/>
      <c r="M1891" s="1"/>
    </row>
    <row r="1892" spans="12:13" ht="13" customHeight="1">
      <c r="L1892" s="1"/>
      <c r="M1892" s="1"/>
    </row>
    <row r="1893" spans="12:13" ht="13" customHeight="1">
      <c r="L1893" s="1"/>
      <c r="M1893" s="1"/>
    </row>
    <row r="1894" spans="12:13" ht="13" customHeight="1">
      <c r="L1894" s="1"/>
      <c r="M1894" s="1"/>
    </row>
    <row r="1895" spans="12:13" ht="13" customHeight="1">
      <c r="L1895" s="1"/>
      <c r="M1895" s="1"/>
    </row>
    <row r="1896" spans="12:13" ht="13" customHeight="1">
      <c r="L1896" s="1"/>
      <c r="M1896" s="1"/>
    </row>
    <row r="1897" spans="12:13" ht="13" customHeight="1">
      <c r="L1897" s="1"/>
      <c r="M1897" s="1"/>
    </row>
    <row r="1898" spans="12:13" ht="13" customHeight="1">
      <c r="L1898" s="1"/>
      <c r="M1898" s="1"/>
    </row>
    <row r="1899" spans="12:13" ht="13" customHeight="1">
      <c r="L1899" s="1"/>
      <c r="M1899" s="1"/>
    </row>
    <row r="1900" spans="12:13" ht="13" customHeight="1">
      <c r="L1900" s="1"/>
      <c r="M1900" s="1"/>
    </row>
    <row r="1901" spans="12:13" ht="13" customHeight="1">
      <c r="L1901" s="1"/>
      <c r="M1901" s="1"/>
    </row>
    <row r="1902" spans="12:13" ht="13" customHeight="1">
      <c r="L1902" s="1"/>
      <c r="M1902" s="1"/>
    </row>
    <row r="1903" spans="12:13" ht="13" customHeight="1">
      <c r="L1903" s="1"/>
      <c r="M1903" s="1"/>
    </row>
    <row r="1904" spans="12:13" ht="13" customHeight="1">
      <c r="L1904" s="1"/>
      <c r="M1904" s="1"/>
    </row>
    <row r="1905" spans="12:13" ht="13" customHeight="1">
      <c r="L1905" s="1"/>
      <c r="M1905" s="1"/>
    </row>
    <row r="1906" spans="12:13" ht="13" customHeight="1">
      <c r="L1906" s="1"/>
      <c r="M1906" s="1"/>
    </row>
    <row r="1907" spans="12:13" ht="13" customHeight="1">
      <c r="L1907" s="1"/>
      <c r="M1907" s="1"/>
    </row>
    <row r="1908" spans="12:13" ht="13" customHeight="1">
      <c r="L1908" s="1"/>
      <c r="M1908" s="1"/>
    </row>
    <row r="1909" spans="12:13" ht="13" customHeight="1">
      <c r="L1909" s="1"/>
      <c r="M1909" s="1"/>
    </row>
    <row r="1910" spans="12:13" ht="13" customHeight="1">
      <c r="L1910" s="1"/>
      <c r="M1910" s="1"/>
    </row>
    <row r="1911" spans="12:13" ht="13" customHeight="1">
      <c r="L1911" s="1"/>
      <c r="M1911" s="1"/>
    </row>
    <row r="1912" spans="12:13" ht="13" customHeight="1">
      <c r="L1912" s="1"/>
      <c r="M1912" s="1"/>
    </row>
    <row r="1913" spans="12:13" ht="13" customHeight="1">
      <c r="L1913" s="1"/>
      <c r="M1913" s="1"/>
    </row>
    <row r="1914" spans="12:13" ht="13" customHeight="1">
      <c r="L1914" s="1"/>
      <c r="M1914" s="1"/>
    </row>
    <row r="1915" spans="12:13" ht="13" customHeight="1">
      <c r="L1915" s="1"/>
      <c r="M1915" s="1"/>
    </row>
    <row r="1916" spans="12:13" ht="13" customHeight="1">
      <c r="L1916" s="1"/>
      <c r="M1916" s="1"/>
    </row>
    <row r="1917" spans="12:13" ht="13" customHeight="1">
      <c r="L1917" s="1"/>
      <c r="M1917" s="1"/>
    </row>
    <row r="1918" spans="12:13" ht="13" customHeight="1">
      <c r="L1918" s="1"/>
      <c r="M1918" s="1"/>
    </row>
    <row r="1919" spans="12:13" ht="13" customHeight="1">
      <c r="L1919" s="1"/>
      <c r="M1919" s="1"/>
    </row>
    <row r="1920" spans="12:13" ht="13" customHeight="1">
      <c r="L1920" s="1"/>
      <c r="M1920" s="1"/>
    </row>
    <row r="1921" spans="12:13" ht="13" customHeight="1">
      <c r="L1921" s="1"/>
      <c r="M1921" s="1"/>
    </row>
    <row r="1922" spans="12:13" ht="13" customHeight="1">
      <c r="L1922" s="1"/>
      <c r="M1922" s="1"/>
    </row>
    <row r="1923" spans="12:13" ht="13" customHeight="1">
      <c r="L1923" s="1"/>
      <c r="M1923" s="1"/>
    </row>
    <row r="1924" spans="12:13" ht="13" customHeight="1">
      <c r="L1924" s="1"/>
      <c r="M1924" s="1"/>
    </row>
    <row r="1925" spans="12:13" ht="13" customHeight="1">
      <c r="L1925" s="1"/>
      <c r="M1925" s="1"/>
    </row>
    <row r="1926" spans="12:13" ht="13" customHeight="1">
      <c r="L1926" s="1"/>
      <c r="M1926" s="1"/>
    </row>
    <row r="1927" spans="12:13" ht="13" customHeight="1">
      <c r="L1927" s="1"/>
      <c r="M1927" s="1"/>
    </row>
    <row r="1928" spans="12:13" ht="13" customHeight="1">
      <c r="L1928" s="1"/>
      <c r="M1928" s="1"/>
    </row>
    <row r="1929" spans="12:13" ht="13" customHeight="1">
      <c r="L1929" s="1"/>
      <c r="M1929" s="1"/>
    </row>
    <row r="1930" spans="12:13" ht="13" customHeight="1">
      <c r="L1930" s="1"/>
      <c r="M1930" s="1"/>
    </row>
    <row r="1931" spans="12:13" ht="13" customHeight="1">
      <c r="L1931" s="1"/>
      <c r="M1931" s="1"/>
    </row>
    <row r="1932" spans="12:13" ht="13" customHeight="1">
      <c r="L1932" s="1"/>
      <c r="M1932" s="1"/>
    </row>
    <row r="1933" spans="12:13" ht="13" customHeight="1">
      <c r="L1933" s="1"/>
      <c r="M1933" s="1"/>
    </row>
    <row r="1934" spans="12:13" ht="13" customHeight="1">
      <c r="L1934" s="1"/>
      <c r="M1934" s="1"/>
    </row>
    <row r="1935" spans="12:13" ht="13" customHeight="1">
      <c r="L1935" s="1"/>
      <c r="M1935" s="1"/>
    </row>
    <row r="1936" spans="12:13" ht="13" customHeight="1">
      <c r="L1936" s="1"/>
      <c r="M1936" s="1"/>
    </row>
    <row r="1937" spans="12:13" ht="13" customHeight="1">
      <c r="L1937" s="1"/>
      <c r="M1937" s="1"/>
    </row>
    <row r="1938" spans="12:13" ht="13" customHeight="1">
      <c r="L1938" s="1"/>
      <c r="M1938" s="1"/>
    </row>
    <row r="1939" spans="12:13" ht="13" customHeight="1">
      <c r="L1939" s="1"/>
      <c r="M1939" s="1"/>
    </row>
    <row r="1940" spans="12:13" ht="13" customHeight="1">
      <c r="L1940" s="1"/>
      <c r="M1940" s="1"/>
    </row>
    <row r="1941" spans="12:13" ht="13" customHeight="1">
      <c r="L1941" s="1"/>
      <c r="M1941" s="1"/>
    </row>
    <row r="1942" spans="12:13" ht="13" customHeight="1">
      <c r="L1942" s="1"/>
      <c r="M1942" s="1"/>
    </row>
    <row r="1943" spans="12:13" ht="13" customHeight="1">
      <c r="L1943" s="1"/>
      <c r="M1943" s="1"/>
    </row>
    <row r="1944" spans="12:13" ht="13" customHeight="1">
      <c r="L1944" s="1"/>
      <c r="M1944" s="1"/>
    </row>
    <row r="1945" spans="12:13" ht="13" customHeight="1">
      <c r="L1945" s="1"/>
      <c r="M1945" s="1"/>
    </row>
    <row r="1946" spans="12:13" ht="13" customHeight="1">
      <c r="L1946" s="1"/>
      <c r="M1946" s="1"/>
    </row>
    <row r="1947" spans="12:13" ht="13" customHeight="1">
      <c r="L1947" s="1"/>
      <c r="M1947" s="1"/>
    </row>
    <row r="1948" spans="12:13" ht="13" customHeight="1">
      <c r="L1948" s="1"/>
      <c r="M1948" s="1"/>
    </row>
    <row r="1949" spans="12:13" ht="13" customHeight="1">
      <c r="L1949" s="1"/>
      <c r="M1949" s="1"/>
    </row>
    <row r="1950" spans="12:13" ht="13" customHeight="1">
      <c r="L1950" s="1"/>
      <c r="M1950" s="1"/>
    </row>
    <row r="1951" spans="12:13" ht="13" customHeight="1">
      <c r="L1951" s="1"/>
      <c r="M1951" s="1"/>
    </row>
    <row r="1952" spans="12:13" ht="13" customHeight="1">
      <c r="L1952" s="1"/>
      <c r="M1952" s="1"/>
    </row>
    <row r="1953" spans="12:13" ht="13" customHeight="1">
      <c r="L1953" s="1"/>
      <c r="M1953" s="1"/>
    </row>
    <row r="1954" spans="12:13" ht="13" customHeight="1">
      <c r="L1954" s="1"/>
      <c r="M1954" s="1"/>
    </row>
    <row r="1955" spans="12:13" ht="13" customHeight="1">
      <c r="L1955" s="1"/>
      <c r="M1955" s="1"/>
    </row>
    <row r="1956" spans="12:13" ht="13" customHeight="1">
      <c r="L1956" s="1"/>
      <c r="M1956" s="1"/>
    </row>
    <row r="1957" spans="12:13" ht="13" customHeight="1">
      <c r="L1957" s="1"/>
      <c r="M1957" s="1"/>
    </row>
    <row r="1958" spans="12:13" ht="13" customHeight="1">
      <c r="L1958" s="1"/>
      <c r="M1958" s="1"/>
    </row>
    <row r="1959" spans="12:13" ht="13" customHeight="1">
      <c r="L1959" s="1"/>
      <c r="M1959" s="1"/>
    </row>
    <row r="1960" spans="12:13" ht="13" customHeight="1">
      <c r="L1960" s="1"/>
      <c r="M1960" s="1"/>
    </row>
    <row r="1961" spans="12:13" ht="13" customHeight="1">
      <c r="L1961" s="1"/>
      <c r="M1961" s="1"/>
    </row>
    <row r="1962" spans="12:13" ht="13" customHeight="1">
      <c r="L1962" s="1"/>
      <c r="M1962" s="1"/>
    </row>
    <row r="1963" spans="12:13" ht="13" customHeight="1">
      <c r="L1963" s="1"/>
      <c r="M1963" s="1"/>
    </row>
    <row r="1964" spans="12:13" ht="13" customHeight="1">
      <c r="L1964" s="1"/>
      <c r="M1964" s="1"/>
    </row>
    <row r="1965" spans="12:13" ht="13" customHeight="1">
      <c r="L1965" s="1"/>
      <c r="M1965" s="1"/>
    </row>
    <row r="1966" spans="12:13" ht="13" customHeight="1">
      <c r="L1966" s="1"/>
      <c r="M1966" s="1"/>
    </row>
    <row r="1967" spans="12:13" ht="13" customHeight="1">
      <c r="L1967" s="1"/>
      <c r="M1967" s="1"/>
    </row>
    <row r="1968" spans="12:13" ht="13" customHeight="1">
      <c r="L1968" s="1"/>
      <c r="M1968" s="1"/>
    </row>
    <row r="1969" spans="12:13" ht="13" customHeight="1">
      <c r="L1969" s="1"/>
      <c r="M1969" s="1"/>
    </row>
    <row r="1970" spans="12:13" ht="13" customHeight="1">
      <c r="L1970" s="1"/>
      <c r="M1970" s="1"/>
    </row>
    <row r="1971" spans="12:13" ht="13" customHeight="1">
      <c r="L1971" s="1"/>
      <c r="M1971" s="1"/>
    </row>
    <row r="1972" spans="12:13" ht="13" customHeight="1">
      <c r="L1972" s="1"/>
      <c r="M1972" s="1"/>
    </row>
    <row r="1973" spans="12:13" ht="13" customHeight="1">
      <c r="L1973" s="1"/>
      <c r="M1973" s="1"/>
    </row>
    <row r="1974" spans="12:13" ht="13" customHeight="1">
      <c r="L1974" s="1"/>
      <c r="M1974" s="1"/>
    </row>
    <row r="1975" spans="12:13" ht="13" customHeight="1">
      <c r="L1975" s="1"/>
      <c r="M1975" s="1"/>
    </row>
    <row r="1976" spans="12:13" ht="13" customHeight="1">
      <c r="L1976" s="1"/>
      <c r="M1976" s="1"/>
    </row>
    <row r="1977" spans="12:13" ht="13" customHeight="1">
      <c r="L1977" s="1"/>
      <c r="M1977" s="1"/>
    </row>
    <row r="1978" spans="12:13" ht="13" customHeight="1">
      <c r="L1978" s="1"/>
      <c r="M1978" s="1"/>
    </row>
    <row r="1979" spans="12:13" ht="13" customHeight="1">
      <c r="L1979" s="1"/>
      <c r="M1979" s="1"/>
    </row>
    <row r="1980" spans="12:13" ht="13" customHeight="1">
      <c r="L1980" s="1"/>
      <c r="M1980" s="1"/>
    </row>
    <row r="1981" spans="12:13" ht="13" customHeight="1">
      <c r="L1981" s="1"/>
      <c r="M1981" s="1"/>
    </row>
    <row r="1982" spans="12:13" ht="13" customHeight="1">
      <c r="L1982" s="1"/>
      <c r="M1982" s="1"/>
    </row>
    <row r="1983" spans="12:13" ht="13" customHeight="1">
      <c r="L1983" s="1"/>
      <c r="M1983" s="1"/>
    </row>
    <row r="1984" spans="12:13" ht="13" customHeight="1">
      <c r="L1984" s="1"/>
      <c r="M1984" s="1"/>
    </row>
    <row r="1985" spans="12:13" ht="13" customHeight="1">
      <c r="L1985" s="1"/>
      <c r="M1985" s="1"/>
    </row>
    <row r="1986" spans="12:13" ht="13" customHeight="1">
      <c r="L1986" s="1"/>
      <c r="M1986" s="1"/>
    </row>
    <row r="1987" spans="12:13" ht="13" customHeight="1">
      <c r="L1987" s="1"/>
      <c r="M1987" s="1"/>
    </row>
    <row r="1988" spans="12:13" ht="13" customHeight="1">
      <c r="L1988" s="1"/>
      <c r="M1988" s="1"/>
    </row>
    <row r="1989" spans="12:13" ht="13" customHeight="1">
      <c r="L1989" s="1"/>
      <c r="M1989" s="1"/>
    </row>
    <row r="1990" spans="12:13" ht="13" customHeight="1">
      <c r="L1990" s="1"/>
      <c r="M1990" s="1"/>
    </row>
    <row r="1991" spans="12:13" ht="13" customHeight="1">
      <c r="L1991" s="1"/>
      <c r="M1991" s="1"/>
    </row>
    <row r="1992" spans="12:13" ht="13" customHeight="1">
      <c r="L1992" s="1"/>
      <c r="M1992" s="1"/>
    </row>
    <row r="1993" spans="12:13" ht="13" customHeight="1">
      <c r="L1993" s="1"/>
      <c r="M1993" s="1"/>
    </row>
    <row r="1994" spans="12:13" ht="13" customHeight="1">
      <c r="L1994" s="1"/>
      <c r="M1994" s="1"/>
    </row>
    <row r="1995" spans="12:13" ht="13" customHeight="1">
      <c r="L1995" s="1"/>
      <c r="M1995" s="1"/>
    </row>
    <row r="1996" spans="12:13" ht="13" customHeight="1">
      <c r="L1996" s="1"/>
      <c r="M1996" s="1"/>
    </row>
    <row r="1997" spans="12:13" ht="13" customHeight="1">
      <c r="L1997" s="1"/>
      <c r="M1997" s="1"/>
    </row>
    <row r="1998" spans="12:13" ht="13" customHeight="1">
      <c r="L1998" s="1"/>
      <c r="M1998" s="1"/>
    </row>
    <row r="1999" spans="12:13" ht="13" customHeight="1">
      <c r="L1999" s="1"/>
      <c r="M1999" s="1"/>
    </row>
    <row r="2000" spans="12:13" ht="13" customHeight="1">
      <c r="L2000" s="1"/>
      <c r="M2000" s="1"/>
    </row>
    <row r="2001" spans="12:13" ht="13" customHeight="1">
      <c r="L2001" s="1"/>
      <c r="M2001" s="1"/>
    </row>
    <row r="2002" spans="12:13" ht="13" customHeight="1">
      <c r="L2002" s="1"/>
      <c r="M2002" s="1"/>
    </row>
    <row r="2003" spans="12:13" ht="13" customHeight="1">
      <c r="L2003" s="1"/>
      <c r="M2003" s="1"/>
    </row>
    <row r="2004" spans="12:13" ht="13" customHeight="1">
      <c r="L2004" s="1"/>
      <c r="M2004" s="1"/>
    </row>
    <row r="2005" spans="12:13" ht="13" customHeight="1">
      <c r="L2005" s="1"/>
      <c r="M2005" s="1"/>
    </row>
    <row r="2006" spans="12:13" ht="13" customHeight="1">
      <c r="L2006" s="1"/>
      <c r="M2006" s="1"/>
    </row>
    <row r="2007" spans="12:13" ht="13" customHeight="1">
      <c r="L2007" s="1"/>
      <c r="M2007" s="1"/>
    </row>
    <row r="2008" spans="12:13" ht="13" customHeight="1">
      <c r="L2008" s="1"/>
      <c r="M2008" s="1"/>
    </row>
    <row r="2009" spans="12:13" ht="13" customHeight="1">
      <c r="L2009" s="1"/>
      <c r="M2009" s="1"/>
    </row>
    <row r="2010" spans="12:13" ht="13" customHeight="1">
      <c r="L2010" s="1"/>
      <c r="M2010" s="1"/>
    </row>
    <row r="2011" spans="12:13" ht="13" customHeight="1">
      <c r="L2011" s="1"/>
      <c r="M2011" s="1"/>
    </row>
    <row r="2012" spans="12:13" ht="13" customHeight="1">
      <c r="L2012" s="1"/>
      <c r="M2012" s="1"/>
    </row>
    <row r="2013" spans="12:13" ht="13" customHeight="1">
      <c r="L2013" s="1"/>
      <c r="M2013" s="1"/>
    </row>
    <row r="2014" spans="12:13" ht="13" customHeight="1">
      <c r="L2014" s="1"/>
      <c r="M2014" s="1"/>
    </row>
    <row r="2015" spans="12:13" ht="13" customHeight="1">
      <c r="L2015" s="1"/>
      <c r="M2015" s="1"/>
    </row>
    <row r="2016" spans="12:13" ht="13" customHeight="1">
      <c r="L2016" s="1"/>
      <c r="M2016" s="1"/>
    </row>
    <row r="2017" spans="12:13" ht="13" customHeight="1">
      <c r="L2017" s="1"/>
      <c r="M2017" s="1"/>
    </row>
    <row r="2018" spans="12:13" ht="13" customHeight="1">
      <c r="L2018" s="1"/>
      <c r="M2018" s="1"/>
    </row>
    <row r="2019" spans="12:13" ht="13" customHeight="1">
      <c r="L2019" s="1"/>
      <c r="M2019" s="1"/>
    </row>
    <row r="2020" spans="12:13" ht="13" customHeight="1">
      <c r="L2020" s="1"/>
      <c r="M2020" s="1"/>
    </row>
    <row r="2021" spans="12:13" ht="13" customHeight="1">
      <c r="L2021" s="1"/>
      <c r="M2021" s="1"/>
    </row>
    <row r="2022" spans="12:13" ht="13" customHeight="1">
      <c r="L2022" s="1"/>
      <c r="M2022" s="1"/>
    </row>
    <row r="2023" spans="12:13" ht="13" customHeight="1">
      <c r="L2023" s="1"/>
      <c r="M2023" s="1"/>
    </row>
    <row r="2024" spans="12:13" ht="13" customHeight="1">
      <c r="L2024" s="1"/>
      <c r="M2024" s="1"/>
    </row>
    <row r="2025" spans="12:13" ht="13" customHeight="1">
      <c r="L2025" s="1"/>
      <c r="M2025" s="1"/>
    </row>
    <row r="2026" spans="12:13" ht="13" customHeight="1">
      <c r="L2026" s="1"/>
      <c r="M2026" s="1"/>
    </row>
    <row r="2027" spans="12:13" ht="13" customHeight="1">
      <c r="L2027" s="1"/>
      <c r="M2027" s="1"/>
    </row>
    <row r="2028" spans="12:13" ht="13" customHeight="1">
      <c r="L2028" s="1"/>
      <c r="M2028" s="1"/>
    </row>
    <row r="2029" spans="12:13" ht="13" customHeight="1">
      <c r="L2029" s="1"/>
      <c r="M2029" s="1"/>
    </row>
    <row r="2030" spans="12:13" ht="13" customHeight="1">
      <c r="L2030" s="1"/>
      <c r="M2030" s="1"/>
    </row>
    <row r="2031" spans="12:13" ht="13" customHeight="1">
      <c r="L2031" s="1"/>
      <c r="M2031" s="1"/>
    </row>
    <row r="2032" spans="12:13" ht="13" customHeight="1">
      <c r="L2032" s="1"/>
      <c r="M2032" s="1"/>
    </row>
    <row r="2033" spans="12:13" ht="13" customHeight="1">
      <c r="L2033" s="1"/>
      <c r="M2033" s="1"/>
    </row>
    <row r="2034" spans="12:13" ht="13" customHeight="1">
      <c r="L2034" s="1"/>
      <c r="M2034" s="1"/>
    </row>
    <row r="2035" spans="12:13" ht="13" customHeight="1">
      <c r="L2035" s="1"/>
      <c r="M2035" s="1"/>
    </row>
    <row r="2036" spans="12:13" ht="13" customHeight="1">
      <c r="L2036" s="1"/>
      <c r="M2036" s="1"/>
    </row>
    <row r="2037" spans="12:13" ht="13" customHeight="1">
      <c r="L2037" s="1"/>
      <c r="M2037" s="1"/>
    </row>
    <row r="2038" spans="12:13" ht="13" customHeight="1">
      <c r="L2038" s="1"/>
      <c r="M2038" s="1"/>
    </row>
    <row r="2039" spans="12:13" ht="13" customHeight="1">
      <c r="L2039" s="1"/>
      <c r="M2039" s="1"/>
    </row>
    <row r="2040" spans="12:13" ht="13" customHeight="1">
      <c r="L2040" s="1"/>
      <c r="M2040" s="1"/>
    </row>
    <row r="2041" spans="12:13" ht="13" customHeight="1">
      <c r="L2041" s="1"/>
      <c r="M2041" s="1"/>
    </row>
    <row r="2042" spans="12:13" ht="13" customHeight="1">
      <c r="L2042" s="1"/>
      <c r="M2042" s="1"/>
    </row>
    <row r="2043" spans="12:13" ht="13" customHeight="1">
      <c r="L2043" s="1"/>
      <c r="M2043" s="1"/>
    </row>
    <row r="2044" spans="12:13" ht="13" customHeight="1">
      <c r="L2044" s="1"/>
      <c r="M2044" s="1"/>
    </row>
    <row r="2045" spans="12:13" ht="13" customHeight="1">
      <c r="L2045" s="1"/>
      <c r="M2045" s="1"/>
    </row>
    <row r="2046" spans="12:13" ht="13" customHeight="1">
      <c r="L2046" s="1"/>
      <c r="M2046" s="1"/>
    </row>
    <row r="2047" spans="12:13" ht="13" customHeight="1">
      <c r="L2047" s="1"/>
      <c r="M2047" s="1"/>
    </row>
    <row r="2048" spans="12:13" ht="13" customHeight="1">
      <c r="L2048" s="1"/>
      <c r="M2048" s="1"/>
    </row>
    <row r="2049" spans="12:13" ht="13" customHeight="1">
      <c r="L2049" s="1"/>
      <c r="M2049" s="1"/>
    </row>
    <row r="2050" spans="12:13" ht="13" customHeight="1">
      <c r="L2050" s="1"/>
      <c r="M2050" s="1"/>
    </row>
    <row r="2051" spans="12:13" ht="13" customHeight="1">
      <c r="L2051" s="1"/>
      <c r="M2051" s="1"/>
    </row>
    <row r="2052" spans="12:13" ht="13" customHeight="1">
      <c r="L2052" s="1"/>
      <c r="M2052" s="1"/>
    </row>
    <row r="2053" spans="12:13" ht="13" customHeight="1">
      <c r="L2053" s="1"/>
      <c r="M2053" s="1"/>
    </row>
    <row r="2054" spans="12:13" ht="13" customHeight="1">
      <c r="L2054" s="1"/>
      <c r="M2054" s="1"/>
    </row>
    <row r="2055" spans="12:13" ht="13" customHeight="1">
      <c r="L2055" s="1"/>
      <c r="M2055" s="1"/>
    </row>
    <row r="2056" spans="12:13" ht="13" customHeight="1">
      <c r="L2056" s="1"/>
      <c r="M2056" s="1"/>
    </row>
    <row r="2057" spans="12:13" ht="13" customHeight="1">
      <c r="L2057" s="1"/>
      <c r="M2057" s="1"/>
    </row>
    <row r="2058" spans="12:13" ht="13" customHeight="1">
      <c r="L2058" s="1"/>
      <c r="M2058" s="1"/>
    </row>
    <row r="2059" spans="12:13" ht="13" customHeight="1">
      <c r="L2059" s="1"/>
      <c r="M2059" s="1"/>
    </row>
    <row r="2060" spans="12:13" ht="13" customHeight="1">
      <c r="L2060" s="1"/>
      <c r="M2060" s="1"/>
    </row>
    <row r="2061" spans="12:13" ht="13" customHeight="1">
      <c r="L2061" s="1"/>
      <c r="M2061" s="1"/>
    </row>
    <row r="2062" spans="12:13" ht="13" customHeight="1">
      <c r="L2062" s="1"/>
      <c r="M2062" s="1"/>
    </row>
    <row r="2063" spans="12:13" ht="13" customHeight="1">
      <c r="L2063" s="1"/>
      <c r="M2063" s="1"/>
    </row>
    <row r="2064" spans="12:13" ht="13" customHeight="1">
      <c r="L2064" s="1"/>
      <c r="M2064" s="1"/>
    </row>
    <row r="2065" spans="12:13" ht="13" customHeight="1">
      <c r="L2065" s="1"/>
      <c r="M2065" s="1"/>
    </row>
    <row r="2066" spans="12:13" ht="13" customHeight="1">
      <c r="L2066" s="1"/>
      <c r="M2066" s="1"/>
    </row>
    <row r="2067" spans="12:13" ht="13" customHeight="1">
      <c r="L2067" s="1"/>
      <c r="M2067" s="1"/>
    </row>
    <row r="2068" spans="12:13" ht="13" customHeight="1">
      <c r="L2068" s="1"/>
      <c r="M2068" s="1"/>
    </row>
    <row r="2069" spans="12:13" ht="13" customHeight="1">
      <c r="L2069" s="1"/>
      <c r="M2069" s="1"/>
    </row>
    <row r="2070" spans="12:13" ht="13" customHeight="1">
      <c r="L2070" s="1"/>
      <c r="M2070" s="1"/>
    </row>
    <row r="2071" spans="12:13" ht="13" customHeight="1">
      <c r="L2071" s="1"/>
      <c r="M2071" s="1"/>
    </row>
    <row r="2072" spans="12:13" ht="13" customHeight="1">
      <c r="L2072" s="1"/>
      <c r="M2072" s="1"/>
    </row>
    <row r="2073" spans="12:13" ht="13" customHeight="1">
      <c r="L2073" s="1"/>
      <c r="M2073" s="1"/>
    </row>
    <row r="2074" spans="12:13" ht="13" customHeight="1">
      <c r="L2074" s="1"/>
      <c r="M2074" s="1"/>
    </row>
    <row r="2075" spans="12:13" ht="13" customHeight="1">
      <c r="L2075" s="1"/>
      <c r="M2075" s="1"/>
    </row>
    <row r="2076" spans="12:13" ht="13" customHeight="1">
      <c r="L2076" s="1"/>
      <c r="M2076" s="1"/>
    </row>
    <row r="2077" spans="12:13" ht="13" customHeight="1">
      <c r="L2077" s="1"/>
      <c r="M2077" s="1"/>
    </row>
    <row r="2078" spans="12:13" ht="13" customHeight="1">
      <c r="L2078" s="1"/>
      <c r="M2078" s="1"/>
    </row>
    <row r="2079" spans="12:13" ht="13" customHeight="1">
      <c r="L2079" s="1"/>
      <c r="M2079" s="1"/>
    </row>
    <row r="2080" spans="12:13" ht="13" customHeight="1">
      <c r="L2080" s="1"/>
      <c r="M2080" s="1"/>
    </row>
    <row r="2081" spans="12:13" ht="13" customHeight="1">
      <c r="L2081" s="1"/>
      <c r="M2081" s="1"/>
    </row>
    <row r="2082" spans="12:13" ht="13" customHeight="1">
      <c r="L2082" s="1"/>
      <c r="M2082" s="1"/>
    </row>
    <row r="2083" spans="12:13" ht="13" customHeight="1">
      <c r="L2083" s="1"/>
      <c r="M2083" s="1"/>
    </row>
    <row r="2084" spans="12:13" ht="13" customHeight="1">
      <c r="L2084" s="1"/>
      <c r="M2084" s="1"/>
    </row>
    <row r="2085" spans="12:13" ht="13" customHeight="1">
      <c r="L2085" s="1"/>
      <c r="M2085" s="1"/>
    </row>
    <row r="2086" spans="12:13" ht="13" customHeight="1">
      <c r="L2086" s="1"/>
      <c r="M2086" s="1"/>
    </row>
    <row r="2087" spans="12:13" ht="13" customHeight="1">
      <c r="L2087" s="1"/>
      <c r="M2087" s="1"/>
    </row>
    <row r="2088" spans="12:13" ht="13" customHeight="1">
      <c r="L2088" s="1"/>
      <c r="M2088" s="1"/>
    </row>
    <row r="2089" spans="12:13" ht="13" customHeight="1">
      <c r="L2089" s="1"/>
      <c r="M2089" s="1"/>
    </row>
    <row r="2090" spans="12:13" ht="13" customHeight="1">
      <c r="L2090" s="1"/>
      <c r="M2090" s="1"/>
    </row>
    <row r="2091" spans="12:13" ht="13" customHeight="1">
      <c r="L2091" s="1"/>
      <c r="M2091" s="1"/>
    </row>
    <row r="2092" spans="12:13" ht="13" customHeight="1">
      <c r="L2092" s="1"/>
      <c r="M2092" s="1"/>
    </row>
    <row r="2093" spans="12:13" ht="13" customHeight="1">
      <c r="L2093" s="1"/>
      <c r="M2093" s="1"/>
    </row>
    <row r="2094" spans="12:13" ht="13" customHeight="1">
      <c r="L2094" s="1"/>
      <c r="M2094" s="1"/>
    </row>
    <row r="2095" spans="12:13" ht="13" customHeight="1">
      <c r="L2095" s="1"/>
      <c r="M2095" s="1"/>
    </row>
    <row r="2096" spans="12:13" ht="13" customHeight="1">
      <c r="L2096" s="1"/>
      <c r="M2096" s="1"/>
    </row>
    <row r="2097" spans="12:13" ht="13" customHeight="1">
      <c r="L2097" s="1"/>
      <c r="M2097" s="1"/>
    </row>
    <row r="2098" spans="12:13" ht="13" customHeight="1">
      <c r="L2098" s="1"/>
      <c r="M2098" s="1"/>
    </row>
    <row r="2099" spans="12:13" ht="13" customHeight="1">
      <c r="L2099" s="1"/>
      <c r="M2099" s="1"/>
    </row>
    <row r="2100" spans="12:13" ht="13" customHeight="1">
      <c r="L2100" s="1"/>
      <c r="M2100" s="1"/>
    </row>
    <row r="2101" spans="12:13" ht="13" customHeight="1">
      <c r="L2101" s="1"/>
      <c r="M2101" s="1"/>
    </row>
    <row r="2102" spans="12:13" ht="13" customHeight="1">
      <c r="L2102" s="1"/>
      <c r="M2102" s="1"/>
    </row>
    <row r="2103" spans="12:13" ht="13" customHeight="1">
      <c r="L2103" s="1"/>
      <c r="M2103" s="1"/>
    </row>
    <row r="2104" spans="12:13" ht="13" customHeight="1">
      <c r="L2104" s="1"/>
      <c r="M2104" s="1"/>
    </row>
    <row r="2105" spans="12:13" ht="13" customHeight="1">
      <c r="L2105" s="1"/>
      <c r="M2105" s="1"/>
    </row>
    <row r="2106" spans="12:13" ht="13" customHeight="1">
      <c r="L2106" s="1"/>
      <c r="M2106" s="1"/>
    </row>
    <row r="2107" spans="12:13" ht="13" customHeight="1">
      <c r="L2107" s="1"/>
      <c r="M2107" s="1"/>
    </row>
    <row r="2108" spans="12:13" ht="13" customHeight="1">
      <c r="L2108" s="1"/>
      <c r="M2108" s="1"/>
    </row>
    <row r="2109" spans="12:13" ht="13" customHeight="1">
      <c r="L2109" s="1"/>
      <c r="M2109" s="1"/>
    </row>
    <row r="2110" spans="12:13" ht="13" customHeight="1">
      <c r="L2110" s="1"/>
      <c r="M2110" s="1"/>
    </row>
    <row r="2111" spans="12:13" ht="13" customHeight="1">
      <c r="L2111" s="1"/>
      <c r="M2111" s="1"/>
    </row>
    <row r="2112" spans="12:13" ht="13" customHeight="1">
      <c r="L2112" s="1"/>
      <c r="M2112" s="1"/>
    </row>
    <row r="2113" spans="12:13" ht="13" customHeight="1">
      <c r="L2113" s="1"/>
      <c r="M2113" s="1"/>
    </row>
    <row r="2114" spans="12:13" ht="13" customHeight="1">
      <c r="L2114" s="1"/>
      <c r="M2114" s="1"/>
    </row>
    <row r="2115" spans="12:13" ht="13" customHeight="1">
      <c r="L2115" s="1"/>
      <c r="M2115" s="1"/>
    </row>
    <row r="2116" spans="12:13" ht="13" customHeight="1">
      <c r="L2116" s="1"/>
      <c r="M2116" s="1"/>
    </row>
    <row r="2117" spans="12:13" ht="13" customHeight="1">
      <c r="L2117" s="1"/>
      <c r="M2117" s="1"/>
    </row>
    <row r="2118" spans="12:13" ht="13" customHeight="1">
      <c r="L2118" s="1"/>
      <c r="M2118" s="1"/>
    </row>
    <row r="2119" spans="12:13" ht="13" customHeight="1">
      <c r="L2119" s="1"/>
      <c r="M2119" s="1"/>
    </row>
    <row r="2120" spans="12:13" ht="13" customHeight="1">
      <c r="L2120" s="1"/>
      <c r="M2120" s="1"/>
    </row>
    <row r="2121" spans="12:13" ht="13" customHeight="1">
      <c r="L2121" s="1"/>
      <c r="M2121" s="1"/>
    </row>
    <row r="2122" spans="12:13" ht="13" customHeight="1">
      <c r="L2122" s="1"/>
      <c r="M2122" s="1"/>
    </row>
    <row r="2123" spans="12:13" ht="13" customHeight="1">
      <c r="L2123" s="1"/>
      <c r="M2123" s="1"/>
    </row>
    <row r="2124" spans="12:13" ht="13" customHeight="1">
      <c r="L2124" s="1"/>
      <c r="M2124" s="1"/>
    </row>
    <row r="2125" spans="12:13" ht="13" customHeight="1">
      <c r="L2125" s="1"/>
      <c r="M2125" s="1"/>
    </row>
    <row r="2126" spans="12:13" ht="13" customHeight="1">
      <c r="L2126" s="1"/>
      <c r="M2126" s="1"/>
    </row>
    <row r="2127" spans="12:13" ht="13" customHeight="1">
      <c r="L2127" s="1"/>
      <c r="M2127" s="1"/>
    </row>
    <row r="2128" spans="12:13" ht="13" customHeight="1">
      <c r="L2128" s="1"/>
      <c r="M2128" s="1"/>
    </row>
    <row r="2129" spans="12:13" ht="13" customHeight="1">
      <c r="L2129" s="1"/>
      <c r="M2129" s="1"/>
    </row>
    <row r="2130" spans="12:13" ht="13" customHeight="1">
      <c r="L2130" s="1"/>
      <c r="M2130" s="1"/>
    </row>
    <row r="2131" spans="12:13" ht="13" customHeight="1">
      <c r="L2131" s="1"/>
      <c r="M2131" s="1"/>
    </row>
    <row r="2132" spans="12:13" ht="13" customHeight="1">
      <c r="L2132" s="1"/>
      <c r="M2132" s="1"/>
    </row>
    <row r="2133" spans="12:13" ht="13" customHeight="1">
      <c r="L2133" s="1"/>
      <c r="M2133" s="1"/>
    </row>
    <row r="2134" spans="12:13" ht="13" customHeight="1">
      <c r="L2134" s="1"/>
      <c r="M2134" s="1"/>
    </row>
    <row r="2135" spans="12:13" ht="13" customHeight="1">
      <c r="L2135" s="1"/>
      <c r="M2135" s="1"/>
    </row>
    <row r="2136" spans="12:13" ht="13" customHeight="1">
      <c r="L2136" s="1"/>
      <c r="M2136" s="1"/>
    </row>
    <row r="2137" spans="12:13" ht="13" customHeight="1">
      <c r="L2137" s="1"/>
      <c r="M2137" s="1"/>
    </row>
    <row r="2138" spans="12:13" ht="13" customHeight="1">
      <c r="L2138" s="1"/>
      <c r="M2138" s="1"/>
    </row>
    <row r="2139" spans="12:13" ht="13" customHeight="1">
      <c r="L2139" s="1"/>
      <c r="M2139" s="1"/>
    </row>
    <row r="2140" spans="12:13" ht="13" customHeight="1">
      <c r="L2140" s="1"/>
      <c r="M2140" s="1"/>
    </row>
    <row r="2141" spans="12:13" ht="13" customHeight="1">
      <c r="L2141" s="1"/>
      <c r="M2141" s="1"/>
    </row>
    <row r="2142" spans="12:13" ht="13" customHeight="1">
      <c r="L2142" s="1"/>
      <c r="M2142" s="1"/>
    </row>
    <row r="2143" spans="12:13" ht="13" customHeight="1">
      <c r="L2143" s="1"/>
      <c r="M2143" s="1"/>
    </row>
    <row r="2144" spans="12:13" ht="13" customHeight="1">
      <c r="L2144" s="1"/>
      <c r="M2144" s="1"/>
    </row>
    <row r="2145" spans="12:13" ht="13" customHeight="1">
      <c r="L2145" s="1"/>
      <c r="M2145" s="1"/>
    </row>
    <row r="2146" spans="12:13" ht="13" customHeight="1">
      <c r="L2146" s="1"/>
      <c r="M2146" s="1"/>
    </row>
    <row r="2147" spans="12:13" ht="13" customHeight="1">
      <c r="L2147" s="1"/>
      <c r="M2147" s="1"/>
    </row>
    <row r="2148" spans="12:13" ht="13" customHeight="1">
      <c r="L2148" s="1"/>
      <c r="M2148" s="1"/>
    </row>
    <row r="2149" spans="12:13" ht="13" customHeight="1">
      <c r="L2149" s="1"/>
      <c r="M2149" s="1"/>
    </row>
    <row r="2150" spans="12:13" ht="13" customHeight="1">
      <c r="L2150" s="1"/>
      <c r="M2150" s="1"/>
    </row>
    <row r="2151" spans="12:13" ht="13" customHeight="1">
      <c r="L2151" s="1"/>
      <c r="M2151" s="1"/>
    </row>
    <row r="2152" spans="12:13" ht="13" customHeight="1">
      <c r="L2152" s="1"/>
      <c r="M2152" s="1"/>
    </row>
    <row r="2153" spans="12:13" ht="13" customHeight="1">
      <c r="L2153" s="1"/>
      <c r="M2153" s="1"/>
    </row>
    <row r="2154" spans="12:13" ht="13" customHeight="1">
      <c r="L2154" s="1"/>
      <c r="M2154" s="1"/>
    </row>
    <row r="2155" spans="12:13" ht="13" customHeight="1">
      <c r="L2155" s="1"/>
      <c r="M2155" s="1"/>
    </row>
    <row r="2156" spans="12:13" ht="13" customHeight="1">
      <c r="L2156" s="1"/>
      <c r="M2156" s="1"/>
    </row>
    <row r="2157" spans="12:13" ht="13" customHeight="1">
      <c r="L2157" s="1"/>
      <c r="M2157" s="1"/>
    </row>
    <row r="2158" spans="12:13" ht="13" customHeight="1">
      <c r="L2158" s="1"/>
      <c r="M2158" s="1"/>
    </row>
    <row r="2159" spans="12:13" ht="13" customHeight="1">
      <c r="L2159" s="1"/>
      <c r="M2159" s="1"/>
    </row>
    <row r="2160" spans="12:13" ht="13" customHeight="1">
      <c r="L2160" s="1"/>
      <c r="M2160" s="1"/>
    </row>
    <row r="2161" spans="12:13" ht="13" customHeight="1">
      <c r="L2161" s="1"/>
      <c r="M2161" s="1"/>
    </row>
    <row r="2162" spans="12:13" ht="13" customHeight="1">
      <c r="L2162" s="1"/>
      <c r="M2162" s="1"/>
    </row>
    <row r="2163" spans="12:13" ht="13" customHeight="1">
      <c r="L2163" s="1"/>
      <c r="M2163" s="1"/>
    </row>
    <row r="2164" spans="12:13" ht="13" customHeight="1">
      <c r="L2164" s="1"/>
      <c r="M2164" s="1"/>
    </row>
    <row r="2165" spans="12:13" ht="13" customHeight="1">
      <c r="L2165" s="1"/>
      <c r="M2165" s="1"/>
    </row>
    <row r="2166" spans="12:13" ht="13" customHeight="1">
      <c r="L2166" s="1"/>
      <c r="M2166" s="1"/>
    </row>
    <row r="2167" spans="12:13" ht="13" customHeight="1">
      <c r="L2167" s="1"/>
      <c r="M2167" s="1"/>
    </row>
    <row r="2168" spans="12:13" ht="13" customHeight="1">
      <c r="L2168" s="1"/>
      <c r="M2168" s="1"/>
    </row>
    <row r="2169" spans="12:13" ht="13" customHeight="1">
      <c r="L2169" s="1"/>
      <c r="M2169" s="1"/>
    </row>
    <row r="2170" spans="12:13" ht="13" customHeight="1">
      <c r="L2170" s="1"/>
      <c r="M2170" s="1"/>
    </row>
    <row r="2171" spans="12:13" ht="13" customHeight="1">
      <c r="L2171" s="1"/>
      <c r="M2171" s="1"/>
    </row>
    <row r="2172" spans="12:13" ht="13" customHeight="1">
      <c r="L2172" s="1"/>
      <c r="M2172" s="1"/>
    </row>
    <row r="2173" spans="12:13" ht="13" customHeight="1">
      <c r="L2173" s="1"/>
      <c r="M2173" s="1"/>
    </row>
    <row r="2174" spans="12:13" ht="13" customHeight="1">
      <c r="L2174" s="1"/>
      <c r="M2174" s="1"/>
    </row>
    <row r="2175" spans="12:13" ht="13" customHeight="1">
      <c r="L2175" s="1"/>
      <c r="M2175" s="1"/>
    </row>
    <row r="2176" spans="12:13" ht="13" customHeight="1">
      <c r="L2176" s="1"/>
      <c r="M2176" s="1"/>
    </row>
    <row r="2177" spans="12:13" ht="13" customHeight="1">
      <c r="L2177" s="1"/>
      <c r="M2177" s="1"/>
    </row>
    <row r="2178" spans="12:13" ht="13" customHeight="1">
      <c r="L2178" s="1"/>
      <c r="M2178" s="1"/>
    </row>
    <row r="2179" spans="12:13" ht="13" customHeight="1">
      <c r="L2179" s="1"/>
      <c r="M2179" s="1"/>
    </row>
    <row r="2180" spans="12:13" ht="13" customHeight="1">
      <c r="L2180" s="1"/>
      <c r="M2180" s="1"/>
    </row>
    <row r="2181" spans="12:13" ht="13" customHeight="1">
      <c r="L2181" s="1"/>
      <c r="M2181" s="1"/>
    </row>
    <row r="2182" spans="12:13" ht="13" customHeight="1">
      <c r="L2182" s="1"/>
      <c r="M2182" s="1"/>
    </row>
    <row r="2183" spans="12:13" ht="13" customHeight="1">
      <c r="L2183" s="1"/>
      <c r="M2183" s="1"/>
    </row>
    <row r="2184" spans="12:13" ht="13" customHeight="1">
      <c r="L2184" s="1"/>
      <c r="M2184" s="1"/>
    </row>
    <row r="2185" spans="12:13" ht="13" customHeight="1">
      <c r="L2185" s="1"/>
      <c r="M2185" s="1"/>
    </row>
    <row r="2186" spans="12:13" ht="13" customHeight="1">
      <c r="L2186" s="1"/>
      <c r="M2186" s="1"/>
    </row>
    <row r="2187" spans="12:13" ht="13" customHeight="1">
      <c r="L2187" s="1"/>
      <c r="M2187" s="1"/>
    </row>
    <row r="2188" spans="12:13" ht="13" customHeight="1">
      <c r="L2188" s="1"/>
      <c r="M2188" s="1"/>
    </row>
    <row r="2189" spans="12:13" ht="13" customHeight="1">
      <c r="L2189" s="1"/>
      <c r="M2189" s="1"/>
    </row>
    <row r="2190" spans="12:13" ht="13" customHeight="1">
      <c r="L2190" s="1"/>
      <c r="M2190" s="1"/>
    </row>
    <row r="2191" spans="12:13" ht="13" customHeight="1">
      <c r="L2191" s="1"/>
      <c r="M2191" s="1"/>
    </row>
    <row r="2192" spans="12:13" ht="13" customHeight="1">
      <c r="L2192" s="1"/>
      <c r="M2192" s="1"/>
    </row>
    <row r="2193" spans="12:13" ht="13" customHeight="1">
      <c r="L2193" s="1"/>
      <c r="M2193" s="1"/>
    </row>
    <row r="2194" spans="12:13" ht="13" customHeight="1">
      <c r="L2194" s="1"/>
      <c r="M2194" s="1"/>
    </row>
    <row r="2195" spans="12:13" ht="13" customHeight="1">
      <c r="L2195" s="1"/>
      <c r="M2195" s="1"/>
    </row>
    <row r="2196" spans="12:13" ht="13" customHeight="1">
      <c r="L2196" s="1"/>
      <c r="M2196" s="1"/>
    </row>
    <row r="2197" spans="12:13" ht="13" customHeight="1">
      <c r="L2197" s="1"/>
      <c r="M2197" s="1"/>
    </row>
    <row r="2198" spans="12:13" ht="13" customHeight="1">
      <c r="L2198" s="1"/>
      <c r="M2198" s="1"/>
    </row>
    <row r="2199" spans="12:13" ht="13" customHeight="1">
      <c r="L2199" s="1"/>
      <c r="M2199" s="1"/>
    </row>
    <row r="2200" spans="12:13" ht="13" customHeight="1">
      <c r="L2200" s="1"/>
      <c r="M2200" s="1"/>
    </row>
    <row r="2201" spans="12:13" ht="13" customHeight="1">
      <c r="L2201" s="1"/>
      <c r="M2201" s="1"/>
    </row>
    <row r="2202" spans="12:13" ht="13" customHeight="1">
      <c r="L2202" s="1"/>
      <c r="M2202" s="1"/>
    </row>
    <row r="2203" spans="12:13" ht="13" customHeight="1">
      <c r="L2203" s="1"/>
      <c r="M2203" s="1"/>
    </row>
    <row r="2204" spans="12:13" ht="13" customHeight="1">
      <c r="L2204" s="1"/>
      <c r="M2204" s="1"/>
    </row>
    <row r="2205" spans="12:13" ht="13" customHeight="1">
      <c r="L2205" s="1"/>
      <c r="M2205" s="1"/>
    </row>
    <row r="2206" spans="12:13" ht="13" customHeight="1">
      <c r="L2206" s="1"/>
      <c r="M2206" s="1"/>
    </row>
    <row r="2207" spans="12:13" ht="13" customHeight="1">
      <c r="L2207" s="1"/>
      <c r="M2207" s="1"/>
    </row>
    <row r="2208" spans="12:13" ht="13" customHeight="1">
      <c r="L2208" s="1"/>
      <c r="M2208" s="1"/>
    </row>
    <row r="2209" spans="12:13" ht="13" customHeight="1">
      <c r="L2209" s="1"/>
      <c r="M2209" s="1"/>
    </row>
    <row r="2210" spans="12:13" ht="13" customHeight="1">
      <c r="L2210" s="1"/>
      <c r="M2210" s="1"/>
    </row>
    <row r="2211" spans="12:13" ht="13" customHeight="1">
      <c r="L2211" s="1"/>
      <c r="M2211" s="1"/>
    </row>
    <row r="2212" spans="12:13" ht="13" customHeight="1">
      <c r="L2212" s="1"/>
      <c r="M2212" s="1"/>
    </row>
    <row r="2213" spans="12:13" ht="13" customHeight="1">
      <c r="L2213" s="1"/>
      <c r="M2213" s="1"/>
    </row>
    <row r="2214" spans="12:13" ht="13" customHeight="1">
      <c r="L2214" s="1"/>
      <c r="M2214" s="1"/>
    </row>
    <row r="2215" spans="12:13" ht="13" customHeight="1">
      <c r="L2215" s="1"/>
      <c r="M2215" s="1"/>
    </row>
    <row r="2216" spans="12:13" ht="13" customHeight="1">
      <c r="L2216" s="1"/>
      <c r="M2216" s="1"/>
    </row>
    <row r="2217" spans="12:13" ht="13" customHeight="1">
      <c r="L2217" s="1"/>
      <c r="M2217" s="1"/>
    </row>
    <row r="2218" spans="12:13" ht="13" customHeight="1">
      <c r="L2218" s="1"/>
      <c r="M2218" s="1"/>
    </row>
    <row r="2219" spans="12:13" ht="13" customHeight="1">
      <c r="L2219" s="1"/>
      <c r="M2219" s="1"/>
    </row>
    <row r="2220" spans="12:13" ht="13" customHeight="1">
      <c r="L2220" s="1"/>
      <c r="M2220" s="1"/>
    </row>
    <row r="2221" spans="12:13" ht="13" customHeight="1">
      <c r="L2221" s="1"/>
      <c r="M2221" s="1"/>
    </row>
    <row r="2222" spans="12:13" ht="13" customHeight="1">
      <c r="L2222" s="1"/>
      <c r="M2222" s="1"/>
    </row>
    <row r="2223" spans="12:13" ht="13" customHeight="1">
      <c r="L2223" s="1"/>
      <c r="M2223" s="1"/>
    </row>
    <row r="2224" spans="12:13" ht="13" customHeight="1">
      <c r="L2224" s="1"/>
      <c r="M2224" s="1"/>
    </row>
    <row r="2225" spans="12:13" ht="13" customHeight="1">
      <c r="L2225" s="1"/>
      <c r="M2225" s="1"/>
    </row>
    <row r="2226" spans="12:13" ht="13" customHeight="1">
      <c r="L2226" s="1"/>
      <c r="M2226" s="1"/>
    </row>
    <row r="2227" spans="12:13" ht="13" customHeight="1">
      <c r="L2227" s="1"/>
      <c r="M2227" s="1"/>
    </row>
    <row r="2228" spans="12:13" ht="13" customHeight="1">
      <c r="L2228" s="1"/>
      <c r="M2228" s="1"/>
    </row>
    <row r="2229" spans="12:13" ht="13" customHeight="1">
      <c r="L2229" s="1"/>
      <c r="M2229" s="1"/>
    </row>
    <row r="2230" spans="12:13" ht="13" customHeight="1">
      <c r="L2230" s="1"/>
      <c r="M2230" s="1"/>
    </row>
    <row r="2231" spans="12:13" ht="13" customHeight="1">
      <c r="L2231" s="1"/>
      <c r="M2231" s="1"/>
    </row>
    <row r="2232" spans="12:13" ht="13" customHeight="1">
      <c r="L2232" s="1"/>
      <c r="M2232" s="1"/>
    </row>
    <row r="2233" spans="12:13" ht="13" customHeight="1">
      <c r="L2233" s="1"/>
      <c r="M2233" s="1"/>
    </row>
    <row r="2234" spans="12:13" ht="13" customHeight="1">
      <c r="L2234" s="1"/>
      <c r="M2234" s="1"/>
    </row>
    <row r="2235" spans="12:13" ht="13" customHeight="1">
      <c r="L2235" s="1"/>
      <c r="M2235" s="1"/>
    </row>
    <row r="2236" spans="12:13" ht="13" customHeight="1">
      <c r="L2236" s="1"/>
      <c r="M2236" s="1"/>
    </row>
    <row r="2237" spans="12:13" ht="13" customHeight="1">
      <c r="L2237" s="1"/>
      <c r="M2237" s="1"/>
    </row>
    <row r="2238" spans="12:13" ht="13" customHeight="1">
      <c r="L2238" s="1"/>
      <c r="M2238" s="1"/>
    </row>
    <row r="2239" spans="12:13" ht="13" customHeight="1">
      <c r="L2239" s="1"/>
      <c r="M2239" s="1"/>
    </row>
    <row r="2240" spans="12:13" ht="13" customHeight="1">
      <c r="L2240" s="1"/>
      <c r="M2240" s="1"/>
    </row>
    <row r="2241" spans="12:13" ht="13" customHeight="1">
      <c r="L2241" s="1"/>
      <c r="M2241" s="1"/>
    </row>
    <row r="2242" spans="12:13" ht="13" customHeight="1">
      <c r="L2242" s="1"/>
      <c r="M2242" s="1"/>
    </row>
    <row r="2243" spans="12:13" ht="13" customHeight="1">
      <c r="L2243" s="1"/>
      <c r="M2243" s="1"/>
    </row>
    <row r="2244" spans="12:13" ht="13" customHeight="1">
      <c r="L2244" s="1"/>
      <c r="M2244" s="1"/>
    </row>
    <row r="2245" spans="12:13" ht="13" customHeight="1">
      <c r="L2245" s="1"/>
      <c r="M2245" s="1"/>
    </row>
    <row r="2246" spans="12:13" ht="13" customHeight="1">
      <c r="L2246" s="1"/>
      <c r="M2246" s="1"/>
    </row>
    <row r="2247" spans="12:13" ht="13" customHeight="1">
      <c r="L2247" s="1"/>
      <c r="M2247" s="1"/>
    </row>
    <row r="2248" spans="12:13" ht="13" customHeight="1">
      <c r="L2248" s="1"/>
      <c r="M2248" s="1"/>
    </row>
    <row r="2249" spans="12:13" ht="13" customHeight="1">
      <c r="L2249" s="1"/>
      <c r="M2249" s="1"/>
    </row>
    <row r="2250" spans="12:13" ht="13" customHeight="1">
      <c r="L2250" s="1"/>
      <c r="M2250" s="1"/>
    </row>
    <row r="2251" spans="12:13" ht="13" customHeight="1">
      <c r="L2251" s="1"/>
      <c r="M2251" s="1"/>
    </row>
    <row r="2252" spans="12:13" ht="13" customHeight="1">
      <c r="L2252" s="1"/>
      <c r="M2252" s="1"/>
    </row>
    <row r="2253" spans="12:13" ht="13" customHeight="1">
      <c r="L2253" s="1"/>
      <c r="M2253" s="1"/>
    </row>
    <row r="2254" spans="12:13" ht="13" customHeight="1">
      <c r="L2254" s="1"/>
      <c r="M2254" s="1"/>
    </row>
    <row r="2255" spans="12:13" ht="13" customHeight="1">
      <c r="L2255" s="1"/>
      <c r="M2255" s="1"/>
    </row>
    <row r="2256" spans="12:13" ht="13" customHeight="1">
      <c r="L2256" s="1"/>
      <c r="M2256" s="1"/>
    </row>
    <row r="2257" spans="12:13" ht="13" customHeight="1">
      <c r="L2257" s="1"/>
      <c r="M2257" s="1"/>
    </row>
    <row r="2258" spans="12:13" ht="13" customHeight="1">
      <c r="L2258" s="1"/>
      <c r="M2258" s="1"/>
    </row>
    <row r="2259" spans="12:13" ht="13" customHeight="1">
      <c r="L2259" s="1"/>
      <c r="M2259" s="1"/>
    </row>
    <row r="2260" spans="12:13" ht="13" customHeight="1">
      <c r="L2260" s="1"/>
      <c r="M2260" s="1"/>
    </row>
    <row r="2261" spans="12:13" ht="13" customHeight="1">
      <c r="L2261" s="1"/>
      <c r="M2261" s="1"/>
    </row>
    <row r="2262" spans="12:13" ht="13" customHeight="1">
      <c r="L2262" s="1"/>
      <c r="M2262" s="1"/>
    </row>
    <row r="2263" spans="12:13" ht="13" customHeight="1">
      <c r="L2263" s="1"/>
      <c r="M2263" s="1"/>
    </row>
    <row r="2264" spans="12:13" ht="13" customHeight="1">
      <c r="L2264" s="1"/>
      <c r="M2264" s="1"/>
    </row>
    <row r="2265" spans="12:13" ht="13" customHeight="1">
      <c r="L2265" s="1"/>
      <c r="M2265" s="1"/>
    </row>
    <row r="2266" spans="12:13" ht="13" customHeight="1">
      <c r="L2266" s="1"/>
      <c r="M2266" s="1"/>
    </row>
    <row r="2267" spans="12:13" ht="13" customHeight="1">
      <c r="L2267" s="1"/>
      <c r="M2267" s="1"/>
    </row>
    <row r="2268" spans="12:13" ht="13" customHeight="1">
      <c r="L2268" s="1"/>
      <c r="M2268" s="1"/>
    </row>
    <row r="2269" spans="12:13" ht="13" customHeight="1">
      <c r="L2269" s="1"/>
      <c r="M2269" s="1"/>
    </row>
    <row r="2270" spans="12:13" ht="13" customHeight="1">
      <c r="L2270" s="1"/>
      <c r="M2270" s="1"/>
    </row>
    <row r="2271" spans="12:13" ht="13" customHeight="1">
      <c r="L2271" s="1"/>
      <c r="M2271" s="1"/>
    </row>
    <row r="2272" spans="12:13" ht="13" customHeight="1">
      <c r="L2272" s="1"/>
      <c r="M2272" s="1"/>
    </row>
    <row r="2273" spans="12:13" ht="13" customHeight="1">
      <c r="L2273" s="1"/>
      <c r="M2273" s="1"/>
    </row>
    <row r="2274" spans="12:13" ht="13" customHeight="1">
      <c r="L2274" s="1"/>
      <c r="M2274" s="1"/>
    </row>
    <row r="2275" spans="12:13" ht="13" customHeight="1">
      <c r="L2275" s="1"/>
      <c r="M2275" s="1"/>
    </row>
    <row r="2276" spans="12:13" ht="13" customHeight="1">
      <c r="L2276" s="1"/>
      <c r="M2276" s="1"/>
    </row>
    <row r="2277" spans="12:13" ht="13" customHeight="1">
      <c r="L2277" s="1"/>
      <c r="M2277" s="1"/>
    </row>
    <row r="2278" spans="12:13" ht="13" customHeight="1">
      <c r="L2278" s="1"/>
      <c r="M2278" s="1"/>
    </row>
    <row r="2279" spans="12:13" ht="13" customHeight="1">
      <c r="L2279" s="1"/>
      <c r="M2279" s="1"/>
    </row>
    <row r="2280" spans="12:13" ht="13" customHeight="1">
      <c r="L2280" s="1"/>
      <c r="M2280" s="1"/>
    </row>
    <row r="2281" spans="12:13" ht="13" customHeight="1">
      <c r="L2281" s="1"/>
      <c r="M2281" s="1"/>
    </row>
    <row r="2282" spans="12:13" ht="13" customHeight="1">
      <c r="L2282" s="1"/>
      <c r="M2282" s="1"/>
    </row>
    <row r="2283" spans="12:13" ht="13" customHeight="1">
      <c r="L2283" s="1"/>
      <c r="M2283" s="1"/>
    </row>
    <row r="2284" spans="12:13" ht="13" customHeight="1">
      <c r="L2284" s="1"/>
      <c r="M2284" s="1"/>
    </row>
    <row r="2285" spans="12:13" ht="13" customHeight="1">
      <c r="L2285" s="1"/>
      <c r="M2285" s="1"/>
    </row>
    <row r="2286" spans="12:13" ht="13" customHeight="1">
      <c r="L2286" s="1"/>
      <c r="M2286" s="1"/>
    </row>
    <row r="2287" spans="12:13" ht="13" customHeight="1">
      <c r="L2287" s="1"/>
      <c r="M2287" s="1"/>
    </row>
    <row r="2288" spans="12:13" ht="13" customHeight="1">
      <c r="L2288" s="1"/>
      <c r="M2288" s="1"/>
    </row>
    <row r="2289" spans="12:13" ht="13" customHeight="1">
      <c r="L2289" s="1"/>
      <c r="M2289" s="1"/>
    </row>
    <row r="2290" spans="12:13" ht="13" customHeight="1">
      <c r="L2290" s="1"/>
      <c r="M2290" s="1"/>
    </row>
    <row r="2291" spans="12:13" ht="13" customHeight="1">
      <c r="L2291" s="1"/>
      <c r="M2291" s="1"/>
    </row>
    <row r="2292" spans="12:13" ht="13" customHeight="1">
      <c r="L2292" s="1"/>
      <c r="M2292" s="1"/>
    </row>
    <row r="2293" spans="12:13" ht="13" customHeight="1">
      <c r="L2293" s="1"/>
      <c r="M2293" s="1"/>
    </row>
    <row r="2294" spans="12:13" ht="13" customHeight="1">
      <c r="L2294" s="1"/>
      <c r="M2294" s="1"/>
    </row>
    <row r="2295" spans="12:13" ht="13" customHeight="1">
      <c r="L2295" s="1"/>
      <c r="M2295" s="1"/>
    </row>
    <row r="2296" spans="12:13" ht="13" customHeight="1">
      <c r="L2296" s="1"/>
      <c r="M2296" s="1"/>
    </row>
    <row r="2297" spans="12:13" ht="13" customHeight="1">
      <c r="L2297" s="1"/>
      <c r="M2297" s="1"/>
    </row>
    <row r="2298" spans="12:13" ht="13" customHeight="1">
      <c r="L2298" s="1"/>
      <c r="M2298" s="1"/>
    </row>
    <row r="2299" spans="12:13" ht="13" customHeight="1">
      <c r="L2299" s="1"/>
      <c r="M2299" s="1"/>
    </row>
    <row r="2300" spans="12:13" ht="13" customHeight="1">
      <c r="L2300" s="1"/>
      <c r="M2300" s="1"/>
    </row>
    <row r="2301" spans="12:13" ht="13" customHeight="1">
      <c r="L2301" s="1"/>
      <c r="M2301" s="1"/>
    </row>
    <row r="2302" spans="12:13" ht="13" customHeight="1">
      <c r="L2302" s="1"/>
      <c r="M2302" s="1"/>
    </row>
    <row r="2303" spans="12:13" ht="13" customHeight="1">
      <c r="L2303" s="1"/>
      <c r="M2303" s="1"/>
    </row>
    <row r="2304" spans="12:13" ht="13" customHeight="1">
      <c r="L2304" s="1"/>
      <c r="M2304" s="1"/>
    </row>
    <row r="2305" spans="12:13" ht="13" customHeight="1">
      <c r="L2305" s="1"/>
      <c r="M2305" s="1"/>
    </row>
    <row r="2306" spans="12:13" ht="13" customHeight="1">
      <c r="L2306" s="1"/>
      <c r="M2306" s="1"/>
    </row>
    <row r="2307" spans="12:13" ht="13" customHeight="1">
      <c r="L2307" s="1"/>
      <c r="M2307" s="1"/>
    </row>
    <row r="2308" spans="12:13" ht="13" customHeight="1">
      <c r="L2308" s="1"/>
      <c r="M2308" s="1"/>
    </row>
    <row r="2309" spans="12:13" ht="13" customHeight="1">
      <c r="L2309" s="1"/>
      <c r="M2309" s="1"/>
    </row>
    <row r="2310" spans="12:13" ht="13" customHeight="1">
      <c r="L2310" s="1"/>
      <c r="M2310" s="1"/>
    </row>
    <row r="2311" spans="12:13" ht="13" customHeight="1">
      <c r="L2311" s="1"/>
      <c r="M2311" s="1"/>
    </row>
    <row r="2312" spans="12:13" ht="13" customHeight="1">
      <c r="L2312" s="1"/>
      <c r="M2312" s="1"/>
    </row>
    <row r="2313" spans="12:13" ht="13" customHeight="1">
      <c r="L2313" s="1"/>
      <c r="M2313" s="1"/>
    </row>
    <row r="2314" spans="12:13" ht="13" customHeight="1">
      <c r="L2314" s="1"/>
      <c r="M2314" s="1"/>
    </row>
    <row r="2315" spans="12:13" ht="13" customHeight="1">
      <c r="L2315" s="1"/>
      <c r="M2315" s="1"/>
    </row>
    <row r="2316" spans="12:13" ht="13" customHeight="1">
      <c r="L2316" s="1"/>
      <c r="M2316" s="1"/>
    </row>
    <row r="2317" spans="12:13" ht="13" customHeight="1">
      <c r="L2317" s="1"/>
      <c r="M2317" s="1"/>
    </row>
    <row r="2318" spans="12:13" ht="13" customHeight="1">
      <c r="L2318" s="1"/>
      <c r="M2318" s="1"/>
    </row>
    <row r="2319" spans="12:13" ht="13" customHeight="1">
      <c r="L2319" s="1"/>
      <c r="M2319" s="1"/>
    </row>
    <row r="2320" spans="12:13" ht="13" customHeight="1">
      <c r="L2320" s="1"/>
      <c r="M2320" s="1"/>
    </row>
    <row r="2321" spans="12:13" ht="13" customHeight="1">
      <c r="L2321" s="1"/>
      <c r="M2321" s="1"/>
    </row>
    <row r="2322" spans="12:13" ht="13" customHeight="1">
      <c r="L2322" s="1"/>
      <c r="M2322" s="1"/>
    </row>
    <row r="2323" spans="12:13" ht="13" customHeight="1">
      <c r="L2323" s="1"/>
      <c r="M2323" s="1"/>
    </row>
    <row r="2324" spans="12:13" ht="13" customHeight="1">
      <c r="L2324" s="1"/>
      <c r="M2324" s="1"/>
    </row>
    <row r="2325" spans="12:13" ht="13" customHeight="1">
      <c r="L2325" s="1"/>
      <c r="M2325" s="1"/>
    </row>
    <row r="2326" spans="12:13" ht="13" customHeight="1">
      <c r="L2326" s="1"/>
      <c r="M2326" s="1"/>
    </row>
    <row r="2327" spans="12:13" ht="13" customHeight="1">
      <c r="L2327" s="1"/>
      <c r="M2327" s="1"/>
    </row>
    <row r="2328" spans="12:13" ht="13" customHeight="1">
      <c r="L2328" s="1"/>
      <c r="M2328" s="1"/>
    </row>
    <row r="2329" spans="12:13" ht="13" customHeight="1">
      <c r="L2329" s="1"/>
      <c r="M2329" s="1"/>
    </row>
    <row r="2330" spans="12:13" ht="13" customHeight="1">
      <c r="L2330" s="1"/>
      <c r="M2330" s="1"/>
    </row>
    <row r="2331" spans="12:13" ht="13" customHeight="1">
      <c r="L2331" s="1"/>
      <c r="M2331" s="1"/>
    </row>
    <row r="2332" spans="12:13" ht="13" customHeight="1">
      <c r="L2332" s="1"/>
      <c r="M2332" s="1"/>
    </row>
    <row r="2333" spans="12:13" ht="13" customHeight="1">
      <c r="L2333" s="1"/>
      <c r="M2333" s="1"/>
    </row>
    <row r="2334" spans="12:13" ht="13" customHeight="1">
      <c r="L2334" s="1"/>
      <c r="M2334" s="1"/>
    </row>
    <row r="2335" spans="12:13" ht="13" customHeight="1">
      <c r="L2335" s="1"/>
      <c r="M2335" s="1"/>
    </row>
    <row r="2336" spans="12:13" ht="13" customHeight="1">
      <c r="L2336" s="1"/>
      <c r="M2336" s="1"/>
    </row>
    <row r="2337" spans="12:13" ht="13" customHeight="1">
      <c r="L2337" s="1"/>
      <c r="M2337" s="1"/>
    </row>
    <row r="2338" spans="12:13" ht="13" customHeight="1">
      <c r="L2338" s="1"/>
      <c r="M2338" s="1"/>
    </row>
    <row r="2339" spans="12:13" ht="13" customHeight="1">
      <c r="L2339" s="1"/>
      <c r="M2339" s="1"/>
    </row>
    <row r="2340" spans="12:13" ht="13" customHeight="1">
      <c r="L2340" s="1"/>
      <c r="M2340" s="1"/>
    </row>
    <row r="2341" spans="12:13" ht="13" customHeight="1">
      <c r="L2341" s="1"/>
      <c r="M2341" s="1"/>
    </row>
    <row r="2342" spans="12:13" ht="13" customHeight="1">
      <c r="L2342" s="1"/>
      <c r="M2342" s="1"/>
    </row>
    <row r="2343" spans="12:13" ht="13" customHeight="1">
      <c r="L2343" s="1"/>
      <c r="M2343" s="1"/>
    </row>
    <row r="2344" spans="12:13" ht="13" customHeight="1">
      <c r="L2344" s="1"/>
      <c r="M2344" s="1"/>
    </row>
    <row r="2345" spans="12:13" ht="13" customHeight="1">
      <c r="L2345" s="1"/>
      <c r="M2345" s="1"/>
    </row>
    <row r="2346" spans="12:13" ht="13" customHeight="1">
      <c r="L2346" s="1"/>
      <c r="M2346" s="1"/>
    </row>
    <row r="2347" spans="12:13" ht="13" customHeight="1">
      <c r="L2347" s="1"/>
      <c r="M2347" s="1"/>
    </row>
    <row r="2348" spans="12:13" ht="13" customHeight="1">
      <c r="L2348" s="1"/>
      <c r="M2348" s="1"/>
    </row>
    <row r="2349" spans="12:13" ht="13" customHeight="1">
      <c r="L2349" s="1"/>
      <c r="M2349" s="1"/>
    </row>
    <row r="2350" spans="12:13" ht="13" customHeight="1">
      <c r="L2350" s="1"/>
      <c r="M2350" s="1"/>
    </row>
    <row r="2351" spans="12:13" ht="13" customHeight="1">
      <c r="L2351" s="1"/>
      <c r="M2351" s="1"/>
    </row>
    <row r="2352" spans="12:13" ht="13" customHeight="1">
      <c r="L2352" s="1"/>
      <c r="M2352" s="1"/>
    </row>
    <row r="2353" spans="12:13" ht="13" customHeight="1">
      <c r="L2353" s="1"/>
      <c r="M2353" s="1"/>
    </row>
    <row r="2354" spans="12:13" ht="13" customHeight="1">
      <c r="L2354" s="1"/>
      <c r="M2354" s="1"/>
    </row>
    <row r="2355" spans="12:13" ht="13" customHeight="1">
      <c r="L2355" s="1"/>
      <c r="M2355" s="1"/>
    </row>
    <row r="2356" spans="12:13" ht="13" customHeight="1">
      <c r="L2356" s="1"/>
      <c r="M2356" s="1"/>
    </row>
    <row r="2357" spans="12:13" ht="13" customHeight="1">
      <c r="L2357" s="1"/>
      <c r="M2357" s="1"/>
    </row>
    <row r="2358" spans="12:13" ht="13" customHeight="1">
      <c r="L2358" s="1"/>
      <c r="M2358" s="1"/>
    </row>
    <row r="2359" spans="12:13" ht="13" customHeight="1">
      <c r="L2359" s="1"/>
      <c r="M2359" s="1"/>
    </row>
    <row r="2360" spans="12:13" ht="13" customHeight="1">
      <c r="L2360" s="1"/>
      <c r="M2360" s="1"/>
    </row>
    <row r="2361" spans="12:13" ht="13" customHeight="1">
      <c r="L2361" s="1"/>
      <c r="M2361" s="1"/>
    </row>
    <row r="2362" spans="12:13" ht="13" customHeight="1">
      <c r="L2362" s="1"/>
      <c r="M2362" s="1"/>
    </row>
    <row r="2363" spans="12:13" ht="13" customHeight="1">
      <c r="L2363" s="1"/>
      <c r="M2363" s="1"/>
    </row>
    <row r="2364" spans="12:13" ht="13" customHeight="1">
      <c r="L2364" s="1"/>
      <c r="M2364" s="1"/>
    </row>
    <row r="2365" spans="12:13" ht="13" customHeight="1">
      <c r="L2365" s="1"/>
      <c r="M2365" s="1"/>
    </row>
    <row r="2366" spans="12:13" ht="13" customHeight="1">
      <c r="L2366" s="1"/>
      <c r="M2366" s="1"/>
    </row>
    <row r="2367" spans="12:13" ht="13" customHeight="1">
      <c r="L2367" s="1"/>
      <c r="M2367" s="1"/>
    </row>
    <row r="2368" spans="12:13" ht="13" customHeight="1">
      <c r="L2368" s="1"/>
      <c r="M2368" s="1"/>
    </row>
    <row r="2369" spans="12:13" ht="13" customHeight="1">
      <c r="L2369" s="1"/>
      <c r="M2369" s="1"/>
    </row>
    <row r="2370" spans="12:13" ht="13" customHeight="1">
      <c r="L2370" s="1"/>
      <c r="M2370" s="1"/>
    </row>
    <row r="2371" spans="12:13" ht="13" customHeight="1">
      <c r="L2371" s="1"/>
      <c r="M2371" s="1"/>
    </row>
    <row r="2372" spans="12:13" ht="13" customHeight="1">
      <c r="L2372" s="1"/>
      <c r="M2372" s="1"/>
    </row>
    <row r="2373" spans="12:13" ht="13" customHeight="1">
      <c r="L2373" s="1"/>
      <c r="M2373" s="1"/>
    </row>
    <row r="2374" spans="12:13" ht="13" customHeight="1">
      <c r="L2374" s="1"/>
      <c r="M2374" s="1"/>
    </row>
    <row r="2375" spans="12:13" ht="13" customHeight="1">
      <c r="L2375" s="1"/>
      <c r="M2375" s="1"/>
    </row>
    <row r="2376" spans="12:13" ht="13" customHeight="1">
      <c r="L2376" s="1"/>
      <c r="M2376" s="1"/>
    </row>
    <row r="2377" spans="12:13" ht="13" customHeight="1">
      <c r="L2377" s="1"/>
      <c r="M2377" s="1"/>
    </row>
    <row r="2378" spans="12:13" ht="13" customHeight="1">
      <c r="L2378" s="1"/>
      <c r="M2378" s="1"/>
    </row>
    <row r="2379" spans="12:13" ht="13" customHeight="1">
      <c r="L2379" s="1"/>
      <c r="M2379" s="1"/>
    </row>
  </sheetData>
  <mergeCells count="42">
    <mergeCell ref="AP28:AV28"/>
    <mergeCell ref="B1:AY1"/>
    <mergeCell ref="K20:Q20"/>
    <mergeCell ref="S20:Y20"/>
    <mergeCell ref="AB20:AH20"/>
    <mergeCell ref="AJ20:AP20"/>
    <mergeCell ref="C24:AX24"/>
    <mergeCell ref="C18:I18"/>
    <mergeCell ref="S18:Y18"/>
    <mergeCell ref="K18:Q18"/>
    <mergeCell ref="AD14:AJ14"/>
    <mergeCell ref="AP14:AV14"/>
    <mergeCell ref="AB18:AH18"/>
    <mergeCell ref="AF16:AL16"/>
    <mergeCell ref="AN16:AT16"/>
    <mergeCell ref="AR18:AX18"/>
    <mergeCell ref="AJ18:AP18"/>
    <mergeCell ref="C14:I14"/>
    <mergeCell ref="K14:Q14"/>
    <mergeCell ref="S14:Y14"/>
    <mergeCell ref="G16:M16"/>
    <mergeCell ref="O16:U16"/>
    <mergeCell ref="BB12:BR12"/>
    <mergeCell ref="BO7:BQ9"/>
    <mergeCell ref="C4:J4"/>
    <mergeCell ref="L4:R4"/>
    <mergeCell ref="T4:Z4"/>
    <mergeCell ref="AB4:AH4"/>
    <mergeCell ref="AJ4:AP4"/>
    <mergeCell ref="AR4:AX4"/>
    <mergeCell ref="C8:I8"/>
    <mergeCell ref="K8:Q8"/>
    <mergeCell ref="S8:Y8"/>
    <mergeCell ref="AA8:AG8"/>
    <mergeCell ref="AI8:AO8"/>
    <mergeCell ref="AQ8:AW8"/>
    <mergeCell ref="C12:AX12"/>
    <mergeCell ref="C26:K26"/>
    <mergeCell ref="C28:P28"/>
    <mergeCell ref="R28:X28"/>
    <mergeCell ref="Z28:AF28"/>
    <mergeCell ref="AH28:AN28"/>
  </mergeCells>
  <phoneticPr fontId="17" type="noConversion"/>
  <pageMargins left="0.7" right="0.7" top="0.75" bottom="0.75" header="0.3" footer="0.3"/>
  <pageSetup paperSize="9" orientation="portrait" horizontalDpi="4294967293" verticalDpi="0" r:id="rId1"/>
  <drawing r:id="rId2"/>
  <extLst>
    <ext xmlns:x14="http://schemas.microsoft.com/office/spreadsheetml/2009/9/main" uri="{CCE6A557-97BC-4b89-ADB6-D9C93CAAB3DF}">
      <x14:dataValidations xmlns:xm="http://schemas.microsoft.com/office/excel/2006/main" disablePrompts="1" count="2">
        <x14:dataValidation type="list" allowBlank="1" showInputMessage="1" showErrorMessage="1" xr:uid="{E2EE130A-5585-2841-A0A1-EC3C71F8C1EC}">
          <x14:formula1>
            <xm:f>Listes!#REF!</xm:f>
          </x14:formula1>
          <xm:sqref>D413:E2379</xm:sqref>
        </x14:dataValidation>
        <x14:dataValidation type="list" allowBlank="1" showInputMessage="1" showErrorMessage="1" xr:uid="{AD397F2E-D536-0945-B643-03BD37FEBA1A}">
          <x14:formula1>
            <xm:f>'Compo'!#REF!</xm:f>
          </x14:formula1>
          <xm:sqref>C413:C2379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39DD8B-B3C2-F046-B336-939C6BA9ED4F}">
  <sheetPr codeName="Feuil9"/>
  <dimension ref="A1:ACK532"/>
  <sheetViews>
    <sheetView workbookViewId="0">
      <selection activeCell="E41" sqref="E41"/>
    </sheetView>
    <sheetView tabSelected="1" workbookViewId="1">
      <selection activeCell="C3" sqref="A2:Q15"/>
    </sheetView>
  </sheetViews>
  <sheetFormatPr baseColWidth="10" defaultRowHeight="13"/>
  <cols>
    <col min="1" max="1" width="18" customWidth="1"/>
    <col min="2" max="2" width="11" bestFit="1" customWidth="1"/>
    <col min="3" max="3" width="22.5" customWidth="1"/>
    <col min="4" max="4" width="14.1640625" bestFit="1" customWidth="1"/>
    <col min="5" max="5" width="28" customWidth="1"/>
    <col min="6" max="6" width="14.33203125" bestFit="1" customWidth="1"/>
    <col min="7" max="7" width="13.33203125" bestFit="1" customWidth="1"/>
    <col min="8" max="8" width="27.1640625" customWidth="1"/>
    <col min="9" max="9" width="18.5" hidden="1" customWidth="1"/>
    <col min="10" max="17" width="10.83203125" hidden="1" customWidth="1"/>
    <col min="18" max="765" width="10.83203125" style="3"/>
  </cols>
  <sheetData>
    <row r="1" spans="1:17" ht="18" customHeight="1">
      <c r="A1" t="s">
        <v>214</v>
      </c>
      <c r="B1" t="s">
        <v>7</v>
      </c>
      <c r="C1" t="s">
        <v>14</v>
      </c>
      <c r="D1" t="s">
        <v>166</v>
      </c>
      <c r="E1" t="s">
        <v>15</v>
      </c>
      <c r="F1" t="s">
        <v>211</v>
      </c>
      <c r="G1" t="s">
        <v>143</v>
      </c>
      <c r="H1" t="s">
        <v>16</v>
      </c>
      <c r="I1" t="s">
        <v>17</v>
      </c>
      <c r="J1" t="s">
        <v>195</v>
      </c>
      <c r="K1" t="s">
        <v>196</v>
      </c>
      <c r="L1" t="s">
        <v>197</v>
      </c>
      <c r="M1" t="s">
        <v>55</v>
      </c>
      <c r="N1" t="s">
        <v>198</v>
      </c>
      <c r="O1" t="s">
        <v>199</v>
      </c>
      <c r="P1" t="s">
        <v>209</v>
      </c>
      <c r="Q1" t="s">
        <v>212</v>
      </c>
    </row>
    <row r="2" spans="1:17" s="3" customFormat="1" ht="12" customHeight="1">
      <c r="A2" s="82"/>
      <c r="B2"/>
      <c r="C2"/>
      <c r="D2"/>
      <c r="E2"/>
      <c r="F2"/>
      <c r="G2"/>
      <c r="H2"/>
      <c r="I2" s="165"/>
      <c r="J2"/>
      <c r="K2"/>
      <c r="L2" s="164"/>
      <c r="M2"/>
      <c r="N2"/>
      <c r="O2"/>
      <c r="P2"/>
      <c r="Q2"/>
    </row>
    <row r="3" spans="1:17" s="3" customFormat="1"/>
    <row r="4" spans="1:17" s="3" customFormat="1"/>
    <row r="5" spans="1:17" s="3" customFormat="1"/>
    <row r="6" spans="1:17" s="3" customFormat="1"/>
    <row r="7" spans="1:17" s="3" customFormat="1"/>
    <row r="8" spans="1:17" s="3" customFormat="1"/>
    <row r="9" spans="1:17" s="3" customFormat="1"/>
    <row r="10" spans="1:17" s="3" customFormat="1"/>
    <row r="11" spans="1:17" s="3" customFormat="1"/>
    <row r="12" spans="1:17" s="3" customFormat="1"/>
    <row r="13" spans="1:17" s="3" customFormat="1"/>
    <row r="14" spans="1:17" s="3" customFormat="1"/>
    <row r="15" spans="1:17" s="3" customFormat="1"/>
    <row r="16" spans="1:17" s="3" customFormat="1"/>
    <row r="17" s="3" customFormat="1"/>
    <row r="18" s="3" customFormat="1"/>
    <row r="19" s="3" customFormat="1"/>
    <row r="20" s="3" customFormat="1"/>
    <row r="21" s="3" customFormat="1"/>
    <row r="22" s="3" customFormat="1"/>
    <row r="23" s="3" customFormat="1"/>
    <row r="24" s="3" customFormat="1"/>
    <row r="25" s="3" customFormat="1"/>
    <row r="26" s="3" customFormat="1"/>
    <row r="27" s="3" customFormat="1"/>
    <row r="28" s="3" customFormat="1"/>
    <row r="29" s="3" customFormat="1"/>
    <row r="30" s="3" customFormat="1"/>
    <row r="31" s="3" customFormat="1"/>
    <row r="32" s="3" customFormat="1"/>
    <row r="33" s="3" customFormat="1"/>
    <row r="34" s="3" customFormat="1"/>
    <row r="35" s="3" customFormat="1"/>
    <row r="36" s="3" customFormat="1"/>
    <row r="37" s="3" customFormat="1"/>
    <row r="38" s="3" customFormat="1"/>
    <row r="39" s="3" customFormat="1"/>
    <row r="40" s="3" customFormat="1"/>
    <row r="41" s="3" customFormat="1"/>
    <row r="42" s="3" customFormat="1"/>
    <row r="43" s="3" customFormat="1"/>
    <row r="44" s="3" customFormat="1"/>
    <row r="45" s="3" customFormat="1"/>
    <row r="46" s="3" customFormat="1"/>
    <row r="47" s="3" customFormat="1"/>
    <row r="48" s="3" customFormat="1"/>
    <row r="49" s="3" customFormat="1"/>
    <row r="50" s="3" customFormat="1"/>
    <row r="51" s="3" customFormat="1"/>
    <row r="52" s="3" customFormat="1"/>
    <row r="53" s="3" customFormat="1"/>
    <row r="54" s="3" customFormat="1"/>
    <row r="55" s="3" customFormat="1"/>
    <row r="56" s="3" customFormat="1"/>
    <row r="57" s="3" customFormat="1"/>
    <row r="58" s="3" customFormat="1"/>
    <row r="59" s="3" customFormat="1"/>
    <row r="60" s="3" customFormat="1"/>
    <row r="61" s="3" customFormat="1"/>
    <row r="62" s="3" customFormat="1"/>
    <row r="63" s="3" customFormat="1"/>
    <row r="64" s="3" customFormat="1"/>
    <row r="65" s="3" customFormat="1"/>
    <row r="66" s="3" customFormat="1"/>
    <row r="67" s="3" customFormat="1"/>
    <row r="68" s="3" customFormat="1"/>
    <row r="69" s="3" customFormat="1"/>
    <row r="70" s="3" customFormat="1"/>
    <row r="71" s="3" customFormat="1"/>
    <row r="72" s="3" customFormat="1"/>
    <row r="73" s="3" customFormat="1"/>
    <row r="74" s="3" customFormat="1"/>
    <row r="75" s="3" customFormat="1"/>
    <row r="76" s="3" customFormat="1"/>
    <row r="77" s="3" customFormat="1"/>
    <row r="78" s="3" customFormat="1"/>
    <row r="79" s="3" customFormat="1"/>
    <row r="80" s="3" customFormat="1"/>
    <row r="81" spans="1:17" s="3" customFormat="1"/>
    <row r="82" spans="1:17" s="3" customFormat="1"/>
    <row r="83" spans="1:17" s="3" customFormat="1"/>
    <row r="84" spans="1:17" s="3" customFormat="1"/>
    <row r="85" spans="1:17" s="3" customFormat="1"/>
    <row r="86" spans="1:17" s="3" customFormat="1"/>
    <row r="87" spans="1:17" s="3" customFormat="1"/>
    <row r="88" spans="1:17" s="3" customFormat="1"/>
    <row r="89" spans="1:17" s="3" customFormat="1">
      <c r="A89"/>
      <c r="B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</row>
    <row r="90" spans="1:17" s="3" customFormat="1">
      <c r="A90"/>
      <c r="B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</row>
    <row r="91" spans="1:17" s="3" customFormat="1">
      <c r="A91"/>
      <c r="B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</row>
    <row r="92" spans="1:17" s="3" customFormat="1">
      <c r="A92"/>
      <c r="B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</row>
    <row r="93" spans="1:17" s="3" customFormat="1">
      <c r="A93"/>
      <c r="B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</row>
    <row r="94" spans="1:17" s="3" customFormat="1">
      <c r="A94"/>
      <c r="B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</row>
    <row r="95" spans="1:17" s="3" customFormat="1">
      <c r="A95"/>
      <c r="B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</row>
    <row r="96" spans="1:17" s="3" customFormat="1">
      <c r="A96"/>
      <c r="B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</row>
    <row r="97" spans="1:17" s="3" customFormat="1">
      <c r="A97"/>
      <c r="B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</row>
    <row r="98" spans="1:17" s="3" customFormat="1">
      <c r="A98"/>
      <c r="B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</row>
    <row r="99" spans="1:17" s="3" customFormat="1">
      <c r="A99"/>
      <c r="B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</row>
    <row r="100" spans="1:17" s="3" customFormat="1">
      <c r="A100"/>
      <c r="B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</row>
    <row r="101" spans="1:17" s="3" customFormat="1">
      <c r="A101"/>
      <c r="B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</row>
    <row r="102" spans="1:17" s="3" customFormat="1">
      <c r="A102"/>
      <c r="B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</row>
    <row r="103" spans="1:17" s="3" customFormat="1">
      <c r="A103"/>
      <c r="B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</row>
    <row r="104" spans="1:17" s="3" customFormat="1">
      <c r="A104"/>
      <c r="B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</row>
    <row r="105" spans="1:17" s="3" customFormat="1">
      <c r="A105"/>
      <c r="B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</row>
    <row r="106" spans="1:17" s="3" customFormat="1">
      <c r="A106"/>
      <c r="B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</row>
    <row r="107" spans="1:17" s="3" customFormat="1">
      <c r="A107"/>
      <c r="B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</row>
    <row r="108" spans="1:17" s="3" customFormat="1">
      <c r="A108"/>
      <c r="B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</row>
    <row r="109" spans="1:17" s="3" customFormat="1">
      <c r="A109"/>
      <c r="B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</row>
    <row r="110" spans="1:17" s="3" customFormat="1">
      <c r="A110"/>
      <c r="B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</row>
    <row r="111" spans="1:17" s="3" customFormat="1">
      <c r="A111"/>
      <c r="B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</row>
    <row r="112" spans="1:17" s="3" customFormat="1">
      <c r="A112"/>
      <c r="B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</row>
    <row r="113" spans="1:17" s="3" customFormat="1">
      <c r="A113"/>
      <c r="B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</row>
    <row r="114" spans="1:17" s="3" customFormat="1">
      <c r="A114"/>
      <c r="B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</row>
    <row r="115" spans="1:17" s="3" customFormat="1">
      <c r="A115"/>
      <c r="B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</row>
    <row r="116" spans="1:17" s="3" customFormat="1">
      <c r="A116"/>
      <c r="B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</row>
    <row r="117" spans="1:17" s="3" customFormat="1">
      <c r="A117"/>
      <c r="B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</row>
    <row r="118" spans="1:17" s="3" customFormat="1">
      <c r="A118"/>
      <c r="B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</row>
    <row r="119" spans="1:17" s="3" customFormat="1">
      <c r="A119"/>
      <c r="B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</row>
    <row r="120" spans="1:17" s="3" customFormat="1">
      <c r="A120"/>
      <c r="B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</row>
    <row r="121" spans="1:17" s="3" customFormat="1">
      <c r="A121"/>
      <c r="B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</row>
    <row r="122" spans="1:17" s="3" customFormat="1">
      <c r="A122"/>
      <c r="B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</row>
    <row r="123" spans="1:17" s="3" customFormat="1">
      <c r="A123"/>
      <c r="B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</row>
    <row r="124" spans="1:17" s="3" customFormat="1">
      <c r="A124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</row>
    <row r="125" spans="1:17" s="3" customFormat="1">
      <c r="A125"/>
      <c r="B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</row>
    <row r="126" spans="1:17" s="3" customFormat="1">
      <c r="A126"/>
      <c r="B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</row>
    <row r="127" spans="1:17" s="3" customFormat="1">
      <c r="A127"/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</row>
    <row r="128" spans="1:17" s="3" customFormat="1">
      <c r="A128"/>
      <c r="B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</row>
    <row r="129" spans="1:17" s="3" customFormat="1">
      <c r="A129"/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</row>
    <row r="130" spans="1:17" s="3" customFormat="1">
      <c r="A130"/>
      <c r="B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</row>
    <row r="131" spans="1:17" s="3" customFormat="1">
      <c r="A131"/>
      <c r="B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</row>
    <row r="132" spans="1:17" s="3" customFormat="1">
      <c r="A132"/>
      <c r="B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</row>
    <row r="133" spans="1:17" s="3" customFormat="1">
      <c r="A133"/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</row>
    <row r="134" spans="1:17" s="3" customFormat="1">
      <c r="A134"/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</row>
    <row r="135" spans="1:17" s="3" customFormat="1">
      <c r="A135"/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</row>
    <row r="136" spans="1:17" s="3" customFormat="1">
      <c r="A136"/>
      <c r="B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</row>
    <row r="137" spans="1:17" s="3" customFormat="1">
      <c r="A137"/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</row>
    <row r="138" spans="1:17" s="3" customFormat="1">
      <c r="A138"/>
      <c r="B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</row>
    <row r="139" spans="1:17" s="3" customFormat="1">
      <c r="A139"/>
      <c r="B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</row>
    <row r="140" spans="1:17" s="3" customFormat="1">
      <c r="A140"/>
      <c r="B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</row>
    <row r="141" spans="1:17" s="3" customFormat="1">
      <c r="A141"/>
      <c r="B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</row>
    <row r="142" spans="1:17" s="3" customFormat="1">
      <c r="A142"/>
      <c r="B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</row>
    <row r="143" spans="1:17" s="3" customFormat="1">
      <c r="A143"/>
      <c r="B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</row>
    <row r="144" spans="1:17" s="3" customFormat="1">
      <c r="A144"/>
      <c r="B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</row>
    <row r="145" spans="1:17" s="3" customFormat="1">
      <c r="A145"/>
      <c r="B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</row>
    <row r="146" spans="1:17" s="3" customFormat="1">
      <c r="A146"/>
      <c r="B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</row>
    <row r="147" spans="1:17" s="3" customFormat="1">
      <c r="A147"/>
      <c r="B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</row>
    <row r="148" spans="1:17" s="3" customFormat="1">
      <c r="A148"/>
      <c r="B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</row>
    <row r="149" spans="1:17" s="3" customFormat="1">
      <c r="A149"/>
      <c r="B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</row>
    <row r="150" spans="1:17" s="3" customFormat="1">
      <c r="A150"/>
      <c r="B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</row>
    <row r="151" spans="1:17" s="3" customFormat="1">
      <c r="A151"/>
      <c r="B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</row>
    <row r="152" spans="1:17" s="3" customFormat="1">
      <c r="A152"/>
      <c r="B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</row>
    <row r="153" spans="1:17" s="3" customFormat="1">
      <c r="A153"/>
      <c r="B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</row>
    <row r="154" spans="1:17" s="3" customFormat="1">
      <c r="A154"/>
      <c r="B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</row>
    <row r="155" spans="1:17" s="3" customFormat="1">
      <c r="A155"/>
      <c r="B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</row>
    <row r="156" spans="1:17" s="3" customFormat="1">
      <c r="A156"/>
      <c r="B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</row>
    <row r="157" spans="1:17" s="3" customFormat="1">
      <c r="A157"/>
      <c r="B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</row>
    <row r="158" spans="1:17" s="3" customFormat="1">
      <c r="A158"/>
      <c r="B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</row>
    <row r="159" spans="1:17" s="3" customFormat="1">
      <c r="A159"/>
      <c r="B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</row>
    <row r="160" spans="1:17" s="3" customFormat="1">
      <c r="A160"/>
      <c r="B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</row>
    <row r="161" spans="1:17" s="3" customFormat="1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</row>
    <row r="162" spans="1:17" s="3" customFormat="1">
      <c r="A162"/>
      <c r="B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</row>
    <row r="163" spans="1:17" s="3" customFormat="1">
      <c r="A163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</row>
    <row r="164" spans="1:17" s="3" customFormat="1">
      <c r="A164"/>
      <c r="B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</row>
    <row r="165" spans="1:17" s="3" customFormat="1">
      <c r="A165"/>
      <c r="B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</row>
    <row r="166" spans="1:17" s="3" customFormat="1">
      <c r="A166"/>
      <c r="B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</row>
    <row r="167" spans="1:17" s="3" customFormat="1">
      <c r="A167"/>
      <c r="B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</row>
    <row r="168" spans="1:17" s="3" customFormat="1">
      <c r="A168"/>
      <c r="B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</row>
    <row r="169" spans="1:17" s="3" customFormat="1">
      <c r="A169"/>
      <c r="B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</row>
    <row r="170" spans="1:17" s="3" customFormat="1">
      <c r="A170"/>
      <c r="B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</row>
    <row r="171" spans="1:17" s="3" customFormat="1">
      <c r="A171"/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</row>
    <row r="172" spans="1:17" s="3" customFormat="1">
      <c r="A172"/>
      <c r="B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</row>
    <row r="173" spans="1:17" s="3" customFormat="1">
      <c r="A173"/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</row>
    <row r="174" spans="1:17" s="3" customFormat="1">
      <c r="A174"/>
      <c r="B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</row>
    <row r="175" spans="1:17" s="3" customFormat="1">
      <c r="A175"/>
      <c r="B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</row>
    <row r="176" spans="1:17" s="3" customFormat="1">
      <c r="A176"/>
      <c r="B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</row>
    <row r="177" spans="1:17" s="3" customFormat="1">
      <c r="A177"/>
      <c r="B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</row>
    <row r="178" spans="1:17" s="3" customFormat="1">
      <c r="A178"/>
      <c r="B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</row>
    <row r="179" spans="1:17" s="3" customFormat="1">
      <c r="A179"/>
      <c r="B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</row>
    <row r="180" spans="1:17" s="3" customFormat="1">
      <c r="A180"/>
      <c r="B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</row>
    <row r="181" spans="1:17" s="3" customFormat="1">
      <c r="A181"/>
      <c r="B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</row>
    <row r="182" spans="1:17" s="3" customFormat="1">
      <c r="A182"/>
      <c r="B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</row>
    <row r="183" spans="1:17" s="3" customFormat="1">
      <c r="A183"/>
      <c r="B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</row>
    <row r="184" spans="1:17" s="3" customFormat="1">
      <c r="A184"/>
      <c r="B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</row>
    <row r="185" spans="1:17" s="3" customFormat="1">
      <c r="A185"/>
      <c r="B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</row>
    <row r="186" spans="1:17" s="3" customFormat="1">
      <c r="A186"/>
      <c r="B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</row>
    <row r="187" spans="1:17" s="3" customFormat="1">
      <c r="A187"/>
      <c r="B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</row>
    <row r="188" spans="1:17" s="3" customFormat="1">
      <c r="A188"/>
      <c r="B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</row>
    <row r="189" spans="1:17" s="3" customFormat="1">
      <c r="A189"/>
      <c r="B189"/>
      <c r="C189"/>
      <c r="D189"/>
      <c r="E189"/>
      <c r="F189"/>
      <c r="G189"/>
      <c r="H189"/>
      <c r="I189"/>
      <c r="J189"/>
      <c r="K189"/>
      <c r="L189"/>
      <c r="M189"/>
      <c r="N189"/>
      <c r="O189"/>
      <c r="P189"/>
      <c r="Q189"/>
    </row>
    <row r="190" spans="1:17" s="3" customFormat="1">
      <c r="A190"/>
      <c r="B190"/>
      <c r="C190"/>
      <c r="D190"/>
      <c r="E190"/>
      <c r="F190"/>
      <c r="G190"/>
      <c r="H190"/>
      <c r="I190"/>
      <c r="J190"/>
      <c r="K190"/>
      <c r="L190"/>
      <c r="M190"/>
      <c r="N190"/>
      <c r="O190"/>
      <c r="P190"/>
      <c r="Q190"/>
    </row>
    <row r="191" spans="1:17" s="3" customFormat="1">
      <c r="A191"/>
      <c r="B191"/>
      <c r="C191"/>
      <c r="D191"/>
      <c r="E191"/>
      <c r="F191"/>
      <c r="G191"/>
      <c r="H191"/>
      <c r="I191"/>
      <c r="J191"/>
      <c r="K191"/>
      <c r="L191"/>
      <c r="M191"/>
      <c r="N191"/>
      <c r="O191"/>
      <c r="P191"/>
      <c r="Q191"/>
    </row>
    <row r="192" spans="1:17" s="3" customFormat="1">
      <c r="A192"/>
      <c r="B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</row>
    <row r="193" spans="1:17" s="3" customFormat="1">
      <c r="A193"/>
      <c r="B193"/>
      <c r="C193"/>
      <c r="D193"/>
      <c r="E193"/>
      <c r="F193"/>
      <c r="G193"/>
      <c r="H193"/>
      <c r="I193"/>
      <c r="J193"/>
      <c r="K193"/>
      <c r="L193"/>
      <c r="M193"/>
      <c r="N193"/>
      <c r="O193"/>
      <c r="P193"/>
      <c r="Q193"/>
    </row>
    <row r="194" spans="1:17" s="3" customFormat="1">
      <c r="A194"/>
      <c r="B194"/>
      <c r="C194"/>
      <c r="D194"/>
      <c r="E194"/>
      <c r="F194"/>
      <c r="G194"/>
      <c r="H194"/>
      <c r="I194"/>
      <c r="J194"/>
      <c r="K194"/>
      <c r="L194"/>
      <c r="M194"/>
      <c r="N194"/>
      <c r="O194"/>
      <c r="P194"/>
      <c r="Q194"/>
    </row>
    <row r="195" spans="1:17" s="3" customFormat="1">
      <c r="A195"/>
      <c r="B195"/>
      <c r="C195"/>
      <c r="D195"/>
      <c r="E195"/>
      <c r="F195"/>
      <c r="G195"/>
      <c r="H195"/>
      <c r="I195"/>
      <c r="J195"/>
      <c r="K195"/>
      <c r="L195"/>
      <c r="M195"/>
      <c r="N195"/>
      <c r="O195"/>
      <c r="P195"/>
      <c r="Q195"/>
    </row>
    <row r="196" spans="1:17" s="3" customFormat="1">
      <c r="A196"/>
      <c r="B196"/>
      <c r="C196"/>
      <c r="D196"/>
      <c r="E196"/>
      <c r="F196"/>
      <c r="G196"/>
      <c r="H196"/>
      <c r="I196"/>
      <c r="J196"/>
      <c r="K196"/>
      <c r="L196"/>
      <c r="M196"/>
      <c r="N196"/>
      <c r="O196"/>
      <c r="P196"/>
      <c r="Q196"/>
    </row>
    <row r="197" spans="1:17" s="3" customFormat="1">
      <c r="A197"/>
      <c r="B197"/>
      <c r="C197"/>
      <c r="D197"/>
      <c r="E197"/>
      <c r="F197"/>
      <c r="G197"/>
      <c r="H197"/>
      <c r="I197"/>
      <c r="J197"/>
      <c r="K197"/>
      <c r="L197"/>
      <c r="M197"/>
      <c r="N197"/>
      <c r="O197"/>
      <c r="P197"/>
      <c r="Q197"/>
    </row>
    <row r="198" spans="1:17" s="3" customFormat="1">
      <c r="A198"/>
      <c r="B198"/>
      <c r="C198"/>
      <c r="D198"/>
      <c r="E198"/>
      <c r="F198"/>
      <c r="G198"/>
      <c r="H198"/>
      <c r="I198"/>
      <c r="J198"/>
      <c r="K198"/>
      <c r="L198"/>
      <c r="M198"/>
      <c r="N198"/>
      <c r="O198"/>
      <c r="P198"/>
      <c r="Q198"/>
    </row>
    <row r="199" spans="1:17" s="3" customFormat="1">
      <c r="A199"/>
      <c r="B199"/>
      <c r="C199"/>
      <c r="D199"/>
      <c r="E199"/>
      <c r="F199"/>
      <c r="G199"/>
      <c r="H199"/>
      <c r="I199"/>
      <c r="J199"/>
      <c r="K199"/>
      <c r="L199"/>
      <c r="M199"/>
      <c r="N199"/>
      <c r="O199"/>
      <c r="P199"/>
      <c r="Q199"/>
    </row>
    <row r="200" spans="1:17" s="3" customFormat="1">
      <c r="A200"/>
      <c r="B200"/>
      <c r="C200"/>
      <c r="D200"/>
      <c r="E200"/>
      <c r="F200"/>
      <c r="G200"/>
      <c r="H200"/>
      <c r="I200"/>
      <c r="J200"/>
      <c r="K200"/>
      <c r="L200"/>
      <c r="M200"/>
      <c r="N200"/>
      <c r="O200"/>
      <c r="P200"/>
      <c r="Q200"/>
    </row>
    <row r="201" spans="1:17" s="3" customFormat="1">
      <c r="A201"/>
      <c r="B201"/>
      <c r="C201"/>
      <c r="D201"/>
      <c r="E201"/>
      <c r="F201"/>
      <c r="G201"/>
      <c r="H201"/>
      <c r="I201"/>
      <c r="J201"/>
      <c r="K201"/>
      <c r="L201"/>
      <c r="M201"/>
      <c r="N201"/>
      <c r="O201"/>
      <c r="P201"/>
      <c r="Q201"/>
    </row>
    <row r="202" spans="1:17" s="3" customFormat="1">
      <c r="A202"/>
      <c r="B202"/>
      <c r="C202"/>
      <c r="D202"/>
      <c r="E202"/>
      <c r="F202"/>
      <c r="G202"/>
      <c r="H202"/>
      <c r="I202"/>
      <c r="J202"/>
      <c r="K202"/>
      <c r="L202"/>
      <c r="M202"/>
      <c r="N202"/>
      <c r="O202"/>
      <c r="P202"/>
      <c r="Q202"/>
    </row>
    <row r="203" spans="1:17" s="3" customFormat="1">
      <c r="A203"/>
      <c r="B203"/>
      <c r="C203"/>
      <c r="D203"/>
      <c r="E203"/>
      <c r="F203"/>
      <c r="G203"/>
      <c r="H203"/>
      <c r="I203"/>
      <c r="J203"/>
      <c r="K203"/>
      <c r="L203"/>
      <c r="M203"/>
      <c r="N203"/>
      <c r="O203"/>
      <c r="P203"/>
      <c r="Q203"/>
    </row>
    <row r="204" spans="1:17" s="3" customFormat="1">
      <c r="A204"/>
      <c r="B204"/>
      <c r="C204"/>
      <c r="D204"/>
      <c r="E204"/>
      <c r="F204"/>
      <c r="G204"/>
      <c r="H204"/>
      <c r="I204"/>
      <c r="J204"/>
      <c r="K204"/>
      <c r="L204"/>
      <c r="M204"/>
      <c r="N204"/>
      <c r="O204"/>
      <c r="P204"/>
      <c r="Q204"/>
    </row>
    <row r="205" spans="1:17" s="3" customFormat="1">
      <c r="A205"/>
      <c r="B205"/>
      <c r="C205"/>
      <c r="D205"/>
      <c r="E205"/>
      <c r="F205"/>
      <c r="G205"/>
      <c r="H205"/>
      <c r="I205"/>
      <c r="J205"/>
      <c r="K205"/>
      <c r="L205"/>
      <c r="M205"/>
      <c r="N205"/>
      <c r="O205"/>
      <c r="P205"/>
      <c r="Q205"/>
    </row>
    <row r="206" spans="1:17" s="3" customFormat="1">
      <c r="A206"/>
      <c r="B206"/>
      <c r="C206"/>
      <c r="D206"/>
      <c r="E206"/>
      <c r="F206"/>
      <c r="G206"/>
      <c r="H206"/>
      <c r="I206"/>
      <c r="J206"/>
      <c r="K206"/>
      <c r="L206"/>
      <c r="M206"/>
      <c r="N206"/>
      <c r="O206"/>
      <c r="P206"/>
      <c r="Q206"/>
    </row>
    <row r="207" spans="1:17" s="3" customFormat="1">
      <c r="A207"/>
      <c r="B207"/>
      <c r="C207"/>
      <c r="D207"/>
      <c r="E207"/>
      <c r="F207"/>
      <c r="G207"/>
      <c r="H207"/>
      <c r="I207"/>
      <c r="J207"/>
      <c r="K207"/>
      <c r="L207"/>
      <c r="M207"/>
      <c r="N207"/>
      <c r="O207"/>
      <c r="P207"/>
      <c r="Q207"/>
    </row>
    <row r="208" spans="1:17" s="3" customFormat="1">
      <c r="A208"/>
      <c r="B208"/>
      <c r="C208"/>
      <c r="D208"/>
      <c r="E208"/>
      <c r="F208"/>
      <c r="G208"/>
      <c r="H208"/>
      <c r="I208"/>
      <c r="J208"/>
      <c r="K208"/>
      <c r="L208"/>
      <c r="M208"/>
      <c r="N208"/>
      <c r="O208"/>
      <c r="P208"/>
      <c r="Q208"/>
    </row>
    <row r="209" spans="1:17" s="3" customFormat="1">
      <c r="A209"/>
      <c r="B209"/>
      <c r="C209"/>
      <c r="D209"/>
      <c r="E209"/>
      <c r="F209"/>
      <c r="G209"/>
      <c r="H209"/>
      <c r="I209"/>
      <c r="J209"/>
      <c r="K209"/>
      <c r="L209"/>
      <c r="M209"/>
      <c r="N209"/>
      <c r="O209"/>
      <c r="P209"/>
      <c r="Q209"/>
    </row>
    <row r="210" spans="1:17" s="3" customFormat="1">
      <c r="A210"/>
      <c r="B210"/>
      <c r="C210"/>
      <c r="D210"/>
      <c r="E210"/>
      <c r="F210"/>
      <c r="G210"/>
      <c r="H210"/>
      <c r="I210"/>
      <c r="J210"/>
      <c r="K210"/>
      <c r="L210"/>
      <c r="M210"/>
      <c r="N210"/>
      <c r="O210"/>
      <c r="P210"/>
      <c r="Q210"/>
    </row>
    <row r="211" spans="1:17" s="3" customFormat="1">
      <c r="A211"/>
      <c r="B211"/>
      <c r="C211"/>
      <c r="D211"/>
      <c r="E211"/>
      <c r="F211"/>
      <c r="G211"/>
      <c r="H211"/>
      <c r="I211"/>
      <c r="J211"/>
      <c r="K211"/>
      <c r="L211"/>
      <c r="M211"/>
      <c r="N211"/>
      <c r="O211"/>
      <c r="P211"/>
      <c r="Q211"/>
    </row>
    <row r="212" spans="1:17" s="3" customFormat="1">
      <c r="A212"/>
      <c r="B212"/>
      <c r="C212"/>
      <c r="D212"/>
      <c r="E212"/>
      <c r="F212"/>
      <c r="G212"/>
      <c r="H212"/>
      <c r="I212"/>
      <c r="J212"/>
      <c r="K212"/>
      <c r="L212"/>
      <c r="M212"/>
      <c r="N212"/>
      <c r="O212"/>
      <c r="P212"/>
      <c r="Q212"/>
    </row>
    <row r="213" spans="1:17" s="3" customFormat="1">
      <c r="A213"/>
      <c r="B213"/>
      <c r="C213"/>
      <c r="D213"/>
      <c r="E213"/>
      <c r="F213"/>
      <c r="G213"/>
      <c r="H213"/>
      <c r="I213"/>
      <c r="J213"/>
      <c r="K213"/>
      <c r="L213"/>
      <c r="M213"/>
      <c r="N213"/>
      <c r="O213"/>
      <c r="P213"/>
      <c r="Q213"/>
    </row>
    <row r="214" spans="1:17" s="3" customFormat="1">
      <c r="A214"/>
      <c r="B214"/>
      <c r="C214"/>
      <c r="D214"/>
      <c r="E214"/>
      <c r="F214"/>
      <c r="G214"/>
      <c r="H214"/>
      <c r="I214"/>
      <c r="J214"/>
      <c r="K214"/>
      <c r="L214"/>
      <c r="M214"/>
      <c r="N214"/>
      <c r="O214"/>
      <c r="P214"/>
      <c r="Q214"/>
    </row>
    <row r="215" spans="1:17" s="3" customFormat="1">
      <c r="A215"/>
      <c r="B215"/>
      <c r="C215"/>
      <c r="D215"/>
      <c r="E215"/>
      <c r="F215"/>
      <c r="G215"/>
      <c r="H215"/>
      <c r="I215"/>
      <c r="J215"/>
      <c r="K215"/>
      <c r="L215"/>
      <c r="M215"/>
      <c r="N215"/>
      <c r="O215"/>
      <c r="P215"/>
      <c r="Q215"/>
    </row>
    <row r="216" spans="1:17" s="3" customFormat="1">
      <c r="A216"/>
      <c r="B216"/>
      <c r="C216"/>
      <c r="D216"/>
      <c r="E216"/>
      <c r="F216"/>
      <c r="G216"/>
      <c r="H216"/>
      <c r="I216"/>
      <c r="J216"/>
      <c r="K216"/>
      <c r="L216"/>
      <c r="M216"/>
      <c r="N216"/>
      <c r="O216"/>
      <c r="P216"/>
      <c r="Q216"/>
    </row>
    <row r="217" spans="1:17" s="3" customFormat="1">
      <c r="A217"/>
      <c r="B217"/>
      <c r="C217"/>
      <c r="D217"/>
      <c r="E217"/>
      <c r="F217"/>
      <c r="G217"/>
      <c r="H217"/>
      <c r="I217"/>
      <c r="J217"/>
      <c r="K217"/>
      <c r="L217"/>
      <c r="M217"/>
      <c r="N217"/>
      <c r="O217"/>
      <c r="P217"/>
      <c r="Q217"/>
    </row>
    <row r="218" spans="1:17" s="3" customFormat="1">
      <c r="A218"/>
      <c r="B218"/>
      <c r="C218"/>
      <c r="D218"/>
      <c r="E218"/>
      <c r="F218"/>
      <c r="G218"/>
      <c r="H218"/>
      <c r="I218"/>
      <c r="J218"/>
      <c r="K218"/>
      <c r="L218"/>
      <c r="M218"/>
      <c r="N218"/>
      <c r="O218"/>
      <c r="P218"/>
      <c r="Q218"/>
    </row>
    <row r="219" spans="1:17" s="3" customFormat="1">
      <c r="A219"/>
      <c r="B219"/>
      <c r="C219"/>
      <c r="D219"/>
      <c r="E219"/>
      <c r="F219"/>
      <c r="G219"/>
      <c r="H219"/>
      <c r="I219"/>
      <c r="J219"/>
      <c r="K219"/>
      <c r="L219"/>
      <c r="M219"/>
      <c r="N219"/>
      <c r="O219"/>
      <c r="P219"/>
      <c r="Q219"/>
    </row>
    <row r="220" spans="1:17" s="3" customFormat="1">
      <c r="A220"/>
      <c r="B220"/>
      <c r="C220"/>
      <c r="D220"/>
      <c r="E220"/>
      <c r="F220"/>
      <c r="G220"/>
      <c r="H220"/>
      <c r="I220"/>
      <c r="J220"/>
      <c r="K220"/>
      <c r="L220"/>
      <c r="M220"/>
      <c r="N220"/>
      <c r="O220"/>
      <c r="P220"/>
      <c r="Q220"/>
    </row>
    <row r="221" spans="1:17" s="3" customFormat="1">
      <c r="A221"/>
      <c r="B221"/>
      <c r="C221"/>
      <c r="D221"/>
      <c r="E221"/>
      <c r="F221"/>
      <c r="G221"/>
      <c r="H221"/>
      <c r="I221"/>
      <c r="J221"/>
      <c r="K221"/>
      <c r="L221"/>
      <c r="M221"/>
      <c r="N221"/>
      <c r="O221"/>
      <c r="P221"/>
      <c r="Q221"/>
    </row>
    <row r="222" spans="1:17" s="3" customFormat="1">
      <c r="A222"/>
      <c r="B222"/>
      <c r="C222"/>
      <c r="D222"/>
      <c r="E222"/>
      <c r="F222"/>
      <c r="G222"/>
      <c r="H222"/>
      <c r="I222"/>
      <c r="J222"/>
      <c r="K222"/>
      <c r="L222"/>
      <c r="M222"/>
      <c r="N222"/>
      <c r="O222"/>
      <c r="P222"/>
      <c r="Q222"/>
    </row>
    <row r="223" spans="1:17" s="3" customFormat="1">
      <c r="A223"/>
      <c r="B223"/>
      <c r="C223"/>
      <c r="D223"/>
      <c r="E223"/>
      <c r="F223"/>
      <c r="G223"/>
      <c r="H223"/>
      <c r="I223"/>
      <c r="J223"/>
      <c r="K223"/>
      <c r="L223"/>
      <c r="M223"/>
      <c r="N223"/>
      <c r="O223"/>
      <c r="P223"/>
      <c r="Q223"/>
    </row>
    <row r="224" spans="1:17" s="3" customFormat="1">
      <c r="A224"/>
      <c r="B224"/>
      <c r="C224"/>
      <c r="D224"/>
      <c r="E224"/>
      <c r="F224"/>
      <c r="G224"/>
      <c r="H224"/>
      <c r="I224"/>
      <c r="J224"/>
      <c r="K224"/>
      <c r="L224"/>
      <c r="M224"/>
      <c r="N224"/>
      <c r="O224"/>
      <c r="P224"/>
      <c r="Q224"/>
    </row>
    <row r="225" spans="1:17" s="3" customFormat="1">
      <c r="A225"/>
      <c r="B225"/>
      <c r="C225"/>
      <c r="D225"/>
      <c r="E225"/>
      <c r="F225"/>
      <c r="G225"/>
      <c r="H225"/>
      <c r="I225"/>
      <c r="J225"/>
      <c r="K225"/>
      <c r="L225"/>
      <c r="M225"/>
      <c r="N225"/>
      <c r="O225"/>
      <c r="P225"/>
      <c r="Q225"/>
    </row>
    <row r="226" spans="1:17" s="3" customFormat="1">
      <c r="A226"/>
      <c r="B226"/>
      <c r="C226"/>
      <c r="D226"/>
      <c r="E226"/>
      <c r="F226"/>
      <c r="G226"/>
      <c r="H226"/>
      <c r="I226"/>
      <c r="J226"/>
      <c r="K226"/>
      <c r="L226"/>
      <c r="M226"/>
      <c r="N226"/>
      <c r="O226"/>
      <c r="P226"/>
      <c r="Q226"/>
    </row>
    <row r="227" spans="1:17" s="3" customFormat="1">
      <c r="A227"/>
      <c r="B227"/>
      <c r="C227"/>
      <c r="D227"/>
      <c r="E227"/>
      <c r="F227"/>
      <c r="G227"/>
      <c r="H227"/>
      <c r="I227"/>
      <c r="J227"/>
      <c r="K227"/>
      <c r="L227"/>
      <c r="M227"/>
      <c r="N227"/>
      <c r="O227"/>
      <c r="P227"/>
      <c r="Q227"/>
    </row>
    <row r="228" spans="1:17" s="3" customFormat="1">
      <c r="A228"/>
      <c r="B228"/>
      <c r="C228"/>
      <c r="D228"/>
      <c r="E228"/>
      <c r="F228"/>
      <c r="G228"/>
      <c r="H228"/>
      <c r="I228"/>
      <c r="J228"/>
      <c r="K228"/>
      <c r="L228"/>
      <c r="M228"/>
      <c r="N228"/>
      <c r="O228"/>
      <c r="P228"/>
      <c r="Q228"/>
    </row>
    <row r="229" spans="1:17" s="3" customFormat="1">
      <c r="A229"/>
      <c r="B229"/>
      <c r="C229"/>
      <c r="D229"/>
      <c r="E229"/>
      <c r="F229"/>
      <c r="G229"/>
      <c r="H229"/>
      <c r="I229"/>
      <c r="J229"/>
      <c r="K229"/>
      <c r="L229"/>
      <c r="M229"/>
      <c r="N229"/>
      <c r="O229"/>
      <c r="P229"/>
      <c r="Q229"/>
    </row>
    <row r="230" spans="1:17" s="3" customFormat="1">
      <c r="A230"/>
      <c r="B230"/>
      <c r="C230"/>
      <c r="D230"/>
      <c r="E230"/>
      <c r="F230"/>
      <c r="G230"/>
      <c r="H230"/>
      <c r="I230"/>
      <c r="J230"/>
      <c r="K230"/>
      <c r="L230"/>
      <c r="M230"/>
      <c r="N230"/>
      <c r="O230"/>
      <c r="P230"/>
      <c r="Q230"/>
    </row>
    <row r="231" spans="1:17" s="3" customFormat="1">
      <c r="A231"/>
      <c r="B231"/>
      <c r="C231"/>
      <c r="D231"/>
      <c r="E231"/>
      <c r="F231"/>
      <c r="G231"/>
      <c r="H231"/>
      <c r="I231"/>
      <c r="J231"/>
      <c r="K231"/>
      <c r="L231"/>
      <c r="M231"/>
      <c r="N231"/>
      <c r="O231"/>
      <c r="P231"/>
      <c r="Q231"/>
    </row>
    <row r="232" spans="1:17" s="3" customFormat="1">
      <c r="A232"/>
      <c r="B232"/>
      <c r="C232"/>
      <c r="D232"/>
      <c r="E232"/>
      <c r="F232"/>
      <c r="G232"/>
      <c r="H232"/>
      <c r="I232"/>
      <c r="J232"/>
      <c r="K232"/>
      <c r="L232"/>
      <c r="M232"/>
      <c r="N232"/>
      <c r="O232"/>
      <c r="P232"/>
      <c r="Q232"/>
    </row>
    <row r="233" spans="1:17" s="3" customFormat="1">
      <c r="A233"/>
      <c r="B233"/>
      <c r="C233"/>
      <c r="D233"/>
      <c r="E233"/>
      <c r="F233"/>
      <c r="G233"/>
      <c r="H233"/>
      <c r="I233"/>
      <c r="J233"/>
      <c r="K233"/>
      <c r="L233"/>
      <c r="M233"/>
      <c r="N233"/>
      <c r="O233"/>
      <c r="P233"/>
      <c r="Q233"/>
    </row>
    <row r="234" spans="1:17" s="3" customFormat="1">
      <c r="A234"/>
      <c r="B234"/>
      <c r="C234"/>
      <c r="D234"/>
      <c r="E234"/>
      <c r="F234"/>
      <c r="G234"/>
      <c r="H234"/>
      <c r="I234"/>
      <c r="J234"/>
      <c r="K234"/>
      <c r="L234"/>
      <c r="M234"/>
      <c r="N234"/>
      <c r="O234"/>
      <c r="P234"/>
      <c r="Q234"/>
    </row>
    <row r="235" spans="1:17" s="3" customFormat="1">
      <c r="A235"/>
      <c r="B235"/>
      <c r="C235"/>
      <c r="D235"/>
      <c r="E235"/>
      <c r="F235"/>
      <c r="G235"/>
      <c r="H235"/>
      <c r="I235"/>
      <c r="J235"/>
      <c r="K235"/>
      <c r="L235"/>
      <c r="M235"/>
      <c r="N235"/>
      <c r="O235"/>
      <c r="P235"/>
      <c r="Q235"/>
    </row>
    <row r="236" spans="1:17" s="3" customFormat="1">
      <c r="A236"/>
      <c r="B236"/>
      <c r="C236"/>
      <c r="D236"/>
      <c r="E236"/>
      <c r="F236"/>
      <c r="G236"/>
      <c r="H236"/>
      <c r="I236"/>
      <c r="J236"/>
      <c r="K236"/>
      <c r="L236"/>
      <c r="M236"/>
      <c r="N236"/>
      <c r="O236"/>
      <c r="P236"/>
      <c r="Q236"/>
    </row>
    <row r="237" spans="1:17" s="3" customFormat="1">
      <c r="A237"/>
      <c r="B237"/>
      <c r="C237"/>
      <c r="D237"/>
      <c r="E237"/>
      <c r="F237"/>
      <c r="G237"/>
      <c r="H237"/>
      <c r="I237"/>
      <c r="J237"/>
      <c r="K237"/>
      <c r="L237"/>
      <c r="M237"/>
      <c r="N237"/>
      <c r="O237"/>
      <c r="P237"/>
      <c r="Q237"/>
    </row>
    <row r="238" spans="1:17" s="3" customFormat="1">
      <c r="A238"/>
      <c r="B238"/>
      <c r="C238"/>
      <c r="D238"/>
      <c r="E238"/>
      <c r="F238"/>
      <c r="G238"/>
      <c r="H238"/>
      <c r="I238"/>
      <c r="J238"/>
      <c r="K238"/>
      <c r="L238"/>
      <c r="M238"/>
      <c r="N238"/>
      <c r="O238"/>
      <c r="P238"/>
      <c r="Q238"/>
    </row>
    <row r="239" spans="1:17" s="3" customFormat="1">
      <c r="A239"/>
      <c r="B239"/>
      <c r="C239"/>
      <c r="D239"/>
      <c r="E239"/>
      <c r="F239"/>
      <c r="G239"/>
      <c r="H239"/>
      <c r="I239"/>
      <c r="J239"/>
      <c r="K239"/>
      <c r="L239"/>
      <c r="M239"/>
      <c r="N239"/>
      <c r="O239"/>
      <c r="P239"/>
      <c r="Q239"/>
    </row>
    <row r="240" spans="1:17" s="3" customFormat="1">
      <c r="A240"/>
      <c r="B240"/>
      <c r="C240"/>
      <c r="D240"/>
      <c r="E240"/>
      <c r="F240"/>
      <c r="G240"/>
      <c r="H240"/>
      <c r="I240"/>
      <c r="J240"/>
      <c r="K240"/>
      <c r="L240"/>
      <c r="M240"/>
      <c r="N240"/>
      <c r="O240"/>
      <c r="P240"/>
      <c r="Q240"/>
    </row>
    <row r="241" spans="1:17" s="3" customFormat="1">
      <c r="A241"/>
      <c r="B241"/>
      <c r="C241"/>
      <c r="D241"/>
      <c r="E241"/>
      <c r="F241"/>
      <c r="G241"/>
      <c r="H241"/>
      <c r="I241"/>
      <c r="J241"/>
      <c r="K241"/>
      <c r="L241"/>
      <c r="M241"/>
      <c r="N241"/>
      <c r="O241"/>
      <c r="P241"/>
      <c r="Q241"/>
    </row>
    <row r="242" spans="1:17" s="3" customFormat="1">
      <c r="A242"/>
      <c r="B242"/>
      <c r="C242"/>
      <c r="D242"/>
      <c r="E242"/>
      <c r="F242"/>
      <c r="G242"/>
      <c r="H242"/>
      <c r="I242"/>
      <c r="J242"/>
      <c r="K242"/>
      <c r="L242"/>
      <c r="M242"/>
      <c r="N242"/>
      <c r="O242"/>
      <c r="P242"/>
      <c r="Q242"/>
    </row>
    <row r="243" spans="1:17" s="3" customFormat="1">
      <c r="A243"/>
      <c r="B243"/>
      <c r="C243"/>
      <c r="D243"/>
      <c r="E243"/>
      <c r="F243"/>
      <c r="G243"/>
      <c r="H243"/>
      <c r="I243"/>
      <c r="J243"/>
      <c r="K243"/>
      <c r="L243"/>
      <c r="M243"/>
      <c r="N243"/>
      <c r="O243"/>
      <c r="P243"/>
      <c r="Q243"/>
    </row>
    <row r="244" spans="1:17" s="3" customFormat="1">
      <c r="A244"/>
      <c r="B244"/>
      <c r="C244"/>
      <c r="D244"/>
      <c r="E244"/>
      <c r="F244"/>
      <c r="G244"/>
      <c r="H244"/>
      <c r="I244"/>
      <c r="J244"/>
      <c r="K244"/>
      <c r="L244"/>
      <c r="M244"/>
      <c r="N244"/>
      <c r="O244"/>
      <c r="P244"/>
      <c r="Q244"/>
    </row>
    <row r="245" spans="1:17" s="3" customFormat="1">
      <c r="A245"/>
      <c r="B245"/>
      <c r="C245"/>
      <c r="D245"/>
      <c r="E245"/>
      <c r="F245"/>
      <c r="G245"/>
      <c r="H245"/>
      <c r="I245"/>
      <c r="J245"/>
      <c r="K245"/>
      <c r="L245"/>
      <c r="M245"/>
      <c r="N245"/>
      <c r="O245"/>
      <c r="P245"/>
      <c r="Q245"/>
    </row>
    <row r="246" spans="1:17" s="3" customFormat="1">
      <c r="A246"/>
      <c r="B246"/>
      <c r="C246"/>
      <c r="D246"/>
      <c r="E246"/>
      <c r="F246"/>
      <c r="G246"/>
      <c r="H246"/>
      <c r="I246"/>
      <c r="J246"/>
      <c r="K246"/>
      <c r="L246"/>
      <c r="M246"/>
      <c r="N246"/>
      <c r="O246"/>
      <c r="P246"/>
      <c r="Q246"/>
    </row>
    <row r="247" spans="1:17" s="3" customFormat="1">
      <c r="A247"/>
      <c r="B247"/>
      <c r="C247"/>
      <c r="D247"/>
      <c r="E247"/>
      <c r="F247"/>
      <c r="G247"/>
      <c r="H247"/>
      <c r="I247"/>
      <c r="J247"/>
      <c r="K247"/>
      <c r="L247"/>
      <c r="M247"/>
      <c r="N247"/>
      <c r="O247"/>
      <c r="P247"/>
      <c r="Q247"/>
    </row>
    <row r="248" spans="1:17" s="3" customFormat="1">
      <c r="A248"/>
      <c r="B248"/>
      <c r="C248"/>
      <c r="D248"/>
      <c r="E248"/>
      <c r="F248"/>
      <c r="G248"/>
      <c r="H248"/>
      <c r="I248"/>
      <c r="J248"/>
      <c r="K248"/>
      <c r="L248"/>
      <c r="M248"/>
      <c r="N248"/>
      <c r="O248"/>
      <c r="P248"/>
      <c r="Q248"/>
    </row>
    <row r="249" spans="1:17" s="3" customFormat="1">
      <c r="A249"/>
      <c r="B249"/>
      <c r="C249"/>
      <c r="D249"/>
      <c r="E249"/>
      <c r="F249"/>
      <c r="G249"/>
      <c r="H249"/>
      <c r="I249"/>
      <c r="J249"/>
      <c r="K249"/>
      <c r="L249"/>
      <c r="M249"/>
      <c r="N249"/>
      <c r="O249"/>
      <c r="P249"/>
      <c r="Q249"/>
    </row>
    <row r="250" spans="1:17" s="3" customFormat="1">
      <c r="A250"/>
      <c r="B250"/>
      <c r="C250"/>
      <c r="D250"/>
      <c r="E250"/>
      <c r="F250"/>
      <c r="G250"/>
      <c r="H250"/>
      <c r="I250"/>
      <c r="J250"/>
      <c r="K250"/>
      <c r="L250"/>
      <c r="M250"/>
      <c r="N250"/>
      <c r="O250"/>
      <c r="P250"/>
      <c r="Q250"/>
    </row>
    <row r="251" spans="1:17" s="3" customFormat="1">
      <c r="A251"/>
      <c r="B251"/>
      <c r="C251"/>
      <c r="D251"/>
      <c r="E251"/>
      <c r="F251"/>
      <c r="G251"/>
      <c r="H251"/>
      <c r="I251"/>
      <c r="J251"/>
      <c r="K251"/>
      <c r="L251"/>
      <c r="M251"/>
      <c r="N251"/>
      <c r="O251"/>
      <c r="P251"/>
      <c r="Q251"/>
    </row>
    <row r="252" spans="1:17" s="3" customFormat="1">
      <c r="A252"/>
      <c r="B252"/>
      <c r="C252"/>
      <c r="D252"/>
      <c r="E252"/>
      <c r="F252"/>
      <c r="G252"/>
      <c r="H252"/>
      <c r="I252"/>
      <c r="J252"/>
      <c r="K252"/>
      <c r="L252"/>
      <c r="M252"/>
      <c r="N252"/>
      <c r="O252"/>
      <c r="P252"/>
      <c r="Q252"/>
    </row>
    <row r="253" spans="1:17" s="3" customFormat="1">
      <c r="A253"/>
      <c r="B253"/>
      <c r="C253"/>
      <c r="D253"/>
      <c r="E253"/>
      <c r="F253"/>
      <c r="G253"/>
      <c r="H253"/>
      <c r="I253"/>
      <c r="J253"/>
      <c r="K253"/>
      <c r="L253"/>
      <c r="M253"/>
      <c r="N253"/>
      <c r="O253"/>
      <c r="P253"/>
      <c r="Q253"/>
    </row>
    <row r="254" spans="1:17" s="3" customFormat="1">
      <c r="A254"/>
      <c r="B254"/>
      <c r="C254"/>
      <c r="D254"/>
      <c r="E254"/>
      <c r="F254"/>
      <c r="G254"/>
      <c r="H254"/>
      <c r="I254"/>
      <c r="J254"/>
      <c r="K254"/>
      <c r="L254"/>
      <c r="M254"/>
      <c r="N254"/>
      <c r="O254"/>
      <c r="P254"/>
      <c r="Q254"/>
    </row>
    <row r="255" spans="1:17" s="3" customFormat="1">
      <c r="A255"/>
      <c r="B255"/>
      <c r="C255"/>
      <c r="D255"/>
      <c r="E255"/>
      <c r="F255"/>
      <c r="G255"/>
      <c r="H255"/>
      <c r="I255"/>
      <c r="J255"/>
      <c r="K255"/>
      <c r="L255"/>
      <c r="M255"/>
      <c r="N255"/>
      <c r="O255"/>
      <c r="P255"/>
      <c r="Q255"/>
    </row>
    <row r="256" spans="1:17" s="3" customFormat="1">
      <c r="A256"/>
      <c r="B256"/>
      <c r="C256"/>
      <c r="D256"/>
      <c r="E256"/>
      <c r="F256"/>
      <c r="G256"/>
      <c r="H256"/>
      <c r="I256"/>
      <c r="J256"/>
      <c r="K256"/>
      <c r="L256"/>
      <c r="M256"/>
      <c r="N256"/>
      <c r="O256"/>
      <c r="P256"/>
      <c r="Q256"/>
    </row>
    <row r="257" spans="1:17" s="3" customFormat="1">
      <c r="A257"/>
      <c r="B257"/>
      <c r="C257"/>
      <c r="D257"/>
      <c r="E257"/>
      <c r="F257"/>
      <c r="G257"/>
      <c r="H257"/>
      <c r="I257"/>
      <c r="J257"/>
      <c r="K257"/>
      <c r="L257"/>
      <c r="M257"/>
      <c r="N257"/>
      <c r="O257"/>
      <c r="P257"/>
      <c r="Q257"/>
    </row>
    <row r="258" spans="1:17" s="3" customFormat="1">
      <c r="A258"/>
      <c r="B258"/>
      <c r="C258"/>
      <c r="D258"/>
      <c r="E258"/>
      <c r="F258"/>
      <c r="G258"/>
      <c r="H258"/>
      <c r="I258"/>
      <c r="J258"/>
      <c r="K258"/>
      <c r="L258"/>
      <c r="M258"/>
      <c r="N258"/>
      <c r="O258"/>
      <c r="P258"/>
      <c r="Q258"/>
    </row>
    <row r="259" spans="1:17" s="3" customFormat="1">
      <c r="A259"/>
      <c r="B259"/>
      <c r="C259"/>
      <c r="D259"/>
      <c r="E259"/>
      <c r="F259"/>
      <c r="G259"/>
      <c r="H259"/>
      <c r="I259"/>
      <c r="J259"/>
      <c r="K259"/>
      <c r="L259"/>
      <c r="M259"/>
      <c r="N259"/>
      <c r="O259"/>
      <c r="P259"/>
      <c r="Q259"/>
    </row>
    <row r="260" spans="1:17" s="3" customFormat="1">
      <c r="A260"/>
      <c r="B260"/>
      <c r="C260"/>
      <c r="D260"/>
      <c r="E260"/>
      <c r="F260"/>
      <c r="G260"/>
      <c r="H260"/>
      <c r="I260"/>
      <c r="J260"/>
      <c r="K260"/>
      <c r="L260"/>
      <c r="M260"/>
      <c r="N260"/>
      <c r="O260"/>
      <c r="P260"/>
      <c r="Q260"/>
    </row>
    <row r="261" spans="1:17" s="3" customFormat="1">
      <c r="A261"/>
      <c r="B261"/>
      <c r="C261"/>
      <c r="D261"/>
      <c r="E261"/>
      <c r="F261"/>
      <c r="G261"/>
      <c r="H261"/>
      <c r="I261"/>
      <c r="J261"/>
      <c r="K261"/>
      <c r="L261"/>
      <c r="M261"/>
      <c r="N261"/>
      <c r="O261"/>
      <c r="P261"/>
      <c r="Q261"/>
    </row>
    <row r="262" spans="1:17" s="3" customFormat="1">
      <c r="A262"/>
      <c r="B262"/>
      <c r="C262"/>
      <c r="D262"/>
      <c r="E262"/>
      <c r="F262"/>
      <c r="G262"/>
      <c r="H262"/>
      <c r="I262"/>
      <c r="J262"/>
      <c r="K262"/>
      <c r="L262"/>
      <c r="M262"/>
      <c r="N262"/>
      <c r="O262"/>
      <c r="P262"/>
      <c r="Q262"/>
    </row>
    <row r="263" spans="1:17" s="3" customFormat="1">
      <c r="A263"/>
      <c r="B263"/>
      <c r="C263"/>
      <c r="D263"/>
      <c r="E263"/>
      <c r="F263"/>
      <c r="G263"/>
      <c r="H263"/>
      <c r="I263"/>
      <c r="J263"/>
      <c r="K263"/>
      <c r="L263"/>
      <c r="M263"/>
      <c r="N263"/>
      <c r="O263"/>
      <c r="P263"/>
      <c r="Q263"/>
    </row>
    <row r="264" spans="1:17" s="3" customFormat="1">
      <c r="A264"/>
      <c r="B264"/>
      <c r="C264"/>
      <c r="D264"/>
      <c r="E264"/>
      <c r="F264"/>
      <c r="G264"/>
      <c r="H264"/>
      <c r="I264"/>
      <c r="J264"/>
      <c r="K264"/>
      <c r="L264"/>
      <c r="M264"/>
      <c r="N264"/>
      <c r="O264"/>
      <c r="P264"/>
      <c r="Q264"/>
    </row>
    <row r="265" spans="1:17" s="3" customFormat="1">
      <c r="A265"/>
      <c r="B265"/>
      <c r="C265"/>
      <c r="D265"/>
      <c r="E265"/>
      <c r="F265"/>
      <c r="G265"/>
      <c r="H265"/>
      <c r="I265"/>
      <c r="J265"/>
      <c r="K265"/>
      <c r="L265"/>
      <c r="M265"/>
      <c r="N265"/>
      <c r="O265"/>
      <c r="P265"/>
      <c r="Q265"/>
    </row>
    <row r="266" spans="1:17" s="3" customFormat="1">
      <c r="A266"/>
      <c r="B266"/>
      <c r="C266"/>
      <c r="D266"/>
      <c r="E266"/>
      <c r="F266"/>
      <c r="G266"/>
      <c r="H266"/>
      <c r="I266"/>
      <c r="J266"/>
      <c r="K266"/>
      <c r="L266"/>
      <c r="M266"/>
      <c r="N266"/>
      <c r="O266"/>
      <c r="P266"/>
      <c r="Q266"/>
    </row>
    <row r="267" spans="1:17" s="3" customFormat="1">
      <c r="A267"/>
      <c r="B267"/>
      <c r="C267"/>
      <c r="D267"/>
      <c r="E267"/>
      <c r="F267"/>
      <c r="G267"/>
      <c r="H267"/>
      <c r="I267"/>
      <c r="J267"/>
      <c r="K267"/>
      <c r="L267"/>
      <c r="M267"/>
      <c r="N267"/>
      <c r="O267"/>
      <c r="P267"/>
      <c r="Q267"/>
    </row>
    <row r="268" spans="1:17" s="3" customFormat="1">
      <c r="A268"/>
      <c r="B268"/>
      <c r="C268"/>
      <c r="D268"/>
      <c r="E268"/>
      <c r="F268"/>
      <c r="G268"/>
      <c r="H268"/>
      <c r="I268"/>
      <c r="J268"/>
      <c r="K268"/>
      <c r="L268"/>
      <c r="M268"/>
      <c r="N268"/>
      <c r="O268"/>
      <c r="P268"/>
      <c r="Q268"/>
    </row>
    <row r="269" spans="1:17" s="3" customFormat="1">
      <c r="A269"/>
      <c r="B269"/>
      <c r="C269"/>
      <c r="D269"/>
      <c r="E269"/>
      <c r="F269"/>
      <c r="G269"/>
      <c r="H269"/>
      <c r="I269"/>
      <c r="J269"/>
      <c r="K269"/>
      <c r="L269"/>
      <c r="M269"/>
      <c r="N269"/>
      <c r="O269"/>
      <c r="P269"/>
      <c r="Q269"/>
    </row>
    <row r="270" spans="1:17" s="3" customFormat="1">
      <c r="A270"/>
      <c r="B270"/>
      <c r="C270"/>
      <c r="D270"/>
      <c r="E270"/>
      <c r="F270"/>
      <c r="G270"/>
      <c r="H270"/>
      <c r="I270"/>
      <c r="J270"/>
      <c r="K270"/>
      <c r="L270"/>
      <c r="M270"/>
      <c r="N270"/>
      <c r="O270"/>
      <c r="P270"/>
      <c r="Q270"/>
    </row>
    <row r="271" spans="1:17" s="3" customFormat="1">
      <c r="A271"/>
      <c r="B271"/>
      <c r="C271"/>
      <c r="D271"/>
      <c r="E271"/>
      <c r="F271"/>
      <c r="G271"/>
      <c r="H271"/>
      <c r="I271"/>
      <c r="J271"/>
      <c r="K271"/>
      <c r="L271"/>
      <c r="M271"/>
      <c r="N271"/>
      <c r="O271"/>
      <c r="P271"/>
      <c r="Q271"/>
    </row>
    <row r="272" spans="1:17" s="3" customFormat="1">
      <c r="A272"/>
      <c r="B272"/>
      <c r="C272"/>
      <c r="D272"/>
      <c r="E272"/>
      <c r="F272"/>
      <c r="G272"/>
      <c r="H272"/>
      <c r="I272"/>
      <c r="J272"/>
      <c r="K272"/>
      <c r="L272"/>
      <c r="M272"/>
      <c r="N272"/>
      <c r="O272"/>
      <c r="P272"/>
      <c r="Q272"/>
    </row>
    <row r="273" spans="1:17" s="3" customFormat="1">
      <c r="A273"/>
      <c r="B273"/>
      <c r="C273"/>
      <c r="D273"/>
      <c r="E273"/>
      <c r="F273"/>
      <c r="G273"/>
      <c r="H273"/>
      <c r="I273"/>
      <c r="J273"/>
      <c r="K273"/>
      <c r="L273"/>
      <c r="M273"/>
      <c r="N273"/>
      <c r="O273"/>
      <c r="P273"/>
      <c r="Q273"/>
    </row>
    <row r="274" spans="1:17" s="3" customFormat="1">
      <c r="A274"/>
      <c r="B274"/>
      <c r="C274"/>
      <c r="D274"/>
      <c r="E274"/>
      <c r="F274"/>
      <c r="G274"/>
      <c r="H274"/>
      <c r="I274"/>
      <c r="J274"/>
      <c r="K274"/>
      <c r="L274"/>
      <c r="M274"/>
      <c r="N274"/>
      <c r="O274"/>
      <c r="P274"/>
      <c r="Q274"/>
    </row>
    <row r="275" spans="1:17" s="3" customFormat="1">
      <c r="A275"/>
      <c r="B275"/>
      <c r="C275"/>
      <c r="D275"/>
      <c r="E275"/>
      <c r="F275"/>
      <c r="G275"/>
      <c r="H275"/>
      <c r="I275"/>
      <c r="J275"/>
      <c r="K275"/>
      <c r="L275"/>
      <c r="M275"/>
      <c r="N275"/>
      <c r="O275"/>
      <c r="P275"/>
      <c r="Q275"/>
    </row>
    <row r="276" spans="1:17" s="3" customFormat="1">
      <c r="A276"/>
      <c r="B276"/>
      <c r="C276"/>
      <c r="D276"/>
      <c r="E276"/>
      <c r="F276"/>
      <c r="G276"/>
      <c r="H276"/>
      <c r="I276"/>
      <c r="J276"/>
      <c r="K276"/>
      <c r="L276"/>
      <c r="M276"/>
      <c r="N276"/>
      <c r="O276"/>
      <c r="P276"/>
      <c r="Q276"/>
    </row>
    <row r="277" spans="1:17" s="3" customFormat="1">
      <c r="A277"/>
      <c r="B277"/>
      <c r="C277"/>
      <c r="D277"/>
      <c r="E277"/>
      <c r="F277"/>
      <c r="G277"/>
      <c r="H277"/>
      <c r="I277"/>
      <c r="J277"/>
      <c r="K277"/>
      <c r="L277"/>
      <c r="M277"/>
      <c r="N277"/>
      <c r="O277"/>
      <c r="P277"/>
      <c r="Q277"/>
    </row>
    <row r="278" spans="1:17" s="3" customFormat="1">
      <c r="A278"/>
      <c r="B278"/>
      <c r="C278"/>
      <c r="D278"/>
      <c r="E278"/>
      <c r="F278"/>
      <c r="G278"/>
      <c r="H278"/>
      <c r="I278"/>
      <c r="J278"/>
      <c r="K278"/>
      <c r="L278"/>
      <c r="M278"/>
      <c r="N278"/>
      <c r="O278"/>
      <c r="P278"/>
      <c r="Q278"/>
    </row>
    <row r="279" spans="1:17" s="3" customFormat="1">
      <c r="A279"/>
      <c r="B279"/>
      <c r="C279"/>
      <c r="D279"/>
      <c r="E279"/>
      <c r="F279"/>
      <c r="G279"/>
      <c r="H279"/>
      <c r="I279"/>
      <c r="J279"/>
      <c r="K279"/>
      <c r="L279"/>
      <c r="M279"/>
      <c r="N279"/>
      <c r="O279"/>
      <c r="P279"/>
      <c r="Q279"/>
    </row>
    <row r="280" spans="1:17" s="3" customFormat="1">
      <c r="A280"/>
      <c r="B280"/>
      <c r="C280"/>
      <c r="D280"/>
      <c r="E280"/>
      <c r="F280"/>
      <c r="G280"/>
      <c r="H280"/>
      <c r="I280"/>
      <c r="J280"/>
      <c r="K280"/>
      <c r="L280"/>
      <c r="M280"/>
      <c r="N280"/>
      <c r="O280"/>
      <c r="P280"/>
      <c r="Q280"/>
    </row>
    <row r="281" spans="1:17" s="3" customFormat="1">
      <c r="A281"/>
      <c r="B281"/>
      <c r="C281"/>
      <c r="D281"/>
      <c r="E281"/>
      <c r="F281"/>
      <c r="G281"/>
      <c r="H281"/>
      <c r="I281"/>
      <c r="J281"/>
      <c r="K281"/>
      <c r="L281"/>
      <c r="M281"/>
      <c r="N281"/>
      <c r="O281"/>
      <c r="P281"/>
      <c r="Q281"/>
    </row>
    <row r="282" spans="1:17" s="3" customFormat="1">
      <c r="A282"/>
      <c r="B282"/>
      <c r="C282"/>
      <c r="D282"/>
      <c r="E282"/>
      <c r="F282"/>
      <c r="G282"/>
      <c r="H282"/>
      <c r="I282"/>
      <c r="J282"/>
      <c r="K282"/>
      <c r="L282"/>
      <c r="M282"/>
      <c r="N282"/>
      <c r="O282"/>
      <c r="P282"/>
      <c r="Q282"/>
    </row>
    <row r="283" spans="1:17" s="3" customFormat="1">
      <c r="A283"/>
      <c r="B283"/>
      <c r="C283"/>
      <c r="D283"/>
      <c r="E283"/>
      <c r="F283"/>
      <c r="G283"/>
      <c r="H283"/>
      <c r="I283"/>
      <c r="J283"/>
      <c r="K283"/>
      <c r="L283"/>
      <c r="M283"/>
      <c r="N283"/>
      <c r="O283"/>
      <c r="P283"/>
      <c r="Q283"/>
    </row>
    <row r="284" spans="1:17" s="3" customFormat="1">
      <c r="A284"/>
      <c r="B284"/>
      <c r="C284"/>
      <c r="D284"/>
      <c r="E284"/>
      <c r="F284"/>
      <c r="G284"/>
      <c r="H284"/>
      <c r="I284"/>
      <c r="J284"/>
      <c r="K284"/>
      <c r="L284"/>
      <c r="M284"/>
      <c r="N284"/>
      <c r="O284"/>
      <c r="P284"/>
      <c r="Q284"/>
    </row>
    <row r="285" spans="1:17" s="3" customFormat="1">
      <c r="A285"/>
      <c r="B285"/>
      <c r="C285"/>
      <c r="D285"/>
      <c r="E285"/>
      <c r="F285"/>
      <c r="G285"/>
      <c r="H285"/>
      <c r="I285"/>
      <c r="J285"/>
      <c r="K285"/>
      <c r="L285"/>
      <c r="M285"/>
      <c r="N285"/>
      <c r="O285"/>
      <c r="P285"/>
      <c r="Q285"/>
    </row>
    <row r="286" spans="1:17" s="3" customFormat="1">
      <c r="A286"/>
      <c r="B286"/>
      <c r="C286"/>
      <c r="D286"/>
      <c r="E286"/>
      <c r="F286"/>
      <c r="G286"/>
      <c r="H286"/>
      <c r="I286"/>
      <c r="J286"/>
      <c r="K286"/>
      <c r="L286"/>
      <c r="M286"/>
      <c r="N286"/>
      <c r="O286"/>
      <c r="P286"/>
      <c r="Q286"/>
    </row>
    <row r="287" spans="1:17" s="3" customFormat="1">
      <c r="A287"/>
      <c r="B287"/>
      <c r="C287"/>
      <c r="D287"/>
      <c r="E287"/>
      <c r="F287"/>
      <c r="G287"/>
      <c r="H287"/>
      <c r="I287"/>
      <c r="J287"/>
      <c r="K287"/>
      <c r="L287"/>
      <c r="M287"/>
      <c r="N287"/>
      <c r="O287"/>
      <c r="P287"/>
      <c r="Q287"/>
    </row>
    <row r="288" spans="1:17" s="3" customFormat="1">
      <c r="A288"/>
      <c r="B288"/>
      <c r="C288"/>
      <c r="D288"/>
      <c r="E288"/>
      <c r="F288"/>
      <c r="G288"/>
      <c r="H288"/>
      <c r="I288"/>
      <c r="J288"/>
      <c r="K288"/>
      <c r="L288"/>
      <c r="M288"/>
      <c r="N288"/>
      <c r="O288"/>
      <c r="P288"/>
      <c r="Q288"/>
    </row>
    <row r="289" spans="1:17" s="3" customFormat="1">
      <c r="A289"/>
      <c r="B289"/>
      <c r="C289"/>
      <c r="D289"/>
      <c r="E289"/>
      <c r="F289"/>
      <c r="G289"/>
      <c r="H289"/>
      <c r="I289"/>
      <c r="J289"/>
      <c r="K289"/>
      <c r="L289"/>
      <c r="M289"/>
      <c r="N289"/>
      <c r="O289"/>
      <c r="P289"/>
      <c r="Q289"/>
    </row>
    <row r="290" spans="1:17" s="3" customFormat="1">
      <c r="A290"/>
      <c r="B290"/>
      <c r="C290"/>
      <c r="D290"/>
      <c r="E290"/>
      <c r="F290"/>
      <c r="G290"/>
      <c r="H290"/>
      <c r="I290"/>
      <c r="J290"/>
      <c r="K290"/>
      <c r="L290"/>
      <c r="M290"/>
      <c r="N290"/>
      <c r="O290"/>
      <c r="P290"/>
      <c r="Q290"/>
    </row>
    <row r="291" spans="1:17" s="3" customFormat="1">
      <c r="A291"/>
      <c r="B291"/>
      <c r="C291"/>
      <c r="D291"/>
      <c r="E291"/>
      <c r="F291"/>
      <c r="G291"/>
      <c r="H291"/>
      <c r="I291"/>
      <c r="J291"/>
      <c r="K291"/>
      <c r="L291"/>
      <c r="M291"/>
      <c r="N291"/>
      <c r="O291"/>
      <c r="P291"/>
      <c r="Q291"/>
    </row>
    <row r="292" spans="1:17" s="3" customFormat="1">
      <c r="A292"/>
      <c r="B292"/>
      <c r="C292"/>
      <c r="D292"/>
      <c r="E292"/>
      <c r="F292"/>
      <c r="G292"/>
      <c r="H292"/>
      <c r="I292"/>
      <c r="J292"/>
      <c r="K292"/>
      <c r="L292"/>
      <c r="M292"/>
      <c r="N292"/>
      <c r="O292"/>
      <c r="P292"/>
      <c r="Q292"/>
    </row>
    <row r="293" spans="1:17" s="3" customFormat="1">
      <c r="A293"/>
      <c r="B293"/>
      <c r="C293"/>
      <c r="D293"/>
      <c r="E293"/>
      <c r="F293"/>
      <c r="G293"/>
      <c r="H293"/>
      <c r="I293"/>
      <c r="J293"/>
      <c r="K293"/>
      <c r="L293"/>
      <c r="M293"/>
      <c r="N293"/>
      <c r="O293"/>
      <c r="P293"/>
      <c r="Q293"/>
    </row>
    <row r="294" spans="1:17" s="3" customFormat="1">
      <c r="A294"/>
      <c r="B294"/>
      <c r="C294"/>
      <c r="D294"/>
      <c r="E294"/>
      <c r="F294"/>
      <c r="G294"/>
      <c r="H294"/>
      <c r="I294"/>
      <c r="J294"/>
      <c r="K294"/>
      <c r="L294"/>
      <c r="M294"/>
      <c r="N294"/>
      <c r="O294"/>
      <c r="P294"/>
      <c r="Q294"/>
    </row>
    <row r="295" spans="1:17" s="3" customFormat="1">
      <c r="A295"/>
      <c r="B295"/>
      <c r="C295"/>
      <c r="D295"/>
      <c r="E295"/>
      <c r="F295"/>
      <c r="G295"/>
      <c r="H295"/>
      <c r="I295"/>
      <c r="J295"/>
      <c r="K295"/>
      <c r="L295"/>
      <c r="M295"/>
      <c r="N295"/>
      <c r="O295"/>
      <c r="P295"/>
      <c r="Q295"/>
    </row>
    <row r="296" spans="1:17" s="3" customFormat="1">
      <c r="A296"/>
      <c r="B296"/>
      <c r="C296"/>
      <c r="D296"/>
      <c r="E296"/>
      <c r="F296"/>
      <c r="G296"/>
      <c r="H296"/>
      <c r="I296"/>
      <c r="J296"/>
      <c r="K296"/>
      <c r="L296"/>
      <c r="M296"/>
      <c r="N296"/>
      <c r="O296"/>
      <c r="P296"/>
      <c r="Q296"/>
    </row>
    <row r="297" spans="1:17" s="3" customFormat="1">
      <c r="A297"/>
      <c r="B297"/>
      <c r="C297"/>
      <c r="D297"/>
      <c r="E297"/>
      <c r="F297"/>
      <c r="G297"/>
      <c r="H297"/>
      <c r="I297"/>
      <c r="J297"/>
      <c r="K297"/>
      <c r="L297"/>
      <c r="M297"/>
      <c r="N297"/>
      <c r="O297"/>
      <c r="P297"/>
      <c r="Q297"/>
    </row>
    <row r="298" spans="1:17" s="3" customFormat="1">
      <c r="A298"/>
      <c r="B298"/>
      <c r="C298"/>
      <c r="D298"/>
      <c r="E298"/>
      <c r="F298"/>
      <c r="G298"/>
      <c r="H298"/>
      <c r="I298"/>
      <c r="J298"/>
      <c r="K298"/>
      <c r="L298"/>
      <c r="M298"/>
      <c r="N298"/>
      <c r="O298"/>
      <c r="P298"/>
      <c r="Q298"/>
    </row>
    <row r="299" spans="1:17" s="3" customFormat="1">
      <c r="A299"/>
      <c r="B299"/>
      <c r="C299"/>
      <c r="D299"/>
      <c r="E299"/>
      <c r="F299"/>
      <c r="G299"/>
      <c r="H299"/>
      <c r="I299"/>
      <c r="J299"/>
      <c r="K299"/>
      <c r="L299"/>
      <c r="M299"/>
      <c r="N299"/>
      <c r="O299"/>
      <c r="P299"/>
      <c r="Q299"/>
    </row>
    <row r="300" spans="1:17" s="3" customFormat="1">
      <c r="A300"/>
      <c r="B300"/>
      <c r="C300"/>
      <c r="D300"/>
      <c r="E300"/>
      <c r="F300"/>
      <c r="G300"/>
      <c r="H300"/>
      <c r="I300"/>
      <c r="J300"/>
      <c r="K300"/>
      <c r="L300"/>
      <c r="M300"/>
      <c r="N300"/>
      <c r="O300"/>
      <c r="P300"/>
      <c r="Q300"/>
    </row>
    <row r="301" spans="1:17" s="3" customFormat="1">
      <c r="A301"/>
      <c r="B301"/>
      <c r="C301"/>
      <c r="D301"/>
      <c r="E301"/>
      <c r="F301"/>
      <c r="G301"/>
      <c r="H301"/>
      <c r="I301"/>
      <c r="J301"/>
      <c r="K301"/>
      <c r="L301"/>
      <c r="M301"/>
      <c r="N301"/>
      <c r="O301"/>
      <c r="P301"/>
      <c r="Q301"/>
    </row>
    <row r="302" spans="1:17" s="3" customFormat="1">
      <c r="A302"/>
      <c r="B302"/>
      <c r="C302"/>
      <c r="D302"/>
      <c r="E302"/>
      <c r="F302"/>
      <c r="G302"/>
      <c r="H302"/>
      <c r="I302"/>
      <c r="J302"/>
      <c r="K302"/>
      <c r="L302"/>
      <c r="M302"/>
      <c r="N302"/>
      <c r="O302"/>
      <c r="P302"/>
      <c r="Q302"/>
    </row>
    <row r="303" spans="1:17" s="3" customFormat="1">
      <c r="A303"/>
      <c r="B303"/>
      <c r="C303"/>
      <c r="D303"/>
      <c r="E303"/>
      <c r="F303"/>
      <c r="G303"/>
      <c r="H303"/>
      <c r="I303"/>
      <c r="J303"/>
      <c r="K303"/>
      <c r="L303"/>
      <c r="M303"/>
      <c r="N303"/>
      <c r="O303"/>
      <c r="P303"/>
      <c r="Q303"/>
    </row>
    <row r="304" spans="1:17" s="3" customFormat="1">
      <c r="A304"/>
      <c r="B304"/>
      <c r="C304"/>
      <c r="D304"/>
      <c r="E304"/>
      <c r="F304"/>
      <c r="G304"/>
      <c r="H304"/>
      <c r="I304"/>
      <c r="J304"/>
      <c r="K304"/>
      <c r="L304"/>
      <c r="M304"/>
      <c r="N304"/>
      <c r="O304"/>
      <c r="P304"/>
      <c r="Q304"/>
    </row>
    <row r="305" spans="1:17" s="3" customFormat="1">
      <c r="A305"/>
      <c r="B305"/>
      <c r="C305"/>
      <c r="D305"/>
      <c r="E305"/>
      <c r="F305"/>
      <c r="G305"/>
      <c r="H305"/>
      <c r="I305"/>
      <c r="J305"/>
      <c r="K305"/>
      <c r="L305"/>
      <c r="M305"/>
      <c r="N305"/>
      <c r="O305"/>
      <c r="P305"/>
      <c r="Q305"/>
    </row>
    <row r="306" spans="1:17" s="3" customFormat="1">
      <c r="A306"/>
      <c r="B306"/>
      <c r="C306"/>
      <c r="D306"/>
      <c r="E306"/>
      <c r="F306"/>
      <c r="G306"/>
      <c r="H306"/>
      <c r="I306"/>
      <c r="J306"/>
      <c r="K306"/>
      <c r="L306"/>
      <c r="M306"/>
      <c r="N306"/>
      <c r="O306"/>
      <c r="P306"/>
      <c r="Q306"/>
    </row>
    <row r="307" spans="1:17" s="3" customFormat="1">
      <c r="A307"/>
      <c r="B307"/>
      <c r="C307"/>
      <c r="D307"/>
      <c r="E307"/>
      <c r="F307"/>
      <c r="G307"/>
      <c r="H307"/>
      <c r="I307"/>
      <c r="J307"/>
      <c r="K307"/>
      <c r="L307"/>
      <c r="M307"/>
      <c r="N307"/>
      <c r="O307"/>
      <c r="P307"/>
      <c r="Q307"/>
    </row>
    <row r="308" spans="1:17" s="3" customFormat="1">
      <c r="A308"/>
      <c r="B308"/>
      <c r="C308"/>
      <c r="D308"/>
      <c r="E308"/>
      <c r="F308"/>
      <c r="G308"/>
      <c r="H308"/>
      <c r="I308"/>
      <c r="J308"/>
      <c r="K308"/>
      <c r="L308"/>
      <c r="M308"/>
      <c r="N308"/>
      <c r="O308"/>
      <c r="P308"/>
      <c r="Q308"/>
    </row>
    <row r="309" spans="1:17" s="3" customFormat="1">
      <c r="A309"/>
      <c r="B309"/>
      <c r="C309"/>
      <c r="D309"/>
      <c r="E309"/>
      <c r="F309"/>
      <c r="G309"/>
      <c r="H309"/>
      <c r="I309"/>
      <c r="J309"/>
      <c r="K309"/>
      <c r="L309"/>
      <c r="M309"/>
      <c r="N309"/>
      <c r="O309"/>
      <c r="P309"/>
      <c r="Q309"/>
    </row>
    <row r="310" spans="1:17" s="3" customFormat="1">
      <c r="A310"/>
      <c r="B310"/>
      <c r="C310"/>
      <c r="D310"/>
      <c r="E310"/>
      <c r="F310"/>
      <c r="G310"/>
      <c r="H310"/>
      <c r="I310"/>
      <c r="J310"/>
      <c r="K310"/>
      <c r="L310"/>
      <c r="M310"/>
      <c r="N310"/>
      <c r="O310"/>
      <c r="P310"/>
      <c r="Q310"/>
    </row>
    <row r="311" spans="1:17" s="3" customFormat="1">
      <c r="A311"/>
      <c r="B311"/>
      <c r="C311"/>
      <c r="D311"/>
      <c r="E311"/>
      <c r="F311"/>
      <c r="G311"/>
      <c r="H311"/>
      <c r="I311"/>
      <c r="J311"/>
      <c r="K311"/>
      <c r="L311"/>
      <c r="M311"/>
      <c r="N311"/>
      <c r="O311"/>
      <c r="P311"/>
      <c r="Q311"/>
    </row>
    <row r="312" spans="1:17" s="3" customFormat="1">
      <c r="A312"/>
      <c r="B312"/>
      <c r="C312"/>
      <c r="D312"/>
      <c r="E312"/>
      <c r="F312"/>
      <c r="G312"/>
      <c r="H312"/>
      <c r="I312"/>
      <c r="J312"/>
      <c r="K312"/>
      <c r="L312"/>
      <c r="M312"/>
      <c r="N312"/>
      <c r="O312"/>
      <c r="P312"/>
      <c r="Q312"/>
    </row>
    <row r="313" spans="1:17" s="3" customFormat="1">
      <c r="A313"/>
      <c r="B313"/>
      <c r="C313"/>
      <c r="D313"/>
      <c r="E313"/>
      <c r="F313"/>
      <c r="G313"/>
      <c r="H313"/>
      <c r="I313"/>
      <c r="J313"/>
      <c r="K313"/>
      <c r="L313"/>
      <c r="M313"/>
      <c r="N313"/>
      <c r="O313"/>
      <c r="P313"/>
      <c r="Q313"/>
    </row>
    <row r="314" spans="1:17" s="3" customFormat="1">
      <c r="A314"/>
      <c r="B314"/>
      <c r="C314"/>
      <c r="D314"/>
      <c r="E314"/>
      <c r="F314"/>
      <c r="G314"/>
      <c r="H314"/>
      <c r="I314"/>
      <c r="J314"/>
      <c r="K314"/>
      <c r="L314"/>
      <c r="M314"/>
      <c r="N314"/>
      <c r="O314"/>
      <c r="P314"/>
      <c r="Q314"/>
    </row>
    <row r="315" spans="1:17" s="3" customFormat="1">
      <c r="A315"/>
      <c r="B315"/>
      <c r="C315"/>
      <c r="D315"/>
      <c r="E315"/>
      <c r="F315"/>
      <c r="G315"/>
      <c r="H315"/>
      <c r="I315"/>
      <c r="J315"/>
      <c r="K315"/>
      <c r="L315"/>
      <c r="M315"/>
      <c r="N315"/>
      <c r="O315"/>
      <c r="P315"/>
      <c r="Q315"/>
    </row>
    <row r="316" spans="1:17" s="3" customFormat="1">
      <c r="A316"/>
      <c r="B316"/>
      <c r="C316"/>
      <c r="D316"/>
      <c r="E316"/>
      <c r="F316"/>
      <c r="G316"/>
      <c r="H316"/>
      <c r="I316"/>
      <c r="J316"/>
      <c r="K316"/>
      <c r="L316"/>
      <c r="M316"/>
      <c r="N316"/>
      <c r="O316"/>
      <c r="P316"/>
      <c r="Q316"/>
    </row>
    <row r="317" spans="1:17" s="3" customFormat="1">
      <c r="A317"/>
      <c r="B317"/>
      <c r="C317"/>
      <c r="D317"/>
      <c r="E317"/>
      <c r="F317"/>
      <c r="G317"/>
      <c r="H317"/>
      <c r="I317"/>
      <c r="J317"/>
      <c r="K317"/>
      <c r="L317"/>
      <c r="M317"/>
      <c r="N317"/>
      <c r="O317"/>
      <c r="P317"/>
      <c r="Q317"/>
    </row>
    <row r="318" spans="1:17" s="3" customFormat="1">
      <c r="A318"/>
      <c r="B318"/>
      <c r="C318"/>
      <c r="D318"/>
      <c r="E318"/>
      <c r="F318"/>
      <c r="G318"/>
      <c r="H318"/>
      <c r="I318"/>
      <c r="J318"/>
      <c r="K318"/>
      <c r="L318"/>
      <c r="M318"/>
      <c r="N318"/>
      <c r="O318"/>
      <c r="P318"/>
      <c r="Q318"/>
    </row>
    <row r="319" spans="1:17" s="3" customFormat="1">
      <c r="A319"/>
      <c r="B319"/>
      <c r="C319"/>
      <c r="D319"/>
      <c r="E319"/>
      <c r="F319"/>
      <c r="G319"/>
      <c r="H319"/>
      <c r="I319"/>
      <c r="J319"/>
      <c r="K319"/>
      <c r="L319"/>
      <c r="M319"/>
      <c r="N319"/>
      <c r="O319"/>
      <c r="P319"/>
      <c r="Q319"/>
    </row>
    <row r="320" spans="1:17" s="3" customFormat="1">
      <c r="A320"/>
      <c r="B320"/>
      <c r="C320"/>
      <c r="D320"/>
      <c r="E320"/>
      <c r="F320"/>
      <c r="G320"/>
      <c r="H320"/>
      <c r="I320"/>
      <c r="J320"/>
      <c r="K320"/>
      <c r="L320"/>
      <c r="M320"/>
      <c r="N320"/>
      <c r="O320"/>
      <c r="P320"/>
      <c r="Q320"/>
    </row>
    <row r="321" spans="1:17" s="3" customFormat="1">
      <c r="A321"/>
      <c r="B321"/>
      <c r="C321"/>
      <c r="D321"/>
      <c r="E321"/>
      <c r="F321"/>
      <c r="G321"/>
      <c r="H321"/>
      <c r="I321"/>
      <c r="J321"/>
      <c r="K321"/>
      <c r="L321"/>
      <c r="M321"/>
      <c r="N321"/>
      <c r="O321"/>
      <c r="P321"/>
      <c r="Q321"/>
    </row>
    <row r="322" spans="1:17" s="3" customFormat="1">
      <c r="A322"/>
      <c r="B322"/>
      <c r="C322"/>
      <c r="D322"/>
      <c r="E322"/>
      <c r="F322"/>
      <c r="G322"/>
      <c r="H322"/>
      <c r="I322"/>
      <c r="J322"/>
      <c r="K322"/>
      <c r="L322"/>
      <c r="M322"/>
      <c r="N322"/>
      <c r="O322"/>
      <c r="P322"/>
      <c r="Q322"/>
    </row>
    <row r="323" spans="1:17" s="3" customFormat="1">
      <c r="A323"/>
      <c r="B323"/>
      <c r="C323"/>
      <c r="D323"/>
      <c r="E323"/>
      <c r="F323"/>
      <c r="G323"/>
      <c r="H323"/>
      <c r="I323"/>
      <c r="J323"/>
      <c r="K323"/>
      <c r="L323"/>
      <c r="M323"/>
      <c r="N323"/>
      <c r="O323"/>
      <c r="P323"/>
      <c r="Q323"/>
    </row>
    <row r="324" spans="1:17" s="3" customFormat="1">
      <c r="A324"/>
      <c r="B324"/>
      <c r="C324"/>
      <c r="D324"/>
      <c r="E324"/>
      <c r="F324"/>
      <c r="G324"/>
      <c r="H324"/>
      <c r="I324"/>
      <c r="J324"/>
      <c r="K324"/>
      <c r="L324"/>
      <c r="M324"/>
      <c r="N324"/>
      <c r="O324"/>
      <c r="P324"/>
      <c r="Q324"/>
    </row>
    <row r="325" spans="1:17" s="3" customFormat="1">
      <c r="A325"/>
      <c r="B325"/>
      <c r="C325"/>
      <c r="D325"/>
      <c r="E325"/>
      <c r="F325"/>
      <c r="G325"/>
      <c r="H325"/>
      <c r="I325"/>
      <c r="J325"/>
      <c r="K325"/>
      <c r="L325"/>
      <c r="M325"/>
      <c r="N325"/>
      <c r="O325"/>
      <c r="P325"/>
      <c r="Q325"/>
    </row>
    <row r="326" spans="1:17" s="3" customFormat="1">
      <c r="A326"/>
      <c r="B326"/>
      <c r="C326"/>
      <c r="D326"/>
      <c r="E326"/>
      <c r="F326"/>
      <c r="G326"/>
      <c r="H326"/>
      <c r="I326"/>
      <c r="J326"/>
      <c r="K326"/>
      <c r="L326"/>
      <c r="M326"/>
      <c r="N326"/>
      <c r="O326"/>
      <c r="P326"/>
      <c r="Q326"/>
    </row>
    <row r="327" spans="1:17" s="3" customFormat="1">
      <c r="A327"/>
      <c r="B327"/>
      <c r="C327"/>
      <c r="D327"/>
      <c r="E327"/>
      <c r="F327"/>
      <c r="G327"/>
      <c r="H327"/>
      <c r="I327"/>
      <c r="J327"/>
      <c r="K327"/>
      <c r="L327"/>
      <c r="M327"/>
      <c r="N327"/>
      <c r="O327"/>
      <c r="P327"/>
      <c r="Q327"/>
    </row>
    <row r="328" spans="1:17" s="3" customFormat="1">
      <c r="A328"/>
      <c r="B328"/>
      <c r="C328"/>
      <c r="D328"/>
      <c r="E328"/>
      <c r="F328"/>
      <c r="G328"/>
      <c r="H328"/>
      <c r="I328"/>
      <c r="J328"/>
      <c r="K328"/>
      <c r="L328"/>
      <c r="M328"/>
      <c r="N328"/>
      <c r="O328"/>
      <c r="P328"/>
      <c r="Q328"/>
    </row>
    <row r="329" spans="1:17" s="3" customFormat="1">
      <c r="A329"/>
      <c r="B329"/>
      <c r="C329"/>
      <c r="D329"/>
      <c r="E329"/>
      <c r="F329"/>
      <c r="G329"/>
      <c r="H329"/>
      <c r="I329"/>
      <c r="J329"/>
      <c r="K329"/>
      <c r="L329"/>
      <c r="M329"/>
      <c r="N329"/>
      <c r="O329"/>
      <c r="P329"/>
      <c r="Q329"/>
    </row>
    <row r="330" spans="1:17" s="3" customFormat="1">
      <c r="A330"/>
      <c r="B330"/>
      <c r="C330"/>
      <c r="D330"/>
      <c r="E330"/>
      <c r="F330"/>
      <c r="G330"/>
      <c r="H330"/>
      <c r="I330"/>
      <c r="J330"/>
      <c r="K330"/>
      <c r="L330"/>
      <c r="M330"/>
      <c r="N330"/>
      <c r="O330"/>
      <c r="P330"/>
      <c r="Q330"/>
    </row>
    <row r="331" spans="1:17" s="3" customFormat="1">
      <c r="A331"/>
      <c r="B331"/>
      <c r="C331"/>
      <c r="D331"/>
      <c r="E331"/>
      <c r="F331"/>
      <c r="G331"/>
      <c r="H331"/>
      <c r="I331"/>
      <c r="J331"/>
      <c r="K331"/>
      <c r="L331"/>
      <c r="M331"/>
      <c r="N331"/>
      <c r="O331"/>
      <c r="P331"/>
      <c r="Q331"/>
    </row>
    <row r="332" spans="1:17" s="3" customFormat="1">
      <c r="A332"/>
      <c r="B332"/>
      <c r="C332"/>
      <c r="D332"/>
      <c r="E332"/>
      <c r="F332"/>
      <c r="G332"/>
      <c r="H332"/>
      <c r="I332"/>
      <c r="J332"/>
      <c r="K332"/>
      <c r="L332"/>
      <c r="M332"/>
      <c r="N332"/>
      <c r="O332"/>
      <c r="P332"/>
      <c r="Q332"/>
    </row>
    <row r="333" spans="1:17" s="3" customFormat="1">
      <c r="A333"/>
      <c r="B333"/>
      <c r="C333"/>
      <c r="D333"/>
      <c r="E333"/>
      <c r="F333"/>
      <c r="G333"/>
      <c r="H333"/>
      <c r="I333"/>
      <c r="J333"/>
      <c r="K333"/>
      <c r="L333"/>
      <c r="M333"/>
      <c r="N333"/>
      <c r="O333"/>
      <c r="P333"/>
      <c r="Q333"/>
    </row>
    <row r="334" spans="1:17" s="3" customFormat="1">
      <c r="A334"/>
      <c r="B334"/>
      <c r="C334"/>
      <c r="D334"/>
      <c r="E334"/>
      <c r="F334"/>
      <c r="G334"/>
      <c r="H334"/>
      <c r="I334"/>
      <c r="J334"/>
      <c r="K334"/>
      <c r="L334"/>
      <c r="M334"/>
      <c r="N334"/>
      <c r="O334"/>
      <c r="P334"/>
      <c r="Q334"/>
    </row>
    <row r="335" spans="1:17" s="3" customFormat="1">
      <c r="A335"/>
      <c r="B335"/>
      <c r="C335"/>
      <c r="D335"/>
      <c r="E335"/>
      <c r="F335"/>
      <c r="G335"/>
      <c r="H335"/>
      <c r="I335"/>
      <c r="J335"/>
      <c r="K335"/>
      <c r="L335"/>
      <c r="M335"/>
      <c r="N335"/>
      <c r="O335"/>
      <c r="P335"/>
      <c r="Q335"/>
    </row>
    <row r="336" spans="1:17" s="3" customFormat="1">
      <c r="A336"/>
      <c r="B336"/>
      <c r="C336"/>
      <c r="D336"/>
      <c r="E336"/>
      <c r="F336"/>
      <c r="G336"/>
      <c r="H336"/>
      <c r="I336"/>
      <c r="J336"/>
      <c r="K336"/>
      <c r="L336"/>
      <c r="M336"/>
      <c r="N336"/>
      <c r="O336"/>
      <c r="P336"/>
      <c r="Q336"/>
    </row>
    <row r="337" spans="1:17" s="3" customFormat="1">
      <c r="A337"/>
      <c r="B337"/>
      <c r="C337"/>
      <c r="D337"/>
      <c r="E337"/>
      <c r="F337"/>
      <c r="G337"/>
      <c r="H337"/>
      <c r="I337"/>
      <c r="J337"/>
      <c r="K337"/>
      <c r="L337"/>
      <c r="M337"/>
      <c r="N337"/>
      <c r="O337"/>
      <c r="P337"/>
      <c r="Q337"/>
    </row>
    <row r="338" spans="1:17" s="3" customFormat="1">
      <c r="A338"/>
      <c r="B338"/>
      <c r="C338"/>
      <c r="D338"/>
      <c r="E338"/>
      <c r="F338"/>
      <c r="G338"/>
      <c r="H338"/>
      <c r="I338"/>
      <c r="J338"/>
      <c r="K338"/>
      <c r="L338"/>
      <c r="M338"/>
      <c r="N338"/>
      <c r="O338"/>
      <c r="P338"/>
      <c r="Q338"/>
    </row>
    <row r="339" spans="1:17" s="3" customFormat="1">
      <c r="A339"/>
      <c r="B339"/>
      <c r="C339"/>
      <c r="D339"/>
      <c r="E339"/>
      <c r="F339"/>
      <c r="G339"/>
      <c r="H339"/>
      <c r="I339"/>
      <c r="J339"/>
      <c r="K339"/>
      <c r="L339"/>
      <c r="M339"/>
      <c r="N339"/>
      <c r="O339"/>
      <c r="P339"/>
      <c r="Q339"/>
    </row>
    <row r="340" spans="1:17" s="3" customFormat="1">
      <c r="A340"/>
      <c r="B340"/>
      <c r="C340"/>
      <c r="D340"/>
      <c r="E340"/>
      <c r="F340"/>
      <c r="G340"/>
      <c r="H340"/>
      <c r="I340"/>
      <c r="J340"/>
      <c r="K340"/>
      <c r="L340"/>
      <c r="M340"/>
      <c r="N340"/>
      <c r="O340"/>
      <c r="P340"/>
      <c r="Q340"/>
    </row>
    <row r="341" spans="1:17" s="3" customFormat="1">
      <c r="A341"/>
      <c r="B341"/>
      <c r="C341"/>
      <c r="D341"/>
      <c r="E341"/>
      <c r="F341"/>
      <c r="G341"/>
      <c r="H341"/>
      <c r="I341"/>
      <c r="J341"/>
      <c r="K341"/>
      <c r="L341"/>
      <c r="M341"/>
      <c r="N341"/>
      <c r="O341"/>
      <c r="P341"/>
      <c r="Q341"/>
    </row>
    <row r="342" spans="1:17" s="3" customFormat="1">
      <c r="A342"/>
      <c r="B342"/>
      <c r="C342"/>
      <c r="D342"/>
      <c r="E342"/>
      <c r="F342"/>
      <c r="G342"/>
      <c r="H342"/>
      <c r="I342"/>
      <c r="J342"/>
      <c r="K342"/>
      <c r="L342"/>
      <c r="M342"/>
      <c r="N342"/>
      <c r="O342"/>
      <c r="P342"/>
      <c r="Q342"/>
    </row>
    <row r="343" spans="1:17" s="3" customFormat="1">
      <c r="A343"/>
      <c r="B343"/>
      <c r="C343"/>
      <c r="D343"/>
      <c r="E343"/>
      <c r="F343"/>
      <c r="G343"/>
      <c r="H343"/>
      <c r="I343"/>
      <c r="J343"/>
      <c r="K343"/>
      <c r="L343"/>
      <c r="M343"/>
      <c r="N343"/>
      <c r="O343"/>
      <c r="P343"/>
      <c r="Q343"/>
    </row>
    <row r="344" spans="1:17" s="3" customFormat="1">
      <c r="A344"/>
      <c r="B344"/>
      <c r="C344"/>
      <c r="D344"/>
      <c r="E344"/>
      <c r="F344"/>
      <c r="G344"/>
      <c r="H344"/>
      <c r="I344"/>
      <c r="J344"/>
      <c r="K344"/>
      <c r="L344"/>
      <c r="M344"/>
      <c r="N344"/>
      <c r="O344"/>
      <c r="P344"/>
      <c r="Q344"/>
    </row>
    <row r="345" spans="1:17" s="3" customFormat="1">
      <c r="A345"/>
      <c r="B345"/>
      <c r="C345"/>
      <c r="D345"/>
      <c r="E345"/>
      <c r="F345"/>
      <c r="G345"/>
      <c r="H345"/>
      <c r="I345"/>
      <c r="J345"/>
      <c r="K345"/>
      <c r="L345"/>
      <c r="M345"/>
      <c r="N345"/>
      <c r="O345"/>
      <c r="P345"/>
      <c r="Q345"/>
    </row>
    <row r="346" spans="1:17" s="3" customFormat="1">
      <c r="A346"/>
      <c r="B346"/>
      <c r="C346"/>
      <c r="D346"/>
      <c r="E346"/>
      <c r="F346"/>
      <c r="G346"/>
      <c r="H346"/>
      <c r="I346"/>
      <c r="J346"/>
      <c r="K346"/>
      <c r="L346"/>
      <c r="M346"/>
      <c r="N346"/>
      <c r="O346"/>
      <c r="P346"/>
      <c r="Q346"/>
    </row>
    <row r="347" spans="1:17" s="3" customFormat="1">
      <c r="A347"/>
      <c r="B347"/>
      <c r="C347"/>
      <c r="D347"/>
      <c r="E347"/>
      <c r="F347"/>
      <c r="G347"/>
      <c r="H347"/>
      <c r="I347"/>
      <c r="J347"/>
      <c r="K347"/>
      <c r="L347"/>
      <c r="M347"/>
      <c r="N347"/>
      <c r="O347"/>
      <c r="P347"/>
      <c r="Q347"/>
    </row>
    <row r="348" spans="1:17" s="3" customFormat="1">
      <c r="A348"/>
      <c r="B348"/>
      <c r="C348"/>
      <c r="D348"/>
      <c r="E348"/>
      <c r="F348"/>
      <c r="G348"/>
      <c r="H348"/>
      <c r="I348"/>
      <c r="J348"/>
      <c r="K348"/>
      <c r="L348"/>
      <c r="M348"/>
      <c r="N348"/>
      <c r="O348"/>
      <c r="P348"/>
      <c r="Q348"/>
    </row>
    <row r="349" spans="1:17" s="3" customFormat="1">
      <c r="A349"/>
      <c r="B349"/>
      <c r="C349"/>
      <c r="D349"/>
      <c r="E349"/>
      <c r="F349"/>
      <c r="G349"/>
      <c r="H349"/>
      <c r="I349"/>
      <c r="J349"/>
      <c r="K349"/>
      <c r="L349"/>
      <c r="M349"/>
      <c r="N349"/>
      <c r="O349"/>
      <c r="P349"/>
      <c r="Q349"/>
    </row>
    <row r="350" spans="1:17" s="3" customFormat="1">
      <c r="A350"/>
      <c r="B350"/>
      <c r="C350"/>
      <c r="D350"/>
      <c r="E350"/>
      <c r="F350"/>
      <c r="G350"/>
      <c r="H350"/>
      <c r="I350"/>
      <c r="J350"/>
      <c r="K350"/>
      <c r="L350"/>
      <c r="M350"/>
      <c r="N350"/>
      <c r="O350"/>
      <c r="P350"/>
      <c r="Q350"/>
    </row>
    <row r="351" spans="1:17" s="3" customFormat="1">
      <c r="A351"/>
      <c r="B351"/>
      <c r="C351"/>
      <c r="D351"/>
      <c r="E351"/>
      <c r="F351"/>
      <c r="G351"/>
      <c r="H351"/>
      <c r="I351"/>
      <c r="J351"/>
      <c r="K351"/>
      <c r="L351"/>
      <c r="M351"/>
      <c r="N351"/>
      <c r="O351"/>
      <c r="P351"/>
      <c r="Q351"/>
    </row>
    <row r="352" spans="1:17" s="3" customFormat="1">
      <c r="A352"/>
      <c r="B352"/>
      <c r="C352"/>
      <c r="D352"/>
      <c r="E352"/>
      <c r="F352"/>
      <c r="G352"/>
      <c r="H352"/>
      <c r="I352"/>
      <c r="J352"/>
      <c r="K352"/>
      <c r="L352"/>
      <c r="M352"/>
      <c r="N352"/>
      <c r="O352"/>
      <c r="P352"/>
      <c r="Q352"/>
    </row>
    <row r="353" spans="1:17" s="3" customFormat="1">
      <c r="A353"/>
      <c r="B353"/>
      <c r="C353"/>
      <c r="D353"/>
      <c r="E353"/>
      <c r="F353"/>
      <c r="G353"/>
      <c r="H353"/>
      <c r="I353"/>
      <c r="J353"/>
      <c r="K353"/>
      <c r="L353"/>
      <c r="M353"/>
      <c r="N353"/>
      <c r="O353"/>
      <c r="P353"/>
      <c r="Q353"/>
    </row>
    <row r="354" spans="1:17" s="3" customFormat="1">
      <c r="A354"/>
      <c r="B354"/>
      <c r="C354"/>
      <c r="D354"/>
      <c r="E354"/>
      <c r="F354"/>
      <c r="G354"/>
      <c r="H354"/>
      <c r="I354"/>
      <c r="J354"/>
      <c r="K354"/>
      <c r="L354"/>
      <c r="M354"/>
      <c r="N354"/>
      <c r="O354"/>
      <c r="P354"/>
      <c r="Q354"/>
    </row>
    <row r="355" spans="1:17" s="3" customFormat="1">
      <c r="A355"/>
      <c r="B355"/>
      <c r="C355"/>
      <c r="D355"/>
      <c r="E355"/>
      <c r="F355"/>
      <c r="G355"/>
      <c r="H355"/>
      <c r="I355"/>
      <c r="J355"/>
      <c r="K355"/>
      <c r="L355"/>
      <c r="M355"/>
      <c r="N355"/>
      <c r="O355"/>
      <c r="P355"/>
      <c r="Q355"/>
    </row>
    <row r="356" spans="1:17" s="3" customFormat="1">
      <c r="A356"/>
      <c r="B356"/>
      <c r="C356"/>
      <c r="D356"/>
      <c r="E356"/>
      <c r="F356"/>
      <c r="G356"/>
      <c r="H356"/>
      <c r="I356"/>
      <c r="J356"/>
      <c r="K356"/>
      <c r="L356"/>
      <c r="M356"/>
      <c r="N356"/>
      <c r="O356"/>
      <c r="P356"/>
      <c r="Q356"/>
    </row>
    <row r="357" spans="1:17" s="3" customFormat="1">
      <c r="A357"/>
      <c r="B357"/>
      <c r="C357"/>
      <c r="D357"/>
      <c r="E357"/>
      <c r="F357"/>
      <c r="G357"/>
      <c r="H357"/>
      <c r="I357"/>
      <c r="J357"/>
      <c r="K357"/>
      <c r="L357"/>
      <c r="M357"/>
      <c r="N357"/>
      <c r="O357"/>
      <c r="P357"/>
      <c r="Q357"/>
    </row>
    <row r="358" spans="1:17" s="3" customFormat="1">
      <c r="A358"/>
      <c r="B358"/>
      <c r="C358"/>
      <c r="D358"/>
      <c r="E358"/>
      <c r="F358"/>
      <c r="G358"/>
      <c r="H358"/>
      <c r="I358"/>
      <c r="J358"/>
      <c r="K358"/>
      <c r="L358"/>
      <c r="M358"/>
      <c r="N358"/>
      <c r="O358"/>
      <c r="P358"/>
      <c r="Q358"/>
    </row>
    <row r="359" spans="1:17" s="3" customFormat="1">
      <c r="A359"/>
      <c r="B359"/>
      <c r="C359"/>
      <c r="D359"/>
      <c r="E359"/>
      <c r="F359"/>
      <c r="G359"/>
      <c r="H359"/>
      <c r="I359"/>
      <c r="J359"/>
      <c r="K359"/>
      <c r="L359"/>
      <c r="M359"/>
      <c r="N359"/>
      <c r="O359"/>
      <c r="P359"/>
      <c r="Q359"/>
    </row>
    <row r="360" spans="1:17" s="3" customFormat="1">
      <c r="A360"/>
      <c r="B360"/>
      <c r="C360"/>
      <c r="D360"/>
      <c r="E360"/>
      <c r="F360"/>
      <c r="G360"/>
      <c r="H360"/>
      <c r="I360"/>
      <c r="J360"/>
      <c r="K360"/>
      <c r="L360"/>
      <c r="M360"/>
      <c r="N360"/>
      <c r="O360"/>
      <c r="P360"/>
      <c r="Q360"/>
    </row>
    <row r="361" spans="1:17" s="3" customFormat="1">
      <c r="A361"/>
      <c r="B361"/>
      <c r="C361"/>
      <c r="D361"/>
      <c r="E361"/>
      <c r="F361"/>
      <c r="G361"/>
      <c r="H361"/>
      <c r="I361"/>
      <c r="J361"/>
      <c r="K361"/>
      <c r="L361"/>
      <c r="M361"/>
      <c r="N361"/>
      <c r="O361"/>
      <c r="P361"/>
      <c r="Q361"/>
    </row>
    <row r="362" spans="1:17" s="3" customFormat="1">
      <c r="A362"/>
      <c r="B362"/>
      <c r="C362"/>
      <c r="D362"/>
      <c r="E362"/>
      <c r="F362"/>
      <c r="G362"/>
      <c r="H362"/>
      <c r="I362"/>
      <c r="J362"/>
      <c r="K362"/>
      <c r="L362"/>
      <c r="M362"/>
      <c r="N362"/>
      <c r="O362"/>
      <c r="P362"/>
      <c r="Q362"/>
    </row>
    <row r="363" spans="1:17" s="3" customFormat="1">
      <c r="A363"/>
      <c r="B363"/>
      <c r="C363"/>
      <c r="D363"/>
      <c r="E363"/>
      <c r="F363"/>
      <c r="G363"/>
      <c r="H363"/>
      <c r="I363"/>
      <c r="J363"/>
      <c r="K363"/>
      <c r="L363"/>
      <c r="M363"/>
      <c r="N363"/>
      <c r="O363"/>
      <c r="P363"/>
      <c r="Q363"/>
    </row>
    <row r="364" spans="1:17" s="3" customFormat="1">
      <c r="A364"/>
      <c r="B364"/>
      <c r="C364"/>
      <c r="D364"/>
      <c r="E364"/>
      <c r="F364"/>
      <c r="G364"/>
      <c r="H364"/>
      <c r="I364"/>
      <c r="J364"/>
      <c r="K364"/>
      <c r="L364"/>
      <c r="M364"/>
      <c r="N364"/>
      <c r="O364"/>
      <c r="P364"/>
      <c r="Q364"/>
    </row>
    <row r="365" spans="1:17" s="3" customFormat="1">
      <c r="A365"/>
      <c r="B365"/>
      <c r="C365"/>
      <c r="D365"/>
      <c r="E365"/>
      <c r="F365"/>
      <c r="G365"/>
      <c r="H365"/>
      <c r="I365"/>
      <c r="J365"/>
      <c r="K365"/>
      <c r="L365"/>
      <c r="M365"/>
      <c r="N365"/>
      <c r="O365"/>
      <c r="P365"/>
      <c r="Q365"/>
    </row>
    <row r="366" spans="1:17" s="3" customFormat="1">
      <c r="A366"/>
      <c r="B366"/>
      <c r="C366"/>
      <c r="D366"/>
      <c r="E366"/>
      <c r="F366"/>
      <c r="G366"/>
      <c r="H366"/>
      <c r="I366"/>
      <c r="J366"/>
      <c r="K366"/>
      <c r="L366"/>
      <c r="M366"/>
      <c r="N366"/>
      <c r="O366"/>
      <c r="P366"/>
      <c r="Q366"/>
    </row>
    <row r="367" spans="1:17" s="3" customFormat="1">
      <c r="A367"/>
      <c r="B367"/>
      <c r="C367"/>
      <c r="D367"/>
      <c r="E367"/>
      <c r="F367"/>
      <c r="G367"/>
      <c r="H367"/>
      <c r="I367"/>
      <c r="J367"/>
      <c r="K367"/>
      <c r="L367"/>
      <c r="M367"/>
      <c r="N367"/>
      <c r="O367"/>
      <c r="P367"/>
      <c r="Q367"/>
    </row>
    <row r="368" spans="1:17" s="3" customFormat="1">
      <c r="A368"/>
      <c r="B368"/>
      <c r="C368"/>
      <c r="D368"/>
      <c r="E368"/>
      <c r="F368"/>
      <c r="G368"/>
      <c r="H368"/>
      <c r="I368"/>
      <c r="J368"/>
      <c r="K368"/>
      <c r="L368"/>
      <c r="M368"/>
      <c r="N368"/>
      <c r="O368"/>
      <c r="P368"/>
      <c r="Q368"/>
    </row>
    <row r="369" spans="1:17" s="3" customFormat="1">
      <c r="A369"/>
      <c r="B369"/>
      <c r="C369"/>
      <c r="D369"/>
      <c r="E369"/>
      <c r="F369"/>
      <c r="G369"/>
      <c r="H369"/>
      <c r="I369"/>
      <c r="J369"/>
      <c r="K369"/>
      <c r="L369"/>
      <c r="M369"/>
      <c r="N369"/>
      <c r="O369"/>
      <c r="P369"/>
      <c r="Q369"/>
    </row>
    <row r="370" spans="1:17" s="3" customFormat="1">
      <c r="A370"/>
      <c r="B370"/>
      <c r="C370"/>
      <c r="D370"/>
      <c r="E370"/>
      <c r="F370"/>
      <c r="G370"/>
      <c r="H370"/>
      <c r="I370"/>
      <c r="J370"/>
      <c r="K370"/>
      <c r="L370"/>
      <c r="M370"/>
      <c r="N370"/>
      <c r="O370"/>
      <c r="P370"/>
      <c r="Q370"/>
    </row>
    <row r="371" spans="1:17" s="3" customFormat="1">
      <c r="A371"/>
      <c r="B371"/>
      <c r="C371"/>
      <c r="D371"/>
      <c r="E371"/>
      <c r="F371"/>
      <c r="G371"/>
      <c r="H371"/>
      <c r="I371"/>
      <c r="J371"/>
      <c r="K371"/>
      <c r="L371"/>
      <c r="M371"/>
      <c r="N371"/>
      <c r="O371"/>
      <c r="P371"/>
      <c r="Q371"/>
    </row>
    <row r="372" spans="1:17" s="3" customFormat="1">
      <c r="A372"/>
      <c r="B372"/>
      <c r="C372"/>
      <c r="D372"/>
      <c r="E372"/>
      <c r="F372"/>
      <c r="G372"/>
      <c r="H372"/>
      <c r="I372"/>
      <c r="J372"/>
      <c r="K372"/>
      <c r="L372"/>
      <c r="M372"/>
      <c r="N372"/>
      <c r="O372"/>
      <c r="P372"/>
      <c r="Q372"/>
    </row>
    <row r="373" spans="1:17" s="3" customFormat="1">
      <c r="A373"/>
      <c r="B373"/>
      <c r="C373"/>
      <c r="D373"/>
      <c r="E373"/>
      <c r="F373"/>
      <c r="G373"/>
      <c r="H373"/>
      <c r="I373"/>
      <c r="J373"/>
      <c r="K373"/>
      <c r="L373"/>
      <c r="M373"/>
      <c r="N373"/>
      <c r="O373"/>
      <c r="P373"/>
      <c r="Q373"/>
    </row>
    <row r="374" spans="1:17" s="3" customFormat="1">
      <c r="A374"/>
      <c r="B374"/>
      <c r="C374"/>
      <c r="D374"/>
      <c r="E374"/>
      <c r="F374"/>
      <c r="G374"/>
      <c r="H374"/>
      <c r="I374"/>
      <c r="J374"/>
      <c r="K374"/>
      <c r="L374"/>
      <c r="M374"/>
      <c r="N374"/>
      <c r="O374"/>
      <c r="P374"/>
      <c r="Q374"/>
    </row>
    <row r="375" spans="1:17" s="3" customFormat="1">
      <c r="A375"/>
      <c r="B375"/>
      <c r="C375"/>
      <c r="D375"/>
      <c r="E375"/>
      <c r="F375"/>
      <c r="G375"/>
      <c r="H375"/>
      <c r="I375"/>
      <c r="J375"/>
      <c r="K375"/>
      <c r="L375"/>
      <c r="M375"/>
      <c r="N375"/>
      <c r="O375"/>
      <c r="P375"/>
      <c r="Q375"/>
    </row>
    <row r="376" spans="1:17" s="3" customFormat="1">
      <c r="A376"/>
      <c r="B376"/>
      <c r="C376"/>
      <c r="D376"/>
      <c r="E376"/>
      <c r="F376"/>
      <c r="G376"/>
      <c r="H376"/>
      <c r="I376"/>
      <c r="J376"/>
      <c r="K376"/>
      <c r="L376"/>
      <c r="M376"/>
      <c r="N376"/>
      <c r="O376"/>
      <c r="P376"/>
      <c r="Q376"/>
    </row>
    <row r="377" spans="1:17" s="3" customFormat="1">
      <c r="A377"/>
      <c r="B377"/>
      <c r="C377"/>
      <c r="D377"/>
      <c r="E377"/>
      <c r="F377"/>
      <c r="G377"/>
      <c r="H377"/>
      <c r="I377"/>
      <c r="J377"/>
      <c r="K377"/>
      <c r="L377"/>
      <c r="M377"/>
      <c r="N377"/>
      <c r="O377"/>
      <c r="P377"/>
      <c r="Q377"/>
    </row>
    <row r="378" spans="1:17" s="3" customFormat="1">
      <c r="A378"/>
      <c r="B378"/>
      <c r="C378"/>
      <c r="D378"/>
      <c r="E378"/>
      <c r="F378"/>
      <c r="G378"/>
      <c r="H378"/>
      <c r="I378"/>
      <c r="J378"/>
      <c r="K378"/>
      <c r="L378"/>
      <c r="M378"/>
      <c r="N378"/>
      <c r="O378"/>
      <c r="P378"/>
      <c r="Q378"/>
    </row>
    <row r="379" spans="1:17" s="3" customFormat="1">
      <c r="A379"/>
      <c r="B379"/>
      <c r="C379"/>
      <c r="D379"/>
      <c r="E379"/>
      <c r="F379"/>
      <c r="G379"/>
      <c r="H379"/>
      <c r="I379"/>
      <c r="J379"/>
      <c r="K379"/>
      <c r="L379"/>
      <c r="M379"/>
      <c r="N379"/>
      <c r="O379"/>
      <c r="P379"/>
      <c r="Q379"/>
    </row>
    <row r="380" spans="1:17" s="3" customFormat="1">
      <c r="A380"/>
      <c r="B380"/>
      <c r="C380"/>
      <c r="D380"/>
      <c r="E380"/>
      <c r="F380"/>
      <c r="G380"/>
      <c r="H380"/>
      <c r="I380"/>
      <c r="J380"/>
      <c r="K380"/>
      <c r="L380"/>
      <c r="M380"/>
      <c r="N380"/>
      <c r="O380"/>
      <c r="P380"/>
      <c r="Q380"/>
    </row>
    <row r="381" spans="1:17" s="3" customFormat="1">
      <c r="A381"/>
      <c r="B381"/>
      <c r="C381"/>
      <c r="D381"/>
      <c r="E381"/>
      <c r="F381"/>
      <c r="G381"/>
      <c r="H381"/>
      <c r="I381"/>
      <c r="J381"/>
      <c r="K381"/>
      <c r="L381"/>
      <c r="M381"/>
      <c r="N381"/>
      <c r="O381"/>
      <c r="P381"/>
      <c r="Q381"/>
    </row>
    <row r="382" spans="1:17" s="3" customFormat="1">
      <c r="A382"/>
      <c r="B382"/>
      <c r="C382"/>
      <c r="D382"/>
      <c r="E382"/>
      <c r="F382"/>
      <c r="G382"/>
      <c r="H382"/>
      <c r="I382"/>
      <c r="J382"/>
      <c r="K382"/>
      <c r="L382"/>
      <c r="M382"/>
      <c r="N382"/>
      <c r="O382"/>
      <c r="P382"/>
      <c r="Q382"/>
    </row>
    <row r="383" spans="1:17" s="3" customFormat="1">
      <c r="A383"/>
      <c r="B383"/>
      <c r="C383"/>
      <c r="D383"/>
      <c r="E383"/>
      <c r="F383"/>
      <c r="G383"/>
      <c r="H383"/>
      <c r="I383"/>
      <c r="J383"/>
      <c r="K383"/>
      <c r="L383"/>
      <c r="M383"/>
      <c r="N383"/>
      <c r="O383"/>
      <c r="P383"/>
      <c r="Q383"/>
    </row>
    <row r="384" spans="1:17" s="3" customFormat="1">
      <c r="A384"/>
      <c r="B384"/>
      <c r="C384"/>
      <c r="D384"/>
      <c r="E384"/>
      <c r="F384"/>
      <c r="G384"/>
      <c r="H384"/>
      <c r="I384"/>
      <c r="J384"/>
      <c r="K384"/>
      <c r="L384"/>
      <c r="M384"/>
      <c r="N384"/>
      <c r="O384"/>
      <c r="P384"/>
      <c r="Q384"/>
    </row>
    <row r="385" spans="1:17" s="3" customFormat="1">
      <c r="A385"/>
      <c r="B385"/>
      <c r="C385"/>
      <c r="D385"/>
      <c r="E385"/>
      <c r="F385"/>
      <c r="G385"/>
      <c r="H385"/>
      <c r="I385"/>
      <c r="J385"/>
      <c r="K385"/>
      <c r="L385"/>
      <c r="M385"/>
      <c r="N385"/>
      <c r="O385"/>
      <c r="P385"/>
      <c r="Q385"/>
    </row>
    <row r="386" spans="1:17" s="3" customFormat="1">
      <c r="A386"/>
      <c r="B386"/>
      <c r="C386"/>
      <c r="D386"/>
      <c r="E386"/>
      <c r="F386"/>
      <c r="G386"/>
      <c r="H386"/>
      <c r="I386"/>
      <c r="J386"/>
      <c r="K386"/>
      <c r="L386"/>
      <c r="M386"/>
      <c r="N386"/>
      <c r="O386"/>
      <c r="P386"/>
      <c r="Q386"/>
    </row>
    <row r="387" spans="1:17" s="3" customFormat="1">
      <c r="A387"/>
      <c r="B387"/>
      <c r="C387"/>
      <c r="D387"/>
      <c r="E387"/>
      <c r="F387"/>
      <c r="G387"/>
      <c r="H387"/>
      <c r="I387"/>
      <c r="J387"/>
      <c r="K387"/>
      <c r="L387"/>
      <c r="M387"/>
      <c r="N387"/>
      <c r="O387"/>
      <c r="P387"/>
      <c r="Q387"/>
    </row>
    <row r="388" spans="1:17" s="3" customFormat="1">
      <c r="A388"/>
      <c r="B388"/>
      <c r="C388"/>
      <c r="D388"/>
      <c r="E388"/>
      <c r="F388"/>
      <c r="G388"/>
      <c r="H388"/>
      <c r="I388"/>
      <c r="J388"/>
      <c r="K388"/>
      <c r="L388"/>
      <c r="M388"/>
      <c r="N388"/>
      <c r="O388"/>
      <c r="P388"/>
      <c r="Q388"/>
    </row>
    <row r="389" spans="1:17" s="3" customFormat="1">
      <c r="A389"/>
      <c r="B389"/>
      <c r="C389"/>
      <c r="D389"/>
      <c r="E389"/>
      <c r="F389"/>
      <c r="G389"/>
      <c r="H389"/>
      <c r="I389"/>
      <c r="J389"/>
      <c r="K389"/>
      <c r="L389"/>
      <c r="M389"/>
      <c r="N389"/>
      <c r="O389"/>
      <c r="P389"/>
      <c r="Q389"/>
    </row>
    <row r="390" spans="1:17" s="3" customFormat="1">
      <c r="A390"/>
      <c r="B390"/>
      <c r="C390"/>
      <c r="D390"/>
      <c r="E390"/>
      <c r="F390"/>
      <c r="G390"/>
      <c r="H390"/>
      <c r="I390"/>
      <c r="J390"/>
      <c r="K390"/>
      <c r="L390"/>
      <c r="M390"/>
      <c r="N390"/>
      <c r="O390"/>
      <c r="P390"/>
      <c r="Q390"/>
    </row>
    <row r="391" spans="1:17" s="3" customFormat="1">
      <c r="A391"/>
      <c r="B391"/>
      <c r="C391"/>
      <c r="D391"/>
      <c r="E391"/>
      <c r="F391"/>
      <c r="G391"/>
      <c r="H391"/>
      <c r="I391"/>
      <c r="J391"/>
      <c r="K391"/>
      <c r="L391"/>
      <c r="M391"/>
      <c r="N391"/>
      <c r="O391"/>
      <c r="P391"/>
      <c r="Q391"/>
    </row>
    <row r="392" spans="1:17" s="3" customFormat="1">
      <c r="A392"/>
      <c r="B392"/>
      <c r="C392"/>
      <c r="D392"/>
      <c r="E392"/>
      <c r="F392"/>
      <c r="G392"/>
      <c r="H392"/>
      <c r="I392"/>
      <c r="J392"/>
      <c r="K392"/>
      <c r="L392"/>
      <c r="M392"/>
      <c r="N392"/>
      <c r="O392"/>
      <c r="P392"/>
      <c r="Q392"/>
    </row>
    <row r="393" spans="1:17" s="3" customFormat="1">
      <c r="A393"/>
      <c r="B393"/>
      <c r="C393"/>
      <c r="D393"/>
      <c r="E393"/>
      <c r="F393"/>
      <c r="G393"/>
      <c r="H393"/>
      <c r="I393"/>
      <c r="J393"/>
      <c r="K393"/>
      <c r="L393"/>
      <c r="M393"/>
      <c r="N393"/>
      <c r="O393"/>
      <c r="P393"/>
      <c r="Q393"/>
    </row>
    <row r="394" spans="1:17" s="3" customFormat="1">
      <c r="A394"/>
      <c r="B394"/>
      <c r="C394"/>
      <c r="D394"/>
      <c r="E394"/>
      <c r="F394"/>
      <c r="G394"/>
      <c r="H394"/>
      <c r="I394"/>
      <c r="J394"/>
      <c r="K394"/>
      <c r="L394"/>
      <c r="M394"/>
      <c r="N394"/>
      <c r="O394"/>
      <c r="P394"/>
      <c r="Q394"/>
    </row>
    <row r="395" spans="1:17" s="3" customFormat="1">
      <c r="A395"/>
      <c r="B395"/>
      <c r="C395"/>
      <c r="D395"/>
      <c r="E395"/>
      <c r="F395"/>
      <c r="G395"/>
      <c r="H395"/>
      <c r="I395"/>
      <c r="J395"/>
      <c r="K395"/>
      <c r="L395"/>
      <c r="M395"/>
      <c r="N395"/>
      <c r="O395"/>
      <c r="P395"/>
      <c r="Q395"/>
    </row>
    <row r="396" spans="1:17" s="3" customFormat="1">
      <c r="A396"/>
      <c r="B396"/>
      <c r="C396"/>
      <c r="D396"/>
      <c r="E396"/>
      <c r="F396"/>
      <c r="G396"/>
      <c r="H396"/>
      <c r="I396"/>
      <c r="J396"/>
      <c r="K396"/>
      <c r="L396"/>
      <c r="M396"/>
      <c r="N396"/>
      <c r="O396"/>
      <c r="P396"/>
      <c r="Q396"/>
    </row>
    <row r="397" spans="1:17" s="3" customFormat="1">
      <c r="A397"/>
      <c r="B397"/>
      <c r="C397"/>
      <c r="D397"/>
      <c r="E397"/>
      <c r="F397"/>
      <c r="G397"/>
      <c r="H397"/>
      <c r="I397"/>
      <c r="J397"/>
      <c r="K397"/>
      <c r="L397"/>
      <c r="M397"/>
      <c r="N397"/>
      <c r="O397"/>
      <c r="P397"/>
      <c r="Q397"/>
    </row>
    <row r="398" spans="1:17" s="3" customFormat="1">
      <c r="A398"/>
      <c r="B398"/>
      <c r="C398"/>
      <c r="D398"/>
      <c r="E398"/>
      <c r="F398"/>
      <c r="G398"/>
      <c r="H398"/>
      <c r="I398"/>
      <c r="J398"/>
      <c r="K398"/>
      <c r="L398"/>
      <c r="M398"/>
      <c r="N398"/>
      <c r="O398"/>
      <c r="P398"/>
      <c r="Q398"/>
    </row>
    <row r="399" spans="1:17" s="3" customFormat="1">
      <c r="A399"/>
      <c r="B399"/>
      <c r="C399"/>
      <c r="D399"/>
      <c r="E399"/>
      <c r="F399"/>
      <c r="G399"/>
      <c r="H399"/>
      <c r="I399"/>
      <c r="J399"/>
      <c r="K399"/>
      <c r="L399"/>
      <c r="M399"/>
      <c r="N399"/>
      <c r="O399"/>
      <c r="P399"/>
      <c r="Q399"/>
    </row>
    <row r="400" spans="1:17" s="3" customFormat="1">
      <c r="A400"/>
      <c r="B400"/>
      <c r="C400"/>
      <c r="D400"/>
      <c r="E400"/>
      <c r="F400"/>
      <c r="G400"/>
      <c r="H400"/>
      <c r="I400"/>
      <c r="J400"/>
      <c r="K400"/>
      <c r="L400"/>
      <c r="M400"/>
      <c r="N400"/>
      <c r="O400"/>
      <c r="P400"/>
      <c r="Q400"/>
    </row>
    <row r="401" spans="1:17" s="3" customFormat="1">
      <c r="A401"/>
      <c r="B401"/>
      <c r="C401"/>
      <c r="D401"/>
      <c r="E401"/>
      <c r="F401"/>
      <c r="G401"/>
      <c r="H401"/>
      <c r="I401"/>
      <c r="J401"/>
      <c r="K401"/>
      <c r="L401"/>
      <c r="M401"/>
      <c r="N401"/>
      <c r="O401"/>
      <c r="P401"/>
      <c r="Q401"/>
    </row>
    <row r="402" spans="1:17" s="3" customFormat="1">
      <c r="A402"/>
      <c r="B402"/>
      <c r="C402"/>
      <c r="D402"/>
      <c r="E402"/>
      <c r="F402"/>
      <c r="G402"/>
      <c r="H402"/>
      <c r="I402"/>
      <c r="J402"/>
      <c r="K402"/>
      <c r="L402"/>
      <c r="M402"/>
      <c r="N402"/>
      <c r="O402"/>
      <c r="P402"/>
      <c r="Q402"/>
    </row>
    <row r="403" spans="1:17" s="3" customFormat="1">
      <c r="A403"/>
      <c r="B403"/>
      <c r="C403"/>
      <c r="D403"/>
      <c r="E403"/>
      <c r="F403"/>
      <c r="G403"/>
      <c r="H403"/>
      <c r="I403"/>
      <c r="J403"/>
      <c r="K403"/>
      <c r="L403"/>
      <c r="M403"/>
      <c r="N403"/>
      <c r="O403"/>
      <c r="P403"/>
      <c r="Q403"/>
    </row>
    <row r="404" spans="1:17" s="3" customFormat="1">
      <c r="A404"/>
      <c r="B404"/>
      <c r="C404"/>
      <c r="D404"/>
      <c r="E404"/>
      <c r="F404"/>
      <c r="G404"/>
      <c r="H404"/>
      <c r="I404"/>
      <c r="J404"/>
      <c r="K404"/>
      <c r="L404"/>
      <c r="M404"/>
      <c r="N404"/>
      <c r="O404"/>
      <c r="P404"/>
      <c r="Q404"/>
    </row>
    <row r="405" spans="1:17" s="3" customFormat="1">
      <c r="A405"/>
      <c r="B405"/>
      <c r="C405"/>
      <c r="D405"/>
      <c r="E405"/>
      <c r="F405"/>
      <c r="G405"/>
      <c r="H405"/>
      <c r="I405"/>
      <c r="J405"/>
      <c r="K405"/>
      <c r="L405"/>
      <c r="M405"/>
      <c r="N405"/>
      <c r="O405"/>
      <c r="P405"/>
      <c r="Q405"/>
    </row>
    <row r="406" spans="1:17" s="3" customFormat="1">
      <c r="A406"/>
      <c r="B406"/>
      <c r="C406"/>
      <c r="D406"/>
      <c r="E406"/>
      <c r="F406"/>
      <c r="G406"/>
      <c r="H406"/>
      <c r="I406"/>
      <c r="J406"/>
      <c r="K406"/>
      <c r="L406"/>
      <c r="M406"/>
      <c r="N406"/>
      <c r="O406"/>
      <c r="P406"/>
      <c r="Q406"/>
    </row>
    <row r="407" spans="1:17" s="3" customFormat="1">
      <c r="A407"/>
      <c r="B407"/>
      <c r="C407"/>
      <c r="D407"/>
      <c r="E407"/>
      <c r="F407"/>
      <c r="G407"/>
      <c r="H407"/>
      <c r="I407"/>
      <c r="J407"/>
      <c r="K407"/>
      <c r="L407"/>
      <c r="M407"/>
      <c r="N407"/>
      <c r="O407"/>
      <c r="P407"/>
      <c r="Q407"/>
    </row>
    <row r="408" spans="1:17" s="3" customFormat="1">
      <c r="A408"/>
      <c r="B408"/>
      <c r="C408"/>
      <c r="D408"/>
      <c r="E408"/>
      <c r="F408"/>
      <c r="G408"/>
      <c r="H408"/>
      <c r="I408"/>
      <c r="J408"/>
      <c r="K408"/>
      <c r="L408"/>
      <c r="M408"/>
      <c r="N408"/>
      <c r="O408"/>
      <c r="P408"/>
      <c r="Q408"/>
    </row>
    <row r="409" spans="1:17" s="3" customFormat="1">
      <c r="A409"/>
      <c r="B409"/>
      <c r="C409"/>
      <c r="D409"/>
      <c r="E409"/>
      <c r="F409"/>
      <c r="G409"/>
      <c r="H409"/>
      <c r="I409"/>
      <c r="J409"/>
      <c r="K409"/>
      <c r="L409"/>
      <c r="M409"/>
      <c r="N409"/>
      <c r="O409"/>
      <c r="P409"/>
      <c r="Q409"/>
    </row>
    <row r="410" spans="1:17" s="3" customFormat="1">
      <c r="A410"/>
      <c r="B410"/>
      <c r="C410"/>
      <c r="D410"/>
      <c r="E410"/>
      <c r="F410"/>
      <c r="G410"/>
      <c r="H410"/>
      <c r="I410"/>
      <c r="J410"/>
      <c r="K410"/>
      <c r="L410"/>
      <c r="M410"/>
      <c r="N410"/>
      <c r="O410"/>
      <c r="P410"/>
      <c r="Q410"/>
    </row>
    <row r="411" spans="1:17" s="3" customFormat="1">
      <c r="A411"/>
      <c r="B411"/>
      <c r="C411"/>
      <c r="D411"/>
      <c r="E411"/>
      <c r="F411"/>
      <c r="G411"/>
      <c r="H411"/>
      <c r="I411"/>
      <c r="J411"/>
      <c r="K411"/>
      <c r="L411"/>
      <c r="M411"/>
      <c r="N411"/>
      <c r="O411"/>
      <c r="P411"/>
      <c r="Q411"/>
    </row>
    <row r="412" spans="1:17" s="3" customFormat="1">
      <c r="A412"/>
      <c r="B412"/>
      <c r="C412"/>
      <c r="D412"/>
      <c r="E412"/>
      <c r="F412"/>
      <c r="G412"/>
      <c r="H412"/>
      <c r="I412"/>
      <c r="J412"/>
      <c r="K412"/>
      <c r="L412"/>
      <c r="M412"/>
      <c r="N412"/>
      <c r="O412"/>
      <c r="P412"/>
      <c r="Q412"/>
    </row>
    <row r="413" spans="1:17" s="3" customFormat="1">
      <c r="A413"/>
      <c r="B413"/>
      <c r="C413"/>
      <c r="D413"/>
      <c r="E413"/>
      <c r="F413"/>
      <c r="G413"/>
      <c r="H413"/>
      <c r="I413"/>
      <c r="J413"/>
      <c r="K413"/>
      <c r="L413"/>
      <c r="M413"/>
      <c r="N413"/>
      <c r="O413"/>
      <c r="P413"/>
      <c r="Q413"/>
    </row>
    <row r="414" spans="1:17" s="3" customFormat="1">
      <c r="A414"/>
      <c r="B414"/>
      <c r="C414"/>
      <c r="D414"/>
      <c r="E414"/>
      <c r="F414"/>
      <c r="G414"/>
      <c r="H414"/>
      <c r="I414"/>
      <c r="J414"/>
      <c r="K414"/>
      <c r="L414"/>
      <c r="M414"/>
      <c r="N414"/>
      <c r="O414"/>
      <c r="P414"/>
      <c r="Q414"/>
    </row>
    <row r="415" spans="1:17" s="3" customFormat="1">
      <c r="A415"/>
      <c r="B415"/>
      <c r="C415"/>
      <c r="D415"/>
      <c r="E415"/>
      <c r="F415"/>
      <c r="G415"/>
      <c r="H415"/>
      <c r="I415"/>
      <c r="J415"/>
      <c r="K415"/>
      <c r="L415"/>
      <c r="M415"/>
      <c r="N415"/>
      <c r="O415"/>
      <c r="P415"/>
      <c r="Q415"/>
    </row>
    <row r="416" spans="1:17" s="3" customFormat="1">
      <c r="A416"/>
      <c r="B416"/>
      <c r="C416"/>
      <c r="D416"/>
      <c r="E416"/>
      <c r="F416"/>
      <c r="G416"/>
      <c r="H416"/>
      <c r="I416"/>
      <c r="J416"/>
      <c r="K416"/>
      <c r="L416"/>
      <c r="M416"/>
      <c r="N416"/>
      <c r="O416"/>
      <c r="P416"/>
      <c r="Q416"/>
    </row>
    <row r="417" spans="1:17" s="3" customFormat="1">
      <c r="A417"/>
      <c r="B417"/>
      <c r="C417"/>
      <c r="D417"/>
      <c r="E417"/>
      <c r="F417"/>
      <c r="G417"/>
      <c r="H417"/>
      <c r="I417"/>
      <c r="J417"/>
      <c r="K417"/>
      <c r="L417"/>
      <c r="M417"/>
      <c r="N417"/>
      <c r="O417"/>
      <c r="P417"/>
      <c r="Q417"/>
    </row>
    <row r="418" spans="1:17" s="3" customFormat="1">
      <c r="A418"/>
      <c r="B418"/>
      <c r="C418"/>
      <c r="D418"/>
      <c r="E418"/>
      <c r="F418"/>
      <c r="G418"/>
      <c r="H418"/>
      <c r="I418"/>
      <c r="J418"/>
      <c r="K418"/>
      <c r="L418"/>
      <c r="M418"/>
      <c r="N418"/>
      <c r="O418"/>
      <c r="P418"/>
      <c r="Q418"/>
    </row>
    <row r="419" spans="1:17" s="3" customFormat="1">
      <c r="A419"/>
      <c r="B419"/>
      <c r="C419"/>
      <c r="D419"/>
      <c r="E419"/>
      <c r="F419"/>
      <c r="G419"/>
      <c r="H419"/>
      <c r="I419"/>
      <c r="J419"/>
      <c r="K419"/>
      <c r="L419"/>
      <c r="M419"/>
      <c r="N419"/>
      <c r="O419"/>
      <c r="P419"/>
      <c r="Q419"/>
    </row>
    <row r="420" spans="1:17" s="3" customFormat="1">
      <c r="A420"/>
      <c r="B420"/>
      <c r="C420"/>
      <c r="D420"/>
      <c r="E420"/>
      <c r="F420"/>
      <c r="G420"/>
      <c r="H420"/>
      <c r="I420"/>
      <c r="J420"/>
      <c r="K420"/>
      <c r="L420"/>
      <c r="M420"/>
      <c r="N420"/>
      <c r="O420"/>
      <c r="P420"/>
      <c r="Q420"/>
    </row>
    <row r="421" spans="1:17" s="3" customFormat="1">
      <c r="A421"/>
      <c r="B421"/>
      <c r="C421"/>
      <c r="D421"/>
      <c r="E421"/>
      <c r="F421"/>
      <c r="G421"/>
      <c r="H421"/>
      <c r="I421"/>
      <c r="J421"/>
      <c r="K421"/>
      <c r="L421"/>
      <c r="M421"/>
      <c r="N421"/>
      <c r="O421"/>
      <c r="P421"/>
      <c r="Q421"/>
    </row>
    <row r="422" spans="1:17" s="3" customFormat="1">
      <c r="A422"/>
      <c r="B422"/>
      <c r="C422"/>
      <c r="D422"/>
      <c r="E422"/>
      <c r="F422"/>
      <c r="G422"/>
      <c r="H422"/>
      <c r="I422"/>
      <c r="J422"/>
      <c r="K422"/>
      <c r="L422"/>
      <c r="M422"/>
      <c r="N422"/>
      <c r="O422"/>
      <c r="P422"/>
      <c r="Q422"/>
    </row>
    <row r="423" spans="1:17" s="3" customFormat="1">
      <c r="A423"/>
      <c r="B423"/>
      <c r="C423"/>
      <c r="D423"/>
      <c r="E423"/>
      <c r="F423"/>
      <c r="G423"/>
      <c r="H423"/>
      <c r="I423"/>
      <c r="J423"/>
      <c r="K423"/>
      <c r="L423"/>
      <c r="M423"/>
      <c r="N423"/>
      <c r="O423"/>
      <c r="P423"/>
      <c r="Q423"/>
    </row>
    <row r="424" spans="1:17" s="3" customFormat="1">
      <c r="A424"/>
      <c r="B424"/>
      <c r="C424"/>
      <c r="D424"/>
      <c r="E424"/>
      <c r="F424"/>
      <c r="G424"/>
      <c r="H424"/>
      <c r="I424"/>
      <c r="J424"/>
      <c r="K424"/>
      <c r="L424"/>
      <c r="M424"/>
      <c r="N424"/>
      <c r="O424"/>
      <c r="P424"/>
      <c r="Q424"/>
    </row>
    <row r="425" spans="1:17" s="3" customFormat="1">
      <c r="A425"/>
      <c r="B425"/>
      <c r="C425"/>
      <c r="D425"/>
      <c r="E425"/>
      <c r="F425"/>
      <c r="G425"/>
      <c r="H425"/>
      <c r="I425"/>
      <c r="J425"/>
      <c r="K425"/>
      <c r="L425"/>
      <c r="M425"/>
      <c r="N425"/>
      <c r="O425"/>
      <c r="P425"/>
      <c r="Q425"/>
    </row>
    <row r="426" spans="1:17" s="3" customFormat="1">
      <c r="A426"/>
      <c r="B426"/>
      <c r="C426"/>
      <c r="D426"/>
      <c r="E426"/>
      <c r="F426"/>
      <c r="G426"/>
      <c r="H426"/>
      <c r="I426"/>
      <c r="J426"/>
      <c r="K426"/>
      <c r="L426"/>
      <c r="M426"/>
      <c r="N426"/>
      <c r="O426"/>
      <c r="P426"/>
      <c r="Q426"/>
    </row>
    <row r="427" spans="1:17" s="3" customFormat="1">
      <c r="A427"/>
      <c r="B427"/>
      <c r="C427"/>
      <c r="D427"/>
      <c r="E427"/>
      <c r="F427"/>
      <c r="G427"/>
      <c r="H427"/>
      <c r="I427"/>
      <c r="J427"/>
      <c r="K427"/>
      <c r="L427"/>
      <c r="M427"/>
      <c r="N427"/>
      <c r="O427"/>
      <c r="P427"/>
      <c r="Q427"/>
    </row>
    <row r="428" spans="1:17" s="3" customFormat="1">
      <c r="A428"/>
      <c r="B428"/>
      <c r="C428"/>
      <c r="D428"/>
      <c r="E428"/>
      <c r="F428"/>
      <c r="G428"/>
      <c r="H428"/>
      <c r="I428"/>
      <c r="J428"/>
      <c r="K428"/>
      <c r="L428"/>
      <c r="M428"/>
      <c r="N428"/>
      <c r="O428"/>
      <c r="P428"/>
      <c r="Q428"/>
    </row>
    <row r="429" spans="1:17" s="3" customFormat="1">
      <c r="A429"/>
      <c r="B429"/>
      <c r="C429"/>
      <c r="D429"/>
      <c r="E429"/>
      <c r="F429"/>
      <c r="G429"/>
      <c r="H429"/>
      <c r="I429"/>
      <c r="J429"/>
      <c r="K429"/>
      <c r="L429"/>
      <c r="M429"/>
      <c r="N429"/>
      <c r="O429"/>
      <c r="P429"/>
      <c r="Q429"/>
    </row>
    <row r="430" spans="1:17" s="3" customFormat="1">
      <c r="A430"/>
      <c r="B430"/>
      <c r="C430"/>
      <c r="D430"/>
      <c r="E430"/>
      <c r="F430"/>
      <c r="G430"/>
      <c r="H430"/>
      <c r="I430"/>
      <c r="J430"/>
      <c r="K430"/>
      <c r="L430"/>
      <c r="M430"/>
      <c r="N430"/>
      <c r="O430"/>
      <c r="P430"/>
      <c r="Q430"/>
    </row>
    <row r="431" spans="1:17" s="3" customFormat="1">
      <c r="A431"/>
      <c r="B431"/>
      <c r="C431"/>
      <c r="D431"/>
      <c r="E431"/>
      <c r="F431"/>
      <c r="G431"/>
      <c r="H431"/>
      <c r="I431"/>
      <c r="J431"/>
      <c r="K431"/>
      <c r="L431"/>
      <c r="M431"/>
      <c r="N431"/>
      <c r="O431"/>
      <c r="P431"/>
      <c r="Q431"/>
    </row>
    <row r="432" spans="1:17" s="3" customFormat="1">
      <c r="A432"/>
      <c r="B432"/>
      <c r="C432"/>
      <c r="D432"/>
      <c r="E432"/>
      <c r="F432"/>
      <c r="G432"/>
      <c r="H432"/>
      <c r="I432"/>
      <c r="J432"/>
      <c r="K432"/>
      <c r="L432"/>
      <c r="M432"/>
      <c r="N432"/>
      <c r="O432"/>
      <c r="P432"/>
      <c r="Q432"/>
    </row>
    <row r="433" spans="1:17" s="3" customFormat="1">
      <c r="A433"/>
      <c r="B433"/>
      <c r="C433"/>
      <c r="D433"/>
      <c r="E433"/>
      <c r="F433"/>
      <c r="G433"/>
      <c r="H433"/>
      <c r="I433"/>
      <c r="J433"/>
      <c r="K433"/>
      <c r="L433"/>
      <c r="M433"/>
      <c r="N433"/>
      <c r="O433"/>
      <c r="P433"/>
      <c r="Q433"/>
    </row>
    <row r="434" spans="1:17" s="3" customFormat="1">
      <c r="A434"/>
      <c r="B434"/>
      <c r="C434"/>
      <c r="D434"/>
      <c r="E434"/>
      <c r="F434"/>
      <c r="G434"/>
      <c r="H434"/>
      <c r="I434"/>
      <c r="J434"/>
      <c r="K434"/>
      <c r="L434"/>
      <c r="M434"/>
      <c r="N434"/>
      <c r="O434"/>
      <c r="P434"/>
      <c r="Q434"/>
    </row>
    <row r="435" spans="1:17" s="3" customFormat="1">
      <c r="A435"/>
      <c r="B435"/>
      <c r="C435"/>
      <c r="D435"/>
      <c r="E435"/>
      <c r="F435"/>
      <c r="G435"/>
      <c r="H435"/>
      <c r="I435"/>
      <c r="J435"/>
      <c r="K435"/>
      <c r="L435"/>
      <c r="M435"/>
      <c r="N435"/>
      <c r="O435"/>
      <c r="P435"/>
      <c r="Q435"/>
    </row>
    <row r="436" spans="1:17" s="3" customFormat="1">
      <c r="A436"/>
      <c r="B436"/>
      <c r="C436"/>
      <c r="D436"/>
      <c r="E436"/>
      <c r="F436"/>
      <c r="G436"/>
      <c r="H436"/>
      <c r="I436"/>
      <c r="J436"/>
      <c r="K436"/>
      <c r="L436"/>
      <c r="M436"/>
      <c r="N436"/>
      <c r="O436"/>
      <c r="P436"/>
      <c r="Q436"/>
    </row>
    <row r="437" spans="1:17" s="3" customFormat="1">
      <c r="A437"/>
      <c r="B437"/>
      <c r="C437"/>
      <c r="D437"/>
      <c r="E437"/>
      <c r="F437"/>
      <c r="G437"/>
      <c r="H437"/>
      <c r="I437"/>
      <c r="J437"/>
      <c r="K437"/>
      <c r="L437"/>
      <c r="M437"/>
      <c r="N437"/>
      <c r="O437"/>
      <c r="P437"/>
      <c r="Q437"/>
    </row>
    <row r="438" spans="1:17" s="3" customFormat="1">
      <c r="A438"/>
      <c r="B438"/>
      <c r="C438"/>
      <c r="D438"/>
      <c r="E438"/>
      <c r="F438"/>
      <c r="G438"/>
      <c r="H438"/>
      <c r="I438"/>
      <c r="J438"/>
      <c r="K438"/>
      <c r="L438"/>
      <c r="M438"/>
      <c r="N438"/>
      <c r="O438"/>
      <c r="P438"/>
      <c r="Q438"/>
    </row>
    <row r="439" spans="1:17" s="3" customFormat="1">
      <c r="A439"/>
      <c r="B439"/>
      <c r="C439"/>
      <c r="D439"/>
      <c r="E439"/>
      <c r="F439"/>
      <c r="G439"/>
      <c r="H439"/>
      <c r="I439"/>
      <c r="J439"/>
      <c r="K439"/>
      <c r="L439"/>
      <c r="M439"/>
      <c r="N439"/>
      <c r="O439"/>
      <c r="P439"/>
      <c r="Q439"/>
    </row>
    <row r="440" spans="1:17" s="3" customFormat="1">
      <c r="A440"/>
      <c r="B440"/>
      <c r="C440"/>
      <c r="D440"/>
      <c r="E440"/>
      <c r="F440"/>
      <c r="G440"/>
      <c r="H440"/>
      <c r="I440"/>
      <c r="J440"/>
      <c r="K440"/>
      <c r="L440"/>
      <c r="M440"/>
      <c r="N440"/>
      <c r="O440"/>
      <c r="P440"/>
      <c r="Q440"/>
    </row>
    <row r="441" spans="1:17" s="3" customFormat="1">
      <c r="A441"/>
      <c r="B441"/>
      <c r="C441"/>
      <c r="D441"/>
      <c r="E441"/>
      <c r="F441"/>
      <c r="G441"/>
      <c r="H441"/>
      <c r="I441"/>
      <c r="J441"/>
      <c r="K441"/>
      <c r="L441"/>
      <c r="M441"/>
      <c r="N441"/>
      <c r="O441"/>
      <c r="P441"/>
      <c r="Q441"/>
    </row>
    <row r="442" spans="1:17" s="3" customFormat="1">
      <c r="A442"/>
      <c r="B442"/>
      <c r="C442"/>
      <c r="D442"/>
      <c r="E442"/>
      <c r="F442"/>
      <c r="G442"/>
      <c r="H442"/>
      <c r="I442"/>
      <c r="J442"/>
      <c r="K442"/>
      <c r="L442"/>
      <c r="M442"/>
      <c r="N442"/>
      <c r="O442"/>
      <c r="P442"/>
      <c r="Q442"/>
    </row>
    <row r="443" spans="1:17" s="3" customFormat="1">
      <c r="A443"/>
      <c r="B443"/>
      <c r="C443"/>
      <c r="D443"/>
      <c r="E443"/>
      <c r="F443"/>
      <c r="G443"/>
      <c r="H443"/>
      <c r="I443"/>
      <c r="J443"/>
      <c r="K443"/>
      <c r="L443"/>
      <c r="M443"/>
      <c r="N443"/>
      <c r="O443"/>
      <c r="P443"/>
      <c r="Q443"/>
    </row>
    <row r="444" spans="1:17" s="3" customFormat="1">
      <c r="A444"/>
      <c r="B444"/>
      <c r="C444"/>
      <c r="D444"/>
      <c r="E444"/>
      <c r="F444"/>
      <c r="G444"/>
      <c r="H444"/>
      <c r="I444"/>
      <c r="J444"/>
      <c r="K444"/>
      <c r="L444"/>
      <c r="M444"/>
      <c r="N444"/>
      <c r="O444"/>
      <c r="P444"/>
      <c r="Q444"/>
    </row>
    <row r="445" spans="1:17" s="3" customFormat="1">
      <c r="A445"/>
      <c r="B445"/>
      <c r="C445"/>
      <c r="D445"/>
      <c r="E445"/>
      <c r="F445"/>
      <c r="G445"/>
      <c r="H445"/>
      <c r="I445"/>
      <c r="J445"/>
      <c r="K445"/>
      <c r="L445"/>
      <c r="M445"/>
      <c r="N445"/>
      <c r="O445"/>
      <c r="P445"/>
      <c r="Q445"/>
    </row>
    <row r="446" spans="1:17" s="3" customFormat="1">
      <c r="A446"/>
      <c r="B446"/>
      <c r="C446"/>
      <c r="D446"/>
      <c r="E446"/>
      <c r="F446"/>
      <c r="G446"/>
      <c r="H446"/>
      <c r="I446"/>
      <c r="J446"/>
      <c r="K446"/>
      <c r="L446"/>
      <c r="M446"/>
      <c r="N446"/>
      <c r="O446"/>
      <c r="P446"/>
      <c r="Q446"/>
    </row>
    <row r="447" spans="1:17" s="3" customFormat="1">
      <c r="A447"/>
      <c r="B447"/>
      <c r="C447"/>
      <c r="D447"/>
      <c r="E447"/>
      <c r="F447"/>
      <c r="G447"/>
      <c r="H447"/>
      <c r="I447"/>
      <c r="J447"/>
      <c r="K447"/>
      <c r="L447"/>
      <c r="M447"/>
      <c r="N447"/>
      <c r="O447"/>
      <c r="P447"/>
      <c r="Q447"/>
    </row>
    <row r="448" spans="1:17" s="3" customFormat="1">
      <c r="A448"/>
      <c r="B448"/>
      <c r="C448"/>
      <c r="D448"/>
      <c r="E448"/>
      <c r="F448"/>
      <c r="G448"/>
      <c r="H448"/>
      <c r="I448"/>
      <c r="J448"/>
      <c r="K448"/>
      <c r="L448"/>
      <c r="M448"/>
      <c r="N448"/>
      <c r="O448"/>
      <c r="P448"/>
      <c r="Q448"/>
    </row>
    <row r="449" spans="1:17" s="3" customFormat="1">
      <c r="A449"/>
      <c r="B449"/>
      <c r="C449"/>
      <c r="D449"/>
      <c r="E449"/>
      <c r="F449"/>
      <c r="G449"/>
      <c r="H449"/>
      <c r="I449"/>
      <c r="J449"/>
      <c r="K449"/>
      <c r="L449"/>
      <c r="M449"/>
      <c r="N449"/>
      <c r="O449"/>
      <c r="P449"/>
      <c r="Q449"/>
    </row>
    <row r="450" spans="1:17" s="3" customFormat="1">
      <c r="A450"/>
      <c r="B450"/>
      <c r="C450"/>
      <c r="D450"/>
      <c r="E450"/>
      <c r="F450"/>
      <c r="G450"/>
      <c r="H450"/>
      <c r="I450"/>
      <c r="J450"/>
      <c r="K450"/>
      <c r="L450"/>
      <c r="M450"/>
      <c r="N450"/>
      <c r="O450"/>
      <c r="P450"/>
      <c r="Q450"/>
    </row>
    <row r="451" spans="1:17" s="3" customFormat="1">
      <c r="A451"/>
      <c r="B451"/>
      <c r="C451"/>
      <c r="D451"/>
      <c r="E451"/>
      <c r="F451"/>
      <c r="G451"/>
      <c r="H451"/>
      <c r="I451"/>
      <c r="J451"/>
      <c r="K451"/>
      <c r="L451"/>
      <c r="M451"/>
      <c r="N451"/>
      <c r="O451"/>
      <c r="P451"/>
      <c r="Q451"/>
    </row>
    <row r="452" spans="1:17" s="3" customFormat="1">
      <c r="A452"/>
      <c r="B452"/>
      <c r="C452"/>
      <c r="D452"/>
      <c r="E452"/>
      <c r="F452"/>
      <c r="G452"/>
      <c r="H452"/>
      <c r="I452"/>
      <c r="J452"/>
      <c r="K452"/>
      <c r="L452"/>
      <c r="M452"/>
      <c r="N452"/>
      <c r="O452"/>
      <c r="P452"/>
      <c r="Q452"/>
    </row>
    <row r="453" spans="1:17" s="3" customFormat="1">
      <c r="A453"/>
      <c r="B453"/>
      <c r="C453"/>
      <c r="D453"/>
      <c r="E453"/>
      <c r="F453"/>
      <c r="G453"/>
      <c r="H453"/>
      <c r="I453"/>
      <c r="J453"/>
      <c r="K453"/>
      <c r="L453"/>
      <c r="M453"/>
      <c r="N453"/>
      <c r="O453"/>
      <c r="P453"/>
      <c r="Q453"/>
    </row>
    <row r="454" spans="1:17" s="3" customFormat="1">
      <c r="A454"/>
      <c r="B454"/>
      <c r="C454"/>
      <c r="D454"/>
      <c r="E454"/>
      <c r="F454"/>
      <c r="G454"/>
      <c r="H454"/>
      <c r="I454"/>
      <c r="J454"/>
      <c r="K454"/>
      <c r="L454"/>
      <c r="M454"/>
      <c r="N454"/>
      <c r="O454"/>
      <c r="P454"/>
      <c r="Q454"/>
    </row>
    <row r="455" spans="1:17" s="3" customFormat="1">
      <c r="A455"/>
      <c r="B455"/>
      <c r="C455"/>
      <c r="D455"/>
      <c r="E455"/>
      <c r="F455"/>
      <c r="G455"/>
      <c r="H455"/>
      <c r="I455"/>
      <c r="J455"/>
      <c r="K455"/>
      <c r="L455"/>
      <c r="M455"/>
      <c r="N455"/>
      <c r="O455"/>
      <c r="P455"/>
      <c r="Q455"/>
    </row>
    <row r="456" spans="1:17" s="3" customFormat="1">
      <c r="A456"/>
      <c r="B456"/>
      <c r="C456"/>
      <c r="D456"/>
      <c r="E456"/>
      <c r="F456"/>
      <c r="G456"/>
      <c r="H456"/>
      <c r="I456"/>
      <c r="J456"/>
      <c r="K456"/>
      <c r="L456"/>
      <c r="M456"/>
      <c r="N456"/>
      <c r="O456"/>
      <c r="P456"/>
      <c r="Q456"/>
    </row>
    <row r="457" spans="1:17" s="3" customFormat="1">
      <c r="A457"/>
      <c r="B457"/>
      <c r="C457"/>
      <c r="D457"/>
      <c r="E457"/>
      <c r="F457"/>
      <c r="G457"/>
      <c r="H457"/>
      <c r="I457"/>
      <c r="J457"/>
      <c r="K457"/>
      <c r="L457"/>
      <c r="M457"/>
      <c r="N457"/>
      <c r="O457"/>
      <c r="P457"/>
      <c r="Q457"/>
    </row>
    <row r="458" spans="1:17" s="3" customFormat="1">
      <c r="A458"/>
      <c r="B458"/>
      <c r="C458"/>
      <c r="D458"/>
      <c r="E458"/>
      <c r="F458"/>
      <c r="G458"/>
      <c r="H458"/>
      <c r="I458"/>
      <c r="J458"/>
      <c r="K458"/>
      <c r="L458"/>
      <c r="M458"/>
      <c r="N458"/>
      <c r="O458"/>
      <c r="P458"/>
      <c r="Q458"/>
    </row>
    <row r="459" spans="1:17" s="3" customFormat="1">
      <c r="A459"/>
      <c r="B459"/>
      <c r="C459"/>
      <c r="D459"/>
      <c r="E459"/>
      <c r="F459"/>
      <c r="G459"/>
      <c r="H459"/>
      <c r="I459"/>
      <c r="J459"/>
      <c r="K459"/>
      <c r="L459"/>
      <c r="M459"/>
      <c r="N459"/>
      <c r="O459"/>
      <c r="P459"/>
      <c r="Q459"/>
    </row>
    <row r="460" spans="1:17" s="3" customFormat="1">
      <c r="A460"/>
      <c r="B460"/>
      <c r="C460"/>
      <c r="D460"/>
      <c r="E460"/>
      <c r="F460"/>
      <c r="G460"/>
      <c r="H460"/>
      <c r="I460"/>
      <c r="J460"/>
      <c r="K460"/>
      <c r="L460"/>
      <c r="M460"/>
      <c r="N460"/>
      <c r="O460"/>
      <c r="P460"/>
      <c r="Q460"/>
    </row>
    <row r="461" spans="1:17" s="3" customFormat="1">
      <c r="A461"/>
      <c r="B461"/>
      <c r="C461"/>
      <c r="D461"/>
      <c r="E461"/>
      <c r="F461"/>
      <c r="G461"/>
      <c r="H461"/>
      <c r="I461"/>
      <c r="J461"/>
      <c r="K461"/>
      <c r="L461"/>
      <c r="M461"/>
      <c r="N461"/>
      <c r="O461"/>
      <c r="P461"/>
      <c r="Q461"/>
    </row>
    <row r="462" spans="1:17" s="3" customFormat="1">
      <c r="A462"/>
      <c r="B462"/>
      <c r="C462"/>
      <c r="D462"/>
      <c r="E462"/>
      <c r="F462"/>
      <c r="G462"/>
      <c r="H462"/>
      <c r="I462"/>
      <c r="J462"/>
      <c r="K462"/>
      <c r="L462"/>
      <c r="M462"/>
      <c r="N462"/>
      <c r="O462"/>
      <c r="P462"/>
      <c r="Q462"/>
    </row>
    <row r="463" spans="1:17" s="3" customFormat="1">
      <c r="A463"/>
      <c r="B463"/>
      <c r="C463"/>
      <c r="D463"/>
      <c r="E463"/>
      <c r="F463"/>
      <c r="G463"/>
      <c r="H463"/>
      <c r="I463"/>
      <c r="J463"/>
      <c r="K463"/>
      <c r="L463"/>
      <c r="M463"/>
      <c r="N463"/>
      <c r="O463"/>
      <c r="P463"/>
      <c r="Q463"/>
    </row>
    <row r="464" spans="1:17" s="3" customFormat="1">
      <c r="A464"/>
      <c r="B464"/>
      <c r="C464"/>
      <c r="D464"/>
      <c r="E464"/>
      <c r="F464"/>
      <c r="G464"/>
      <c r="H464"/>
      <c r="I464"/>
      <c r="J464"/>
      <c r="K464"/>
      <c r="L464"/>
      <c r="M464"/>
      <c r="N464"/>
      <c r="O464"/>
      <c r="P464"/>
      <c r="Q464"/>
    </row>
    <row r="465" spans="1:17" s="3" customFormat="1">
      <c r="A465"/>
      <c r="B465"/>
      <c r="C465"/>
      <c r="D465"/>
      <c r="E465"/>
      <c r="F465"/>
      <c r="G465"/>
      <c r="H465"/>
      <c r="I465"/>
      <c r="J465"/>
      <c r="K465"/>
      <c r="L465"/>
      <c r="M465"/>
      <c r="N465"/>
      <c r="O465"/>
      <c r="P465"/>
      <c r="Q465"/>
    </row>
    <row r="466" spans="1:17" s="3" customFormat="1">
      <c r="A466"/>
      <c r="B466"/>
      <c r="C466"/>
      <c r="D466"/>
      <c r="E466"/>
      <c r="F466"/>
      <c r="G466"/>
      <c r="H466"/>
      <c r="I466"/>
      <c r="J466"/>
      <c r="K466"/>
      <c r="L466"/>
      <c r="M466"/>
      <c r="N466"/>
      <c r="O466"/>
      <c r="P466"/>
      <c r="Q466"/>
    </row>
    <row r="467" spans="1:17" s="3" customFormat="1">
      <c r="A467"/>
      <c r="B467"/>
      <c r="C467"/>
      <c r="D467"/>
      <c r="E467"/>
      <c r="F467"/>
      <c r="G467"/>
      <c r="H467"/>
      <c r="I467"/>
      <c r="J467"/>
      <c r="K467"/>
      <c r="L467"/>
      <c r="M467"/>
      <c r="N467"/>
      <c r="O467"/>
      <c r="P467"/>
      <c r="Q467"/>
    </row>
    <row r="468" spans="1:17" s="3" customFormat="1">
      <c r="A468"/>
      <c r="B468"/>
      <c r="C468"/>
      <c r="D468"/>
      <c r="E468"/>
      <c r="F468"/>
      <c r="G468"/>
      <c r="H468"/>
      <c r="I468"/>
      <c r="J468"/>
      <c r="K468"/>
      <c r="L468"/>
      <c r="M468"/>
      <c r="N468"/>
      <c r="O468"/>
      <c r="P468"/>
      <c r="Q468"/>
    </row>
    <row r="469" spans="1:17" s="3" customFormat="1">
      <c r="A469"/>
      <c r="B469"/>
      <c r="C469"/>
      <c r="D469"/>
      <c r="E469"/>
      <c r="F469"/>
      <c r="G469"/>
      <c r="H469"/>
      <c r="I469"/>
      <c r="J469"/>
      <c r="K469"/>
      <c r="L469"/>
      <c r="M469"/>
      <c r="N469"/>
      <c r="O469"/>
      <c r="P469"/>
      <c r="Q469"/>
    </row>
    <row r="470" spans="1:17" s="3" customFormat="1">
      <c r="A470"/>
      <c r="B470"/>
      <c r="C470"/>
      <c r="D470"/>
      <c r="E470"/>
      <c r="F470"/>
      <c r="G470"/>
      <c r="H470"/>
      <c r="I470"/>
      <c r="J470"/>
      <c r="K470"/>
      <c r="L470"/>
      <c r="M470"/>
      <c r="N470"/>
      <c r="O470"/>
      <c r="P470"/>
      <c r="Q470"/>
    </row>
    <row r="471" spans="1:17" s="3" customFormat="1">
      <c r="A471"/>
      <c r="B471"/>
      <c r="C471"/>
      <c r="D471"/>
      <c r="E471"/>
      <c r="F471"/>
      <c r="G471"/>
      <c r="H471"/>
      <c r="I471"/>
      <c r="J471"/>
      <c r="K471"/>
      <c r="L471"/>
      <c r="M471"/>
      <c r="N471"/>
      <c r="O471"/>
      <c r="P471"/>
      <c r="Q471"/>
    </row>
    <row r="472" spans="1:17" s="3" customFormat="1">
      <c r="A472"/>
      <c r="B472"/>
      <c r="C472"/>
      <c r="D472"/>
      <c r="E472"/>
      <c r="F472"/>
      <c r="G472"/>
      <c r="H472"/>
      <c r="I472"/>
      <c r="J472"/>
      <c r="K472"/>
      <c r="L472"/>
      <c r="M472"/>
      <c r="N472"/>
      <c r="O472"/>
      <c r="P472"/>
      <c r="Q472"/>
    </row>
    <row r="473" spans="1:17" s="3" customFormat="1">
      <c r="A473"/>
      <c r="B473"/>
      <c r="C473"/>
      <c r="D473"/>
      <c r="E473"/>
      <c r="F473"/>
      <c r="G473"/>
      <c r="H473"/>
      <c r="I473"/>
      <c r="J473"/>
      <c r="K473"/>
      <c r="L473"/>
      <c r="M473"/>
      <c r="N473"/>
      <c r="O473"/>
      <c r="P473"/>
      <c r="Q473"/>
    </row>
    <row r="474" spans="1:17" s="3" customFormat="1">
      <c r="A474"/>
      <c r="B474"/>
      <c r="C474"/>
      <c r="D474"/>
      <c r="E474"/>
      <c r="F474"/>
      <c r="G474"/>
      <c r="H474"/>
      <c r="I474"/>
      <c r="J474"/>
      <c r="K474"/>
      <c r="L474"/>
      <c r="M474"/>
      <c r="N474"/>
      <c r="O474"/>
      <c r="P474"/>
      <c r="Q474"/>
    </row>
    <row r="475" spans="1:17" s="3" customFormat="1">
      <c r="A475"/>
      <c r="B475"/>
      <c r="C475"/>
      <c r="D475"/>
      <c r="E475"/>
      <c r="F475"/>
      <c r="G475"/>
      <c r="H475"/>
      <c r="I475"/>
      <c r="J475"/>
      <c r="K475"/>
      <c r="L475"/>
      <c r="M475"/>
      <c r="N475"/>
      <c r="O475"/>
      <c r="P475"/>
      <c r="Q475"/>
    </row>
    <row r="476" spans="1:17" s="3" customFormat="1">
      <c r="A476"/>
      <c r="B476"/>
      <c r="C476"/>
      <c r="D476"/>
      <c r="E476"/>
      <c r="F476"/>
      <c r="G476"/>
      <c r="H476"/>
      <c r="I476"/>
      <c r="J476"/>
      <c r="K476"/>
      <c r="L476"/>
      <c r="M476"/>
      <c r="N476"/>
      <c r="O476"/>
      <c r="P476"/>
      <c r="Q476"/>
    </row>
    <row r="477" spans="1:17" s="3" customFormat="1">
      <c r="A477"/>
      <c r="B477"/>
      <c r="C477"/>
      <c r="D477"/>
      <c r="E477"/>
      <c r="F477"/>
      <c r="G477"/>
      <c r="H477"/>
      <c r="I477"/>
      <c r="J477"/>
      <c r="K477"/>
      <c r="L477"/>
      <c r="M477"/>
      <c r="N477"/>
      <c r="O477"/>
      <c r="P477"/>
      <c r="Q477"/>
    </row>
    <row r="478" spans="1:17" s="3" customFormat="1">
      <c r="A478"/>
      <c r="B478"/>
      <c r="C478"/>
      <c r="D478"/>
      <c r="E478"/>
      <c r="F478"/>
      <c r="G478"/>
      <c r="H478"/>
      <c r="I478"/>
      <c r="J478"/>
      <c r="K478"/>
      <c r="L478"/>
      <c r="M478"/>
      <c r="N478"/>
      <c r="O478"/>
      <c r="P478"/>
      <c r="Q478"/>
    </row>
    <row r="479" spans="1:17" s="3" customFormat="1">
      <c r="A479"/>
      <c r="B479"/>
      <c r="C479"/>
      <c r="D479"/>
      <c r="E479"/>
      <c r="F479"/>
      <c r="G479"/>
      <c r="H479"/>
      <c r="I479"/>
      <c r="J479"/>
      <c r="K479"/>
      <c r="L479"/>
      <c r="M479"/>
      <c r="N479"/>
      <c r="O479"/>
      <c r="P479"/>
      <c r="Q479"/>
    </row>
    <row r="480" spans="1:17" s="3" customFormat="1">
      <c r="A480"/>
      <c r="B480"/>
      <c r="C480"/>
      <c r="D480"/>
      <c r="E480"/>
      <c r="F480"/>
      <c r="G480"/>
      <c r="H480"/>
      <c r="I480"/>
      <c r="J480"/>
      <c r="K480"/>
      <c r="L480"/>
      <c r="M480"/>
      <c r="N480"/>
      <c r="O480"/>
      <c r="P480"/>
      <c r="Q480"/>
    </row>
    <row r="481" spans="1:17" s="3" customFormat="1">
      <c r="A481"/>
      <c r="B481"/>
      <c r="C481"/>
      <c r="D481"/>
      <c r="E481"/>
      <c r="F481"/>
      <c r="G481"/>
      <c r="H481"/>
      <c r="I481"/>
      <c r="J481"/>
      <c r="K481"/>
      <c r="L481"/>
      <c r="M481"/>
      <c r="N481"/>
      <c r="O481"/>
      <c r="P481"/>
      <c r="Q481"/>
    </row>
    <row r="482" spans="1:17" s="3" customFormat="1">
      <c r="A482"/>
      <c r="B482"/>
      <c r="C482"/>
      <c r="D482"/>
      <c r="E482"/>
      <c r="F482"/>
      <c r="G482"/>
      <c r="H482"/>
      <c r="I482"/>
      <c r="J482"/>
      <c r="K482"/>
      <c r="L482"/>
      <c r="M482"/>
      <c r="N482"/>
      <c r="O482"/>
      <c r="P482"/>
      <c r="Q482"/>
    </row>
    <row r="483" spans="1:17" s="3" customFormat="1">
      <c r="A483"/>
      <c r="B483"/>
      <c r="C483"/>
      <c r="D483"/>
      <c r="E483"/>
      <c r="F483"/>
      <c r="G483"/>
      <c r="H483"/>
      <c r="I483"/>
      <c r="J483"/>
      <c r="K483"/>
      <c r="L483"/>
      <c r="M483"/>
      <c r="N483"/>
      <c r="O483"/>
      <c r="P483"/>
      <c r="Q483"/>
    </row>
    <row r="484" spans="1:17" s="3" customFormat="1">
      <c r="A484"/>
      <c r="B484"/>
      <c r="C484"/>
      <c r="D484"/>
      <c r="E484"/>
      <c r="F484"/>
      <c r="G484"/>
      <c r="H484"/>
      <c r="I484"/>
      <c r="J484"/>
      <c r="K484"/>
      <c r="L484"/>
      <c r="M484"/>
      <c r="N484"/>
      <c r="O484"/>
      <c r="P484"/>
      <c r="Q484"/>
    </row>
    <row r="485" spans="1:17" s="3" customFormat="1">
      <c r="A485"/>
      <c r="B485"/>
      <c r="C485"/>
      <c r="D485"/>
      <c r="E485"/>
      <c r="F485"/>
      <c r="G485"/>
      <c r="H485"/>
      <c r="I485"/>
      <c r="J485"/>
      <c r="K485"/>
      <c r="L485"/>
      <c r="M485"/>
      <c r="N485"/>
      <c r="O485"/>
      <c r="P485"/>
      <c r="Q485"/>
    </row>
    <row r="486" spans="1:17" s="3" customFormat="1">
      <c r="A486"/>
      <c r="B486"/>
      <c r="C486"/>
      <c r="D486"/>
      <c r="E486"/>
      <c r="F486"/>
      <c r="G486"/>
      <c r="H486"/>
      <c r="I486"/>
      <c r="J486"/>
      <c r="K486"/>
      <c r="L486"/>
      <c r="M486"/>
      <c r="N486"/>
      <c r="O486"/>
      <c r="P486"/>
      <c r="Q486"/>
    </row>
    <row r="487" spans="1:17" s="3" customFormat="1">
      <c r="A487"/>
      <c r="B487"/>
      <c r="C487"/>
      <c r="D487"/>
      <c r="E487"/>
      <c r="F487"/>
      <c r="G487"/>
      <c r="H487"/>
      <c r="I487"/>
      <c r="J487"/>
      <c r="K487"/>
      <c r="L487"/>
      <c r="M487"/>
      <c r="N487"/>
      <c r="O487"/>
      <c r="P487"/>
      <c r="Q487"/>
    </row>
    <row r="488" spans="1:17" s="3" customFormat="1">
      <c r="A488"/>
      <c r="B488"/>
      <c r="C488"/>
      <c r="D488"/>
      <c r="E488"/>
      <c r="F488"/>
      <c r="G488"/>
      <c r="H488"/>
      <c r="I488"/>
      <c r="J488"/>
      <c r="K488"/>
      <c r="L488"/>
      <c r="M488"/>
      <c r="N488"/>
      <c r="O488"/>
      <c r="P488"/>
      <c r="Q488"/>
    </row>
    <row r="489" spans="1:17" s="3" customFormat="1">
      <c r="A489"/>
      <c r="B489"/>
      <c r="C489"/>
      <c r="D489"/>
      <c r="E489"/>
      <c r="F489"/>
      <c r="G489"/>
      <c r="H489"/>
      <c r="I489"/>
      <c r="J489"/>
      <c r="K489"/>
      <c r="L489"/>
      <c r="M489"/>
      <c r="N489"/>
      <c r="O489"/>
      <c r="P489"/>
      <c r="Q489"/>
    </row>
    <row r="490" spans="1:17" s="3" customFormat="1">
      <c r="A490"/>
      <c r="B490"/>
      <c r="C490"/>
      <c r="D490"/>
      <c r="E490"/>
      <c r="F490"/>
      <c r="G490"/>
      <c r="H490"/>
      <c r="I490"/>
      <c r="J490"/>
      <c r="K490"/>
      <c r="L490"/>
      <c r="M490"/>
      <c r="N490"/>
      <c r="O490"/>
      <c r="P490"/>
      <c r="Q490"/>
    </row>
    <row r="491" spans="1:17" s="3" customFormat="1">
      <c r="A491"/>
      <c r="B491"/>
      <c r="C491"/>
      <c r="D491"/>
      <c r="E491"/>
      <c r="F491"/>
      <c r="G491"/>
      <c r="H491"/>
      <c r="I491"/>
      <c r="J491"/>
      <c r="K491"/>
      <c r="L491"/>
      <c r="M491"/>
      <c r="N491"/>
      <c r="O491"/>
      <c r="P491"/>
      <c r="Q491"/>
    </row>
    <row r="492" spans="1:17" s="3" customFormat="1">
      <c r="A492"/>
      <c r="B492"/>
      <c r="C492"/>
      <c r="D492"/>
      <c r="E492"/>
      <c r="F492"/>
      <c r="G492"/>
      <c r="H492"/>
      <c r="I492"/>
      <c r="J492"/>
      <c r="K492"/>
      <c r="L492"/>
      <c r="M492"/>
      <c r="N492"/>
      <c r="O492"/>
      <c r="P492"/>
      <c r="Q492"/>
    </row>
    <row r="493" spans="1:17" s="3" customFormat="1">
      <c r="A493"/>
      <c r="B493"/>
      <c r="C493"/>
      <c r="D493"/>
      <c r="E493"/>
      <c r="F493"/>
      <c r="G493"/>
      <c r="H493"/>
      <c r="I493"/>
      <c r="J493"/>
      <c r="K493"/>
      <c r="L493"/>
      <c r="M493"/>
      <c r="N493"/>
      <c r="O493"/>
      <c r="P493"/>
      <c r="Q493"/>
    </row>
    <row r="494" spans="1:17" s="3" customFormat="1">
      <c r="A494"/>
      <c r="B494"/>
      <c r="C494"/>
      <c r="D494"/>
      <c r="E494"/>
      <c r="F494"/>
      <c r="G494"/>
      <c r="H494"/>
      <c r="I494"/>
      <c r="J494"/>
      <c r="K494"/>
      <c r="L494"/>
      <c r="M494"/>
      <c r="N494"/>
      <c r="O494"/>
      <c r="P494"/>
      <c r="Q494"/>
    </row>
    <row r="495" spans="1:17" s="3" customFormat="1">
      <c r="A495"/>
      <c r="B495"/>
      <c r="C495"/>
      <c r="D495"/>
      <c r="E495"/>
      <c r="F495"/>
      <c r="G495"/>
      <c r="H495"/>
      <c r="I495"/>
      <c r="J495"/>
      <c r="K495"/>
      <c r="L495"/>
      <c r="M495"/>
      <c r="N495"/>
      <c r="O495"/>
      <c r="P495"/>
      <c r="Q495"/>
    </row>
    <row r="496" spans="1:17" s="3" customFormat="1">
      <c r="A496"/>
      <c r="B496"/>
      <c r="C496"/>
      <c r="D496"/>
      <c r="E496"/>
      <c r="F496"/>
      <c r="G496"/>
      <c r="H496"/>
      <c r="I496"/>
      <c r="J496"/>
      <c r="K496"/>
      <c r="L496"/>
      <c r="M496"/>
      <c r="N496"/>
      <c r="O496"/>
      <c r="P496"/>
      <c r="Q496"/>
    </row>
    <row r="497" spans="1:17" s="3" customFormat="1">
      <c r="A497"/>
      <c r="B497"/>
      <c r="C497"/>
      <c r="D497"/>
      <c r="E497"/>
      <c r="F497"/>
      <c r="G497"/>
      <c r="H497"/>
      <c r="I497"/>
      <c r="J497"/>
      <c r="K497"/>
      <c r="L497"/>
      <c r="M497"/>
      <c r="N497"/>
      <c r="O497"/>
      <c r="P497"/>
      <c r="Q497"/>
    </row>
    <row r="498" spans="1:17" s="3" customFormat="1">
      <c r="A498"/>
      <c r="B498"/>
      <c r="C498"/>
      <c r="D498"/>
      <c r="E498"/>
      <c r="F498"/>
      <c r="G498"/>
      <c r="H498"/>
      <c r="I498"/>
      <c r="J498"/>
      <c r="K498"/>
      <c r="L498"/>
      <c r="M498"/>
      <c r="N498"/>
      <c r="O498"/>
      <c r="P498"/>
      <c r="Q498"/>
    </row>
    <row r="499" spans="1:17" s="3" customFormat="1">
      <c r="A499"/>
      <c r="B499"/>
      <c r="C499"/>
      <c r="D499"/>
      <c r="E499"/>
      <c r="F499"/>
      <c r="G499"/>
      <c r="H499"/>
      <c r="I499"/>
      <c r="J499"/>
      <c r="K499"/>
      <c r="L499"/>
      <c r="M499"/>
      <c r="N499"/>
      <c r="O499"/>
      <c r="P499"/>
      <c r="Q499"/>
    </row>
    <row r="500" spans="1:17" s="3" customFormat="1">
      <c r="A500"/>
      <c r="B500"/>
      <c r="C500"/>
      <c r="D500"/>
      <c r="E500"/>
      <c r="F500"/>
      <c r="G500"/>
      <c r="H500"/>
      <c r="I500"/>
      <c r="J500"/>
      <c r="K500"/>
      <c r="L500"/>
      <c r="M500"/>
      <c r="N500"/>
      <c r="O500"/>
      <c r="P500"/>
      <c r="Q500"/>
    </row>
    <row r="501" spans="1:17" s="3" customFormat="1">
      <c r="A501"/>
      <c r="B501"/>
      <c r="C501"/>
      <c r="D501"/>
      <c r="E501"/>
      <c r="F501"/>
      <c r="G501"/>
      <c r="H501"/>
      <c r="I501"/>
      <c r="J501"/>
      <c r="K501"/>
      <c r="L501"/>
      <c r="M501"/>
      <c r="N501"/>
      <c r="O501"/>
      <c r="P501"/>
      <c r="Q501"/>
    </row>
    <row r="502" spans="1:17" s="3" customFormat="1">
      <c r="A502"/>
      <c r="B502"/>
      <c r="C502"/>
      <c r="D502"/>
      <c r="E502"/>
      <c r="F502"/>
      <c r="G502"/>
      <c r="H502"/>
      <c r="I502"/>
      <c r="J502"/>
      <c r="K502"/>
      <c r="L502"/>
      <c r="M502"/>
      <c r="N502"/>
      <c r="O502"/>
      <c r="P502"/>
      <c r="Q502"/>
    </row>
    <row r="503" spans="1:17" s="3" customFormat="1">
      <c r="A503"/>
      <c r="B503"/>
      <c r="C503"/>
      <c r="D503"/>
      <c r="E503"/>
      <c r="F503"/>
      <c r="G503"/>
      <c r="H503"/>
      <c r="I503"/>
      <c r="J503"/>
      <c r="K503"/>
      <c r="L503"/>
      <c r="M503"/>
      <c r="N503"/>
      <c r="O503"/>
      <c r="P503"/>
      <c r="Q503"/>
    </row>
    <row r="504" spans="1:17" s="3" customFormat="1">
      <c r="A504"/>
      <c r="B504"/>
      <c r="C504"/>
      <c r="D504"/>
      <c r="E504"/>
      <c r="F504"/>
      <c r="G504"/>
      <c r="H504"/>
      <c r="I504"/>
      <c r="J504"/>
      <c r="K504"/>
      <c r="L504"/>
      <c r="M504"/>
      <c r="N504"/>
      <c r="O504"/>
      <c r="P504"/>
      <c r="Q504"/>
    </row>
    <row r="505" spans="1:17" s="3" customFormat="1">
      <c r="A505"/>
      <c r="B505"/>
      <c r="C505"/>
      <c r="D505"/>
      <c r="E505"/>
      <c r="F505"/>
      <c r="G505"/>
      <c r="H505"/>
      <c r="I505"/>
      <c r="J505"/>
      <c r="K505"/>
      <c r="L505"/>
      <c r="M505"/>
      <c r="N505"/>
      <c r="O505"/>
      <c r="P505"/>
      <c r="Q505"/>
    </row>
    <row r="506" spans="1:17" s="3" customFormat="1">
      <c r="A506"/>
      <c r="B506"/>
      <c r="C506"/>
      <c r="D506"/>
      <c r="E506"/>
      <c r="F506"/>
      <c r="G506"/>
      <c r="H506"/>
      <c r="I506"/>
      <c r="J506"/>
      <c r="K506"/>
      <c r="L506"/>
      <c r="M506"/>
      <c r="N506"/>
      <c r="O506"/>
      <c r="P506"/>
      <c r="Q506"/>
    </row>
    <row r="507" spans="1:17" s="3" customFormat="1">
      <c r="A507"/>
      <c r="B507"/>
      <c r="C507"/>
      <c r="D507"/>
      <c r="E507"/>
      <c r="F507"/>
      <c r="G507"/>
      <c r="H507"/>
      <c r="I507"/>
      <c r="J507"/>
      <c r="K507"/>
      <c r="L507"/>
      <c r="M507"/>
      <c r="N507"/>
      <c r="O507"/>
      <c r="P507"/>
      <c r="Q507"/>
    </row>
    <row r="508" spans="1:17" s="3" customFormat="1">
      <c r="A508"/>
      <c r="B508"/>
      <c r="C508"/>
      <c r="D508"/>
      <c r="E508"/>
      <c r="F508"/>
      <c r="G508"/>
      <c r="H508"/>
      <c r="I508"/>
      <c r="J508"/>
      <c r="K508"/>
      <c r="L508"/>
      <c r="M508"/>
      <c r="N508"/>
      <c r="O508"/>
      <c r="P508"/>
      <c r="Q508"/>
    </row>
    <row r="509" spans="1:17" s="3" customFormat="1">
      <c r="A509"/>
      <c r="B509"/>
      <c r="C509"/>
      <c r="D509"/>
      <c r="E509"/>
      <c r="F509"/>
      <c r="G509"/>
      <c r="H509"/>
      <c r="I509"/>
      <c r="J509"/>
      <c r="K509"/>
      <c r="L509"/>
      <c r="M509"/>
      <c r="N509"/>
      <c r="O509"/>
      <c r="P509"/>
      <c r="Q509"/>
    </row>
    <row r="510" spans="1:17" s="3" customFormat="1">
      <c r="A510"/>
      <c r="B510"/>
      <c r="C510"/>
      <c r="D510"/>
      <c r="E510"/>
      <c r="F510"/>
      <c r="G510"/>
      <c r="H510"/>
      <c r="I510"/>
      <c r="J510"/>
      <c r="K510"/>
      <c r="L510"/>
      <c r="M510"/>
      <c r="N510"/>
      <c r="O510"/>
      <c r="P510"/>
      <c r="Q510"/>
    </row>
    <row r="511" spans="1:17" s="3" customFormat="1">
      <c r="A511"/>
      <c r="B511"/>
      <c r="C511"/>
      <c r="D511"/>
      <c r="E511"/>
      <c r="F511"/>
      <c r="G511"/>
      <c r="H511"/>
      <c r="I511"/>
      <c r="J511"/>
      <c r="K511"/>
      <c r="L511"/>
      <c r="M511"/>
      <c r="N511"/>
      <c r="O511"/>
      <c r="P511"/>
      <c r="Q511"/>
    </row>
    <row r="512" spans="1:17" s="3" customFormat="1">
      <c r="A512"/>
      <c r="B512"/>
      <c r="C512"/>
      <c r="D512"/>
      <c r="E512"/>
      <c r="F512"/>
      <c r="G512"/>
      <c r="H512"/>
      <c r="I512"/>
      <c r="J512"/>
      <c r="K512"/>
      <c r="L512"/>
      <c r="M512"/>
      <c r="N512"/>
      <c r="O512"/>
      <c r="P512"/>
      <c r="Q512"/>
    </row>
    <row r="513" spans="1:17" s="3" customFormat="1">
      <c r="A513"/>
      <c r="B513"/>
      <c r="C513"/>
      <c r="D513"/>
      <c r="E513"/>
      <c r="F513"/>
      <c r="G513"/>
      <c r="H513"/>
      <c r="I513"/>
      <c r="J513"/>
      <c r="K513"/>
      <c r="L513"/>
      <c r="M513"/>
      <c r="N513"/>
      <c r="O513"/>
      <c r="P513"/>
      <c r="Q513"/>
    </row>
    <row r="514" spans="1:17" s="3" customFormat="1">
      <c r="A514"/>
      <c r="B514"/>
      <c r="C514"/>
      <c r="D514"/>
      <c r="E514"/>
      <c r="F514"/>
      <c r="G514"/>
      <c r="H514"/>
      <c r="I514"/>
      <c r="J514"/>
      <c r="K514"/>
      <c r="L514"/>
      <c r="M514"/>
      <c r="N514"/>
      <c r="O514"/>
      <c r="P514"/>
      <c r="Q514"/>
    </row>
    <row r="515" spans="1:17" s="3" customFormat="1">
      <c r="A515"/>
      <c r="B515"/>
      <c r="C515"/>
      <c r="D515"/>
      <c r="E515"/>
      <c r="F515"/>
      <c r="G515"/>
      <c r="H515"/>
      <c r="I515"/>
      <c r="J515"/>
      <c r="K515"/>
      <c r="L515"/>
      <c r="M515"/>
      <c r="N515"/>
      <c r="O515"/>
      <c r="P515"/>
      <c r="Q515"/>
    </row>
    <row r="516" spans="1:17" s="3" customFormat="1">
      <c r="A516"/>
      <c r="B516"/>
      <c r="C516"/>
      <c r="D516"/>
      <c r="E516"/>
      <c r="F516"/>
      <c r="G516"/>
      <c r="H516"/>
      <c r="I516"/>
      <c r="J516"/>
      <c r="K516"/>
      <c r="L516"/>
      <c r="M516"/>
      <c r="N516"/>
      <c r="O516"/>
      <c r="P516"/>
      <c r="Q516"/>
    </row>
    <row r="517" spans="1:17" s="3" customFormat="1">
      <c r="A517"/>
      <c r="B517"/>
      <c r="C517"/>
      <c r="D517"/>
      <c r="E517"/>
      <c r="F517"/>
      <c r="G517"/>
      <c r="H517"/>
      <c r="I517"/>
      <c r="J517"/>
      <c r="K517"/>
      <c r="L517"/>
      <c r="M517"/>
      <c r="N517"/>
      <c r="O517"/>
      <c r="P517"/>
      <c r="Q517"/>
    </row>
    <row r="518" spans="1:17" s="3" customFormat="1">
      <c r="A518"/>
      <c r="B518"/>
      <c r="C518"/>
      <c r="D518"/>
      <c r="E518"/>
      <c r="F518"/>
      <c r="G518"/>
      <c r="H518"/>
      <c r="I518"/>
      <c r="J518"/>
      <c r="K518"/>
      <c r="L518"/>
      <c r="M518"/>
      <c r="N518"/>
      <c r="O518"/>
      <c r="P518"/>
      <c r="Q518"/>
    </row>
    <row r="519" spans="1:17" s="3" customFormat="1">
      <c r="A519"/>
      <c r="B519"/>
      <c r="C519"/>
      <c r="D519"/>
      <c r="E519"/>
      <c r="F519"/>
      <c r="G519"/>
      <c r="H519"/>
      <c r="I519"/>
      <c r="J519"/>
      <c r="K519"/>
      <c r="L519"/>
      <c r="M519"/>
      <c r="N519"/>
      <c r="O519"/>
      <c r="P519"/>
      <c r="Q519"/>
    </row>
    <row r="520" spans="1:17" s="3" customFormat="1">
      <c r="A520"/>
      <c r="B520"/>
      <c r="C520"/>
      <c r="D520"/>
      <c r="E520"/>
      <c r="F520"/>
      <c r="G520"/>
      <c r="H520"/>
      <c r="I520"/>
      <c r="J520"/>
      <c r="K520"/>
      <c r="L520"/>
      <c r="M520"/>
      <c r="N520"/>
      <c r="O520"/>
      <c r="P520"/>
      <c r="Q520"/>
    </row>
    <row r="521" spans="1:17" s="3" customFormat="1">
      <c r="A521"/>
      <c r="B521"/>
      <c r="C521"/>
      <c r="D521"/>
      <c r="E521"/>
      <c r="F521"/>
      <c r="G521"/>
      <c r="H521"/>
      <c r="I521"/>
      <c r="J521"/>
      <c r="K521"/>
      <c r="L521"/>
      <c r="M521"/>
      <c r="N521"/>
      <c r="O521"/>
      <c r="P521"/>
      <c r="Q521"/>
    </row>
    <row r="522" spans="1:17" s="3" customFormat="1">
      <c r="A522"/>
      <c r="B522"/>
      <c r="C522"/>
      <c r="D522"/>
      <c r="E522"/>
      <c r="F522"/>
      <c r="G522"/>
      <c r="H522"/>
      <c r="I522"/>
      <c r="J522"/>
      <c r="K522"/>
      <c r="L522"/>
      <c r="M522"/>
      <c r="N522"/>
      <c r="O522"/>
      <c r="P522"/>
      <c r="Q522"/>
    </row>
    <row r="523" spans="1:17" s="3" customFormat="1">
      <c r="A523"/>
      <c r="B523"/>
      <c r="C523"/>
      <c r="D523"/>
      <c r="E523"/>
      <c r="F523"/>
      <c r="G523"/>
      <c r="H523"/>
      <c r="I523"/>
      <c r="J523"/>
      <c r="K523"/>
      <c r="L523"/>
      <c r="M523"/>
      <c r="N523"/>
      <c r="O523"/>
      <c r="P523"/>
      <c r="Q523"/>
    </row>
    <row r="524" spans="1:17" s="3" customFormat="1">
      <c r="A524"/>
      <c r="B524"/>
      <c r="C524"/>
      <c r="D524"/>
      <c r="E524"/>
      <c r="F524"/>
      <c r="G524"/>
      <c r="H524"/>
      <c r="I524"/>
      <c r="J524"/>
      <c r="K524"/>
      <c r="L524"/>
      <c r="M524"/>
      <c r="N524"/>
      <c r="O524"/>
      <c r="P524"/>
      <c r="Q524"/>
    </row>
    <row r="525" spans="1:17" s="3" customFormat="1">
      <c r="A525"/>
      <c r="B525"/>
      <c r="C525"/>
      <c r="D525"/>
      <c r="E525"/>
      <c r="F525"/>
      <c r="G525"/>
      <c r="H525"/>
      <c r="I525"/>
      <c r="J525"/>
      <c r="K525"/>
      <c r="L525"/>
      <c r="M525"/>
      <c r="N525"/>
      <c r="O525"/>
      <c r="P525"/>
      <c r="Q525"/>
    </row>
    <row r="526" spans="1:17" s="3" customFormat="1">
      <c r="A526"/>
      <c r="B526"/>
      <c r="C526"/>
      <c r="D526"/>
      <c r="E526"/>
      <c r="F526"/>
      <c r="G526"/>
      <c r="H526"/>
      <c r="I526"/>
      <c r="J526"/>
      <c r="K526"/>
      <c r="L526"/>
      <c r="M526"/>
      <c r="N526"/>
      <c r="O526"/>
      <c r="P526"/>
      <c r="Q526"/>
    </row>
    <row r="527" spans="1:17" s="3" customFormat="1">
      <c r="A527"/>
      <c r="B527"/>
      <c r="C527"/>
      <c r="D527"/>
      <c r="E527"/>
      <c r="F527"/>
      <c r="G527"/>
      <c r="H527"/>
      <c r="I527"/>
      <c r="J527"/>
      <c r="K527"/>
      <c r="L527"/>
      <c r="M527"/>
      <c r="N527"/>
      <c r="O527"/>
      <c r="P527"/>
      <c r="Q527"/>
    </row>
    <row r="528" spans="1:17" s="3" customFormat="1">
      <c r="A528"/>
      <c r="B528"/>
      <c r="C528"/>
      <c r="D528"/>
      <c r="E528"/>
      <c r="F528"/>
      <c r="G528"/>
      <c r="H528"/>
      <c r="I528"/>
      <c r="J528"/>
      <c r="K528"/>
      <c r="L528"/>
      <c r="M528"/>
      <c r="N528"/>
      <c r="O528"/>
      <c r="P528"/>
      <c r="Q528"/>
    </row>
    <row r="529" spans="1:17" s="3" customFormat="1">
      <c r="A529"/>
      <c r="B529"/>
      <c r="C529"/>
      <c r="D529"/>
      <c r="E529"/>
      <c r="F529"/>
      <c r="G529"/>
      <c r="H529"/>
      <c r="I529"/>
      <c r="J529"/>
      <c r="K529"/>
      <c r="L529"/>
      <c r="M529"/>
      <c r="N529"/>
      <c r="O529"/>
      <c r="P529"/>
      <c r="Q529"/>
    </row>
    <row r="530" spans="1:17" s="3" customFormat="1">
      <c r="A530"/>
      <c r="B530"/>
      <c r="C530"/>
      <c r="D530"/>
      <c r="E530"/>
      <c r="F530"/>
      <c r="G530"/>
      <c r="H530"/>
      <c r="I530"/>
      <c r="J530"/>
      <c r="K530"/>
      <c r="L530"/>
      <c r="M530"/>
      <c r="N530"/>
      <c r="O530"/>
      <c r="P530"/>
      <c r="Q530"/>
    </row>
    <row r="531" spans="1:17" s="3" customFormat="1">
      <c r="A531"/>
      <c r="B531"/>
      <c r="C531"/>
      <c r="D531"/>
      <c r="E531"/>
      <c r="F531"/>
      <c r="G531"/>
      <c r="H531"/>
      <c r="I531"/>
      <c r="J531"/>
      <c r="K531"/>
      <c r="L531"/>
      <c r="M531"/>
      <c r="N531"/>
      <c r="O531"/>
      <c r="P531"/>
      <c r="Q531"/>
    </row>
    <row r="532" spans="1:17" s="3" customFormat="1">
      <c r="A532"/>
      <c r="B532"/>
      <c r="C532"/>
      <c r="D532"/>
      <c r="E532"/>
      <c r="F532"/>
      <c r="G532"/>
      <c r="H532"/>
      <c r="I532"/>
      <c r="J532"/>
      <c r="K532"/>
      <c r="L532"/>
      <c r="M532"/>
      <c r="N532"/>
      <c r="O532"/>
      <c r="P532"/>
      <c r="Q532"/>
    </row>
  </sheetData>
  <dataValidations count="6">
    <dataValidation type="list" allowBlank="1" showInputMessage="1" showErrorMessage="1" sqref="D2" xr:uid="{EACE573C-BE71-034E-97F4-7AC7A7772AA6}">
      <formula1>LISTE_GROUPES_FAUTIFS</formula1>
    </dataValidation>
    <dataValidation type="list" allowBlank="1" showErrorMessage="1" sqref="B2" xr:uid="{73020A62-FDD6-354B-A717-A5D2BA660A7A}">
      <formula1>LISTE_MT_JOURNAL</formula1>
    </dataValidation>
    <dataValidation type="list" allowBlank="1" showErrorMessage="1" sqref="C2" xr:uid="{A63EEF22-56A5-7141-B67B-AFA6C1C6A663}">
      <formula1>LISTE_JOUEURS_JOURNAL</formula1>
    </dataValidation>
    <dataValidation type="list" allowBlank="1" showErrorMessage="1" sqref="E2" xr:uid="{A0BEA3C6-4328-2043-8B71-B7C79EF8CA76}">
      <formula1>LISTE_ACTIONS_JOURNAL</formula1>
    </dataValidation>
    <dataValidation type="list" allowBlank="1" showErrorMessage="1" sqref="G2" xr:uid="{667E2E6B-C10B-0D43-B27E-246833AC07BA}">
      <formula1>LISTE_EQUIPES_JOURNAL</formula1>
    </dataValidation>
    <dataValidation type="list" allowBlank="1" showErrorMessage="1" sqref="F2" xr:uid="{A87F7051-2F11-0B4D-8D43-2C33A4E9F982}">
      <formula1>LISTE_MOTIFS_PENALITE</formula1>
    </dataValidation>
  </dataValidations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C63DC8-76B4-9049-BF68-DAFA0D483B40}">
  <sheetPr codeName="Feuil10"/>
  <dimension ref="A1:AK1056"/>
  <sheetViews>
    <sheetView topLeftCell="A19" workbookViewId="0">
      <selection activeCell="E39" sqref="E39"/>
    </sheetView>
    <sheetView workbookViewId="1"/>
  </sheetViews>
  <sheetFormatPr baseColWidth="10" defaultRowHeight="13"/>
  <cols>
    <col min="1" max="1" width="12.83203125" style="3" customWidth="1"/>
    <col min="2" max="2" width="25.1640625" bestFit="1" customWidth="1"/>
    <col min="3" max="3" width="8.83203125" customWidth="1"/>
    <col min="7" max="7" width="11.6640625" customWidth="1"/>
    <col min="8" max="9" width="11.33203125" customWidth="1"/>
    <col min="10" max="10" width="11.83203125" customWidth="1"/>
    <col min="11" max="11" width="11.6640625" customWidth="1"/>
    <col min="19" max="19" width="11.6640625" customWidth="1"/>
    <col min="20" max="20" width="14" customWidth="1"/>
    <col min="21" max="22" width="10.83203125" style="3"/>
    <col min="23" max="23" width="12.33203125" style="3" bestFit="1" customWidth="1"/>
    <col min="24" max="24" width="13.83203125" style="3" bestFit="1" customWidth="1"/>
    <col min="25" max="30" width="10.83203125" style="3"/>
    <col min="31" max="31" width="15.6640625" style="3" customWidth="1"/>
    <col min="32" max="33" width="10.83203125" style="3"/>
  </cols>
  <sheetData>
    <row r="1" spans="2:37" s="3" customFormat="1"/>
    <row r="2" spans="2:37" s="3" customFormat="1"/>
    <row r="3" spans="2:37" s="3" customFormat="1" ht="20" customHeight="1">
      <c r="B3" s="259" t="str">
        <f>"Stats par joueur - Match "&amp;IF(MATCH_PHASE="Aller","A",IF(MATCH_PHASE="Retour","R","PF"))&amp;MATCH_JOURNEE&amp;IF(MATCH_LIEU="Extérieur"," : "&amp;MATCH_ADV&amp;" / "&amp;MATCH_NOUS," : "&amp;MATCH_NOUS&amp;" / "&amp;MATCH_ADV)&amp;" "&amp;MATCH_CAT</f>
        <v>Stats par joueur - Match A4 : RC Muret / MXV Première</v>
      </c>
      <c r="C3" s="260"/>
      <c r="D3" s="260"/>
      <c r="E3" s="260"/>
      <c r="F3" s="260"/>
      <c r="G3" s="260"/>
      <c r="H3" s="260"/>
      <c r="I3" s="260"/>
      <c r="J3" s="260"/>
      <c r="K3" s="260"/>
      <c r="L3" s="260"/>
      <c r="M3" s="260"/>
      <c r="N3" s="260"/>
      <c r="O3" s="260"/>
      <c r="P3" s="260"/>
      <c r="Q3" s="260"/>
      <c r="R3" s="260"/>
      <c r="S3" s="260"/>
      <c r="T3" s="261"/>
    </row>
    <row r="4" spans="2:37" s="3" customFormat="1" ht="20" customHeight="1">
      <c r="B4" s="262"/>
      <c r="C4" s="263"/>
      <c r="D4" s="263"/>
      <c r="E4" s="263"/>
      <c r="F4" s="263"/>
      <c r="G4" s="263"/>
      <c r="H4" s="263"/>
      <c r="I4" s="263"/>
      <c r="J4" s="263"/>
      <c r="K4" s="263"/>
      <c r="L4" s="263"/>
      <c r="M4" s="263"/>
      <c r="N4" s="263"/>
      <c r="O4" s="263"/>
      <c r="P4" s="263"/>
      <c r="Q4" s="263"/>
      <c r="R4" s="263"/>
      <c r="S4" s="263"/>
      <c r="T4" s="264"/>
    </row>
    <row r="5" spans="2:37" s="3" customFormat="1"/>
    <row r="6" spans="2:37" ht="14" customHeight="1">
      <c r="B6" s="255" t="s">
        <v>14</v>
      </c>
      <c r="C6" s="229" t="str">
        <f>ACT_PL_NORMAL</f>
        <v>Plaquage normal</v>
      </c>
      <c r="D6" s="227"/>
      <c r="E6" s="229" t="str">
        <f>ACT_PL_OFF</f>
        <v>Plaquage offensif</v>
      </c>
      <c r="F6" s="227"/>
      <c r="G6" s="229" t="str">
        <f>ACT_PL_RATE</f>
        <v>Plaquage raté</v>
      </c>
      <c r="H6" s="227"/>
      <c r="I6" s="229" t="str">
        <f>ACT_PL_A2</f>
        <v>Plaquage à 2</v>
      </c>
      <c r="J6" s="241"/>
      <c r="K6" s="241" t="str">
        <f>ACT_PL_HAUT</f>
        <v>Plaquage haut</v>
      </c>
      <c r="L6" s="227"/>
      <c r="M6" s="241" t="s">
        <v>10</v>
      </c>
      <c r="N6" s="227"/>
      <c r="O6" s="241" t="str">
        <f>ACT_FRANCHISSEMENT</f>
        <v>Franchissement</v>
      </c>
      <c r="P6" s="227"/>
      <c r="Q6" s="241" t="str">
        <f>ACT_AVANCEE</f>
        <v>Avancée au contact</v>
      </c>
      <c r="R6" s="227"/>
      <c r="S6" s="241" t="str">
        <f>ACT_ATT_NULLE</f>
        <v>Recul ou sans progression</v>
      </c>
      <c r="T6" s="227"/>
      <c r="U6" s="230" t="s">
        <v>231</v>
      </c>
      <c r="V6" s="231"/>
      <c r="W6" s="231"/>
      <c r="X6" s="231"/>
      <c r="Y6" s="231"/>
      <c r="Z6" s="232"/>
      <c r="AF6"/>
      <c r="AG6"/>
    </row>
    <row r="7" spans="2:37" ht="13" customHeight="1">
      <c r="B7" s="256"/>
      <c r="C7" s="49" t="s">
        <v>46</v>
      </c>
      <c r="D7" s="50" t="s">
        <v>44</v>
      </c>
      <c r="E7" s="51" t="s">
        <v>46</v>
      </c>
      <c r="F7" s="51" t="s">
        <v>44</v>
      </c>
      <c r="G7" s="49" t="s">
        <v>46</v>
      </c>
      <c r="H7" s="50" t="s">
        <v>44</v>
      </c>
      <c r="I7" s="49" t="s">
        <v>46</v>
      </c>
      <c r="J7" s="50" t="s">
        <v>44</v>
      </c>
      <c r="K7" s="49" t="s">
        <v>46</v>
      </c>
      <c r="L7" s="50" t="s">
        <v>44</v>
      </c>
      <c r="M7" s="51" t="s">
        <v>46</v>
      </c>
      <c r="N7" s="50" t="s">
        <v>44</v>
      </c>
      <c r="O7" s="51" t="s">
        <v>46</v>
      </c>
      <c r="P7" s="50" t="s">
        <v>44</v>
      </c>
      <c r="Q7" s="51" t="s">
        <v>46</v>
      </c>
      <c r="R7" s="50" t="s">
        <v>44</v>
      </c>
      <c r="S7" s="51" t="s">
        <v>46</v>
      </c>
      <c r="T7" s="50" t="s">
        <v>44</v>
      </c>
      <c r="U7" s="67" t="str">
        <f>ACT_PEN_MAUL</f>
        <v>Maul</v>
      </c>
      <c r="V7" s="67" t="str">
        <f>ACT_PEN_HORS_JEU</f>
        <v>Hors-jeu</v>
      </c>
      <c r="W7" s="67" t="str">
        <f>ACT_PEN_PL_A_2</f>
        <v>Plaquage à 2</v>
      </c>
      <c r="X7" s="67" t="str">
        <f>ACT_PEN_PL_HAUT</f>
        <v>Plaquage haut</v>
      </c>
      <c r="Y7" s="67" t="str">
        <f>ACT_PEN_RUCK</f>
        <v>Ruck</v>
      </c>
      <c r="Z7" s="67" t="str">
        <f>ACT_PEN_UNKNOWN</f>
        <v>?</v>
      </c>
      <c r="AF7"/>
      <c r="AG7"/>
    </row>
    <row r="8" spans="2:37">
      <c r="B8" s="28" t="str" cm="1">
        <f t="array" ref="B8:B29">IFERROR(_xlfn._xlws.SORT(_xlfn._xlws.FILTER(COMPO[Nom du joueur],(COMPO[Nom du joueur]&lt;&gt;"")*(COMPO[Nom du joueur]&lt;&gt;"Collectif")*(COMPO[Nom du joueur]&lt;&gt;"?"))),"")</f>
        <v>ABADIE Emeric</v>
      </c>
      <c r="C8" s="33" t="str">
        <f>IF(COUNTIFS(JournalActions[Joueur],$B8,JournalActions[Action],$C$6,JournalActions[Mi-temps],C$7)=0,"",COUNTIFS(JournalActions[Joueur],$B8,JournalActions[Action],$C$6,JournalActions[Mi-temps],C$7))</f>
        <v/>
      </c>
      <c r="D8" s="34" t="str">
        <f>IF(COUNTIFS(JournalActions[Joueur],$B8,JournalActions[Action],$C$6,JournalActions[Mi-temps],D$7)=0,"",COUNTIFS(JournalActions[Joueur],$B8,JournalActions[Action],$C$6,JournalActions[Mi-temps],D$7))</f>
        <v/>
      </c>
      <c r="E8" s="33" t="str">
        <f>IF(COUNTIFS(JournalActions[Joueur],$B8,JournalActions[Action],$E$6,JournalActions[Mi-temps],E$7)=0,"",COUNTIFS(JournalActions[Joueur],$B8,JournalActions[Action],$E$6,JournalActions[Mi-temps],E$7))</f>
        <v/>
      </c>
      <c r="F8" s="35" t="str">
        <f>IF(COUNTIFS(JournalActions[Joueur],$B8,JournalActions[Action],$E$6,JournalActions[Mi-temps],F$7)=0,"",COUNTIFS(JournalActions[Joueur],$B8,JournalActions[Action],$E$6,JournalActions[Mi-temps],F$7))</f>
        <v/>
      </c>
      <c r="G8" s="33" t="str">
        <f>IF(COUNTIFS(JournalActions[Joueur],$B8,JournalActions[Action],$G$6,JournalActions[Mi-temps],G$7)=0,"",COUNTIFS(JournalActions[Joueur],$B8,JournalActions[Action],$G$6,JournalActions[Mi-temps],G$7))</f>
        <v/>
      </c>
      <c r="H8" s="34" t="str">
        <f>IF(COUNTIFS(JournalActions[Joueur],$B8,JournalActions[Action],$G$6,JournalActions[Mi-temps],H$7)=0,"",COUNTIFS(JournalActions[Joueur],$B8,JournalActions[Action],$G$6,JournalActions[Mi-temps],H$7))</f>
        <v/>
      </c>
      <c r="I8" s="33" t="str">
        <f>IF(COUNTIFS(JournalActions[Joueur],$B8,JournalActions[Action],$I$6,JournalActions[Mi-temps],I$7)=0,"",COUNTIFS(JournalActions[Joueur],$B8,JournalActions[Action],$I$6,JournalActions[Mi-temps],I$7))</f>
        <v/>
      </c>
      <c r="J8" s="34" t="str">
        <f>IF(COUNTIFS(JournalActions[Joueur],$B8,JournalActions[Action],$I$6,JournalActions[Mi-temps],J$7)=0,"",COUNTIFS(JournalActions[Joueur],$B8,JournalActions[Action],$I$6,JournalActions[Mi-temps],J$7))</f>
        <v/>
      </c>
      <c r="K8" s="33" t="str">
        <f>IF(COUNTIFS(JournalActions[Joueur],$B8,JournalActions[Action],$K$6,JournalActions[Mi-temps],K$7)=0,"",COUNTIFS(JournalActions[Joueur],$B8,JournalActions[Action],$K$6,JournalActions[Mi-temps],K$7))</f>
        <v/>
      </c>
      <c r="L8" s="34" t="str">
        <f>IF(COUNTIFS(JournalActions[Joueur],$B8,JournalActions[Action],$K$6,JournalActions[Mi-temps],L$7)=0,"",COUNTIFS(JournalActions[Joueur],$B8,JournalActions[Action],$K$6,JournalActions[Mi-temps],L$7))</f>
        <v/>
      </c>
      <c r="M8" s="33" t="str">
        <f>IF(COUNTIFS(JournalActions[Joueur],$B8,JournalActions[Action],ACT_GRATTAGE_NS,JournalActions[Mi-temps],M$7)=0,"",COUNTIFS(JournalActions[Joueur],$B8,JournalActions[Action],ACT_GRATTAGE_NS,JournalActions[Mi-temps],M$7))</f>
        <v/>
      </c>
      <c r="N8" s="34" t="str">
        <f>IF(COUNTIFS(JournalActions[Joueur],$B8,JournalActions[Action],ACT_GRATTAGE_NS,JournalActions[Mi-temps],N$7)=0,"",COUNTIFS(JournalActions[Joueur],$B8,JournalActions[Action],ACT_GRATTAGE_NS,JournalActions[Mi-temps],N$7))</f>
        <v/>
      </c>
      <c r="O8" s="33" t="str">
        <f>IF(COUNTIFS(JournalActions[Joueur],$B8,JournalActions[Action],$O$6,JournalActions[Mi-temps],O$7)=0,"",COUNTIFS(JournalActions[Joueur],$B8,JournalActions[Action],$O$6,JournalActions[Mi-temps],O$7))</f>
        <v/>
      </c>
      <c r="P8" s="34" t="str">
        <f>IF(COUNTIFS(JournalActions[Joueur],$B8,JournalActions[Action],$O$6,JournalActions[Mi-temps],P$7)=0,"",COUNTIFS(JournalActions[Joueur],$B8,JournalActions[Action],$O$6,JournalActions[Mi-temps],P$7))</f>
        <v/>
      </c>
      <c r="Q8" s="33" t="str">
        <f>IF(COUNTIFS(JournalActions[Joueur],$B8,JournalActions[Action],$Q$6,JournalActions[Mi-temps],Q$7)=0,"",COUNTIFS(JournalActions[Joueur],$B8,JournalActions[Action],$Q$6,JournalActions[Mi-temps],Q$7))</f>
        <v/>
      </c>
      <c r="R8" s="34" t="str">
        <f>IF(COUNTIFS(JournalActions[Joueur],$B8,JournalActions[Action],$Q$6,JournalActions[Mi-temps],R$7)=0,"",COUNTIFS(JournalActions[Joueur],$B8,JournalActions[Action],$Q$6,JournalActions[Mi-temps],R$7))</f>
        <v/>
      </c>
      <c r="S8" s="33" t="str">
        <f>IF(COUNTIFS(JournalActions[Joueur],$B8,JournalActions[Action],$S$6,JournalActions[Mi-temps],S$7)=0,"",COUNTIFS(JournalActions[Joueur],$B8,JournalActions[Action],$S$6,JournalActions[Mi-temps],S$7))</f>
        <v/>
      </c>
      <c r="T8" s="34" t="str">
        <f>IF(COUNTIFS(JournalActions[Joueur],$B8,JournalActions[Action],$S$6,JournalActions[Mi-temps],T$7)=0,"",COUNTIFS(JournalActions[Joueur],$B8,JournalActions[Action],$S$6,JournalActions[Mi-temps],T$7))</f>
        <v/>
      </c>
      <c r="U8" s="61" t="str">
        <f>IF(COUNTIFS(JournalActions[Joueur],$B8,JournalActions[Action],ACT_PEN_CONTRE_NOUS,JournalActions[Motif penalite],U$7)=0,"",COUNTIFS(JournalActions[Joueur],$B8,JournalActions[Action],ACT_PEN_CONTRE_NOUS,JournalActions[Motif penalite],U$7))</f>
        <v/>
      </c>
      <c r="V8" s="61" t="str">
        <f>IF(COUNTIFS(JournalActions[[Joueur]:[Joueur]],$B8,JournalActions[[Action]:[Action]],ACT_PEN_CONTRE_NOUS,JournalActions[[Motif penalite]:[Motif penalite]],ACT_PEN_HORS_JEU)=0,"",COUNTIFS(JournalActions[[Joueur]:[Joueur]],$B8,JournalActions[[Action]:[Action]],ACT_PEN_CONTRE_NOUS,JournalActions[[Motif penalite]:[Motif penalite]],ACT_PEN_HORS_JEU))</f>
        <v/>
      </c>
      <c r="W8" s="61" t="str">
        <f>IF(COUNTIFS(JournalActions[[Joueur]:[Joueur]],$B8,JournalActions[[Action]:[Action]],ACT_PEN_CONTRE_NOUS,JournalActions[[Motif penalite]:[Motif penalite]],ACT_PEN_PL_A_2)=0,"",COUNTIFS(JournalActions[[Joueur]:[Joueur]],$B8,JournalActions[[Action]:[Action]],ACT_PEN_CONTRE_NOUS,JournalActions[[Motif penalite]:[Motif penalite]],ACT_PEN_PL_A_2))</f>
        <v/>
      </c>
      <c r="X8" s="61" t="str">
        <f>IF(COUNTIFS(JournalActions[[Joueur]:[Joueur]],$B8,JournalActions[[Action]:[Action]],ACT_PEN_CONTRE_NOUS,JournalActions[[Motif penalite]:[Motif penalite]],ACT_PEN_PL_HAUT)=0,"",COUNTIFS(JournalActions[[Joueur]:[Joueur]],$B8,JournalActions[[Action]:[Action]],ACT_PEN_CONTRE_NOUS,JournalActions[[Motif penalite]:[Motif penalite]],ACT_PEN_PL_HAUT))</f>
        <v/>
      </c>
      <c r="Y8" s="61" t="str">
        <f>IF(COUNTIFS(JournalActions[[Joueur]:[Joueur]],$B8,JournalActions[[Action]:[Action]],ACT_PEN_CONTRE_NOUS,JournalActions[[Motif penalite]:[Motif penalite]],ACT_PEN_RUCK)=0,"",COUNTIFS(JournalActions[[Joueur]:[Joueur]],$B8,JournalActions[[Action]:[Action]],ACT_PEN_CONTRE_NOUS,JournalActions[[Motif penalite]:[Motif penalite]],ACT_PEN_RUCK))</f>
        <v/>
      </c>
      <c r="Z8" s="61" t="str">
        <f>IF(COUNTIFS(JournalActions[[Joueur]:[Joueur]],$B8,JournalActions[[Action]:[Action]],ACT_PEN_CONTRE_NOUS,JournalActions[[Motif penalite]:[Motif penalite]],"?")=0,"",COUNTIFS(JournalActions[[Joueur]:[Joueur]],$B8,JournalActions[[Action]:[Action]],ACT_PEN_CONTRE_NOUS,JournalActions[[Motif penalite]:[Motif penalite]],"?"))</f>
        <v/>
      </c>
      <c r="AF8"/>
      <c r="AG8"/>
    </row>
    <row r="9" spans="2:37">
      <c r="B9" s="28" t="str">
        <v>ABADIE Quentin</v>
      </c>
      <c r="C9" s="28" t="str">
        <f>IF(COUNTIFS(JournalActions[Joueur],$B9,JournalActions[Action],$C$6,JournalActions[Mi-temps],C$7)=0,"",COUNTIFS(JournalActions[Joueur],$B9,JournalActions[Action],$C$6,JournalActions[Mi-temps],C$7))</f>
        <v/>
      </c>
      <c r="D9" s="29" t="str">
        <f>IF(COUNTIFS(JournalActions[Joueur],$B9,JournalActions[Action],$C$6,JournalActions[Mi-temps],D$7)=0,"",COUNTIFS(JournalActions[Joueur],$B9,JournalActions[Action],$C$6,JournalActions[Mi-temps],D$7))</f>
        <v/>
      </c>
      <c r="E9" t="str">
        <f>IF(COUNTIFS(JournalActions[Joueur],$B9,JournalActions[Action],$E$6,JournalActions[Mi-temps],E$7)=0,"",COUNTIFS(JournalActions[Joueur],$B9,JournalActions[Action],$E$6,JournalActions[Mi-temps],E$7))</f>
        <v/>
      </c>
      <c r="F9" t="str">
        <f>IF(COUNTIFS(JournalActions[Joueur],$B9,JournalActions[Action],$E$6,JournalActions[Mi-temps],F$7)=0,"",COUNTIFS(JournalActions[Joueur],$B9,JournalActions[Action],$E$6,JournalActions[Mi-temps],F$7))</f>
        <v/>
      </c>
      <c r="G9" s="28" t="str">
        <f>IF(COUNTIFS(JournalActions[Joueur],$B9,JournalActions[Action],$G$6,JournalActions[Mi-temps],G$7)=0,"",COUNTIFS(JournalActions[Joueur],$B9,JournalActions[Action],$G$6,JournalActions[Mi-temps],G$7))</f>
        <v/>
      </c>
      <c r="H9" s="29" t="str">
        <f>IF(COUNTIFS(JournalActions[Joueur],$B9,JournalActions[Action],$G$6,JournalActions[Mi-temps],H$7)=0,"",COUNTIFS(JournalActions[Joueur],$B9,JournalActions[Action],$G$6,JournalActions[Mi-temps],H$7))</f>
        <v/>
      </c>
      <c r="I9" t="str">
        <f>IF(COUNTIFS(JournalActions[Joueur],$B9,JournalActions[Action],$I$6,JournalActions[Mi-temps],I$7)=0,"",COUNTIFS(JournalActions[Joueur],$B9,JournalActions[Action],$I$6,JournalActions[Mi-temps],I$7))</f>
        <v/>
      </c>
      <c r="J9" t="str">
        <f>IF(COUNTIFS(JournalActions[Joueur],$B9,JournalActions[Action],$I$6,JournalActions[Mi-temps],J$7)=0,"",COUNTIFS(JournalActions[Joueur],$B9,JournalActions[Action],$I$6,JournalActions[Mi-temps],J$7))</f>
        <v/>
      </c>
      <c r="K9" s="28" t="str">
        <f>IF(COUNTIFS(JournalActions[Joueur],$B9,JournalActions[Action],$K$6,JournalActions[Mi-temps],K$7)=0,"",COUNTIFS(JournalActions[Joueur],$B9,JournalActions[Action],$K$6,JournalActions[Mi-temps],K$7))</f>
        <v/>
      </c>
      <c r="L9" t="str">
        <f>IF(COUNTIFS(JournalActions[Joueur],$B9,JournalActions[Action],$K$6,JournalActions[Mi-temps],L$7)=0,"",COUNTIFS(JournalActions[Joueur],$B9,JournalActions[Action],$K$6,JournalActions[Mi-temps],L$7))</f>
        <v/>
      </c>
      <c r="M9" s="28" t="str">
        <f>IF(COUNTIFS(JournalActions[Joueur],$B9,JournalActions[Action],ACT_GRATTAGE_NS,JournalActions[Mi-temps],M$7)=0,"",COUNTIFS(JournalActions[Joueur],$B9,JournalActions[Action],ACT_GRATTAGE_NS,JournalActions[Mi-temps],M$7))</f>
        <v/>
      </c>
      <c r="N9" s="29" t="str">
        <f>IF(COUNTIFS(JournalActions[Joueur],$B9,JournalActions[Action],ACT_GRATTAGE_NS,JournalActions[Mi-temps],N$7)=0,"",COUNTIFS(JournalActions[Joueur],$B9,JournalActions[Action],ACT_GRATTAGE_NS,JournalActions[Mi-temps],N$7))</f>
        <v/>
      </c>
      <c r="O9" s="28" t="str">
        <f>IF(COUNTIFS(JournalActions[Joueur],$B9,JournalActions[Action],$O$6,JournalActions[Mi-temps],O$7)=0,"",COUNTIFS(JournalActions[Joueur],$B9,JournalActions[Action],$O$6,JournalActions[Mi-temps],O$7))</f>
        <v/>
      </c>
      <c r="P9" s="29" t="str">
        <f>IF(COUNTIFS(JournalActions[Joueur],$B9,JournalActions[Action],$O$6,JournalActions[Mi-temps],P$7)=0,"",COUNTIFS(JournalActions[Joueur],$B9,JournalActions[Action],$O$6,JournalActions[Mi-temps],P$7))</f>
        <v/>
      </c>
      <c r="Q9" s="28" t="str">
        <f>IF(COUNTIFS(JournalActions[Joueur],$B9,JournalActions[Action],$Q$6,JournalActions[Mi-temps],Q$7)=0,"",COUNTIFS(JournalActions[Joueur],$B9,JournalActions[Action],$Q$6,JournalActions[Mi-temps],Q$7))</f>
        <v/>
      </c>
      <c r="R9" s="29" t="str">
        <f>IF(COUNTIFS(JournalActions[Joueur],$B9,JournalActions[Action],$Q$6,JournalActions[Mi-temps],R$7)=0,"",COUNTIFS(JournalActions[Joueur],$B9,JournalActions[Action],$Q$6,JournalActions[Mi-temps],R$7))</f>
        <v/>
      </c>
      <c r="S9" s="28" t="str">
        <f>IF(COUNTIFS(JournalActions[Joueur],$B9,JournalActions[Action],$S$6,JournalActions[Mi-temps],S$7)=0,"",COUNTIFS(JournalActions[Joueur],$B9,JournalActions[Action],$S$6,JournalActions[Mi-temps],S$7))</f>
        <v/>
      </c>
      <c r="T9" s="29" t="str">
        <f>IF(COUNTIFS(JournalActions[Joueur],$B9,JournalActions[Action],$S$6,JournalActions[Mi-temps],T$7)=0,"",COUNTIFS(JournalActions[Joueur],$B9,JournalActions[Action],$S$6,JournalActions[Mi-temps],T$7))</f>
        <v/>
      </c>
      <c r="U9" s="68" t="str">
        <f>IF(COUNTIFS(JournalActions[Joueur],$B9,JournalActions[Action],ACT_PEN_CONTRE_NOUS,JournalActions[Motif penalite],U$7)=0,"",COUNTIFS(JournalActions[Joueur],$B9,JournalActions[Action],ACT_PEN_CONTRE_NOUS,JournalActions[Motif penalite],U$7))</f>
        <v/>
      </c>
      <c r="V9" s="68" t="str">
        <f>IF(COUNTIFS(JournalActions[[Joueur]:[Joueur]],$B9,JournalActions[[Action]:[Action]],ACT_PEN_CONTRE_NOUS,JournalActions[[Motif penalite]:[Motif penalite]],ACT_PEN_HORS_JEU)=0,"",COUNTIFS(JournalActions[[Joueur]:[Joueur]],$B9,JournalActions[[Action]:[Action]],ACT_PEN_CONTRE_NOUS,JournalActions[[Motif penalite]:[Motif penalite]],ACT_PEN_HORS_JEU))</f>
        <v/>
      </c>
      <c r="W9" s="68" t="str">
        <f>IF(COUNTIFS(JournalActions[[Joueur]:[Joueur]],$B9,JournalActions[[Action]:[Action]],ACT_PEN_CONTRE_NOUS,JournalActions[[Motif penalite]:[Motif penalite]],ACT_PEN_PL_A_2)=0,"",COUNTIFS(JournalActions[[Joueur]:[Joueur]],$B9,JournalActions[[Action]:[Action]],ACT_PEN_CONTRE_NOUS,JournalActions[[Motif penalite]:[Motif penalite]],ACT_PEN_PL_A_2))</f>
        <v/>
      </c>
      <c r="X9" s="68" t="str">
        <f>IF(COUNTIFS(JournalActions[[Joueur]:[Joueur]],$B9,JournalActions[[Action]:[Action]],ACT_PEN_CONTRE_NOUS,JournalActions[[Motif penalite]:[Motif penalite]],ACT_PEN_PL_HAUT)=0,"",COUNTIFS(JournalActions[[Joueur]:[Joueur]],$B9,JournalActions[[Action]:[Action]],ACT_PEN_CONTRE_NOUS,JournalActions[[Motif penalite]:[Motif penalite]],ACT_PEN_PL_HAUT))</f>
        <v/>
      </c>
      <c r="Y9" s="68" t="str">
        <f>IF(COUNTIFS(JournalActions[[Joueur]:[Joueur]],$B9,JournalActions[[Action]:[Action]],ACT_PEN_CONTRE_NOUS,JournalActions[[Motif penalite]:[Motif penalite]],ACT_PEN_RUCK)=0,"",COUNTIFS(JournalActions[[Joueur]:[Joueur]],$B9,JournalActions[[Action]:[Action]],ACT_PEN_CONTRE_NOUS,JournalActions[[Motif penalite]:[Motif penalite]],ACT_PEN_RUCK))</f>
        <v/>
      </c>
      <c r="Z9" s="68" t="str">
        <f>IF(COUNTIFS(JournalActions[[Joueur]:[Joueur]],$B9,JournalActions[[Action]:[Action]],ACT_PEN_CONTRE_NOUS,JournalActions[[Motif penalite]:[Motif penalite]],"?")=0,"",COUNTIFS(JournalActions[[Joueur]:[Joueur]],$B9,JournalActions[[Action]:[Action]],ACT_PEN_CONTRE_NOUS,JournalActions[[Motif penalite]:[Motif penalite]],"?"))</f>
        <v/>
      </c>
      <c r="AF9"/>
      <c r="AG9"/>
    </row>
    <row r="10" spans="2:37">
      <c r="B10" s="28" t="str">
        <v>ABADIE Thomas</v>
      </c>
      <c r="C10" s="28" t="str">
        <f>IF(COUNTIFS(JournalActions[Joueur],$B10,JournalActions[Action],$C$6,JournalActions[Mi-temps],C$7)=0,"",COUNTIFS(JournalActions[Joueur],$B10,JournalActions[Action],$C$6,JournalActions[Mi-temps],C$7))</f>
        <v/>
      </c>
      <c r="D10" s="29" t="str">
        <f>IF(COUNTIFS(JournalActions[Joueur],$B10,JournalActions[Action],$C$6,JournalActions[Mi-temps],D$7)=0,"",COUNTIFS(JournalActions[Joueur],$B10,JournalActions[Action],$C$6,JournalActions[Mi-temps],D$7))</f>
        <v/>
      </c>
      <c r="E10" t="str">
        <f>IF(COUNTIFS(JournalActions[Joueur],$B10,JournalActions[Action],$E$6,JournalActions[Mi-temps],E$7)=0,"",COUNTIFS(JournalActions[Joueur],$B10,JournalActions[Action],$E$6,JournalActions[Mi-temps],E$7))</f>
        <v/>
      </c>
      <c r="F10" t="str">
        <f>IF(COUNTIFS(JournalActions[Joueur],$B10,JournalActions[Action],$E$6,JournalActions[Mi-temps],F$7)=0,"",COUNTIFS(JournalActions[Joueur],$B10,JournalActions[Action],$E$6,JournalActions[Mi-temps],F$7))</f>
        <v/>
      </c>
      <c r="G10" s="28" t="str">
        <f>IF(COUNTIFS(JournalActions[Joueur],$B10,JournalActions[Action],$G$6,JournalActions[Mi-temps],G$7)=0,"",COUNTIFS(JournalActions[Joueur],$B10,JournalActions[Action],$G$6,JournalActions[Mi-temps],G$7))</f>
        <v/>
      </c>
      <c r="H10" s="29" t="str">
        <f>IF(COUNTIFS(JournalActions[Joueur],$B10,JournalActions[Action],$G$6,JournalActions[Mi-temps],H$7)=0,"",COUNTIFS(JournalActions[Joueur],$B10,JournalActions[Action],$G$6,JournalActions[Mi-temps],H$7))</f>
        <v/>
      </c>
      <c r="I10" t="str">
        <f>IF(COUNTIFS(JournalActions[Joueur],$B10,JournalActions[Action],$I$6,JournalActions[Mi-temps],I$7)=0,"",COUNTIFS(JournalActions[Joueur],$B10,JournalActions[Action],$I$6,JournalActions[Mi-temps],I$7))</f>
        <v/>
      </c>
      <c r="J10" t="str">
        <f>IF(COUNTIFS(JournalActions[Joueur],$B10,JournalActions[Action],$I$6,JournalActions[Mi-temps],J$7)=0,"",COUNTIFS(JournalActions[Joueur],$B10,JournalActions[Action],$I$6,JournalActions[Mi-temps],J$7))</f>
        <v/>
      </c>
      <c r="K10" s="28" t="str">
        <f>IF(COUNTIFS(JournalActions[Joueur],$B10,JournalActions[Action],$K$6,JournalActions[Mi-temps],K$7)=0,"",COUNTIFS(JournalActions[Joueur],$B10,JournalActions[Action],$K$6,JournalActions[Mi-temps],K$7))</f>
        <v/>
      </c>
      <c r="L10" t="str">
        <f>IF(COUNTIFS(JournalActions[Joueur],$B10,JournalActions[Action],$K$6,JournalActions[Mi-temps],L$7)=0,"",COUNTIFS(JournalActions[Joueur],$B10,JournalActions[Action],$K$6,JournalActions[Mi-temps],L$7))</f>
        <v/>
      </c>
      <c r="M10" s="28" t="str">
        <f>IF(COUNTIFS(JournalActions[Joueur],$B10,JournalActions[Action],ACT_GRATTAGE_NS,JournalActions[Mi-temps],M$7)=0,"",COUNTIFS(JournalActions[Joueur],$B10,JournalActions[Action],ACT_GRATTAGE_NS,JournalActions[Mi-temps],M$7))</f>
        <v/>
      </c>
      <c r="N10" s="29" t="str">
        <f>IF(COUNTIFS(JournalActions[Joueur],$B10,JournalActions[Action],ACT_GRATTAGE_NS,JournalActions[Mi-temps],N$7)=0,"",COUNTIFS(JournalActions[Joueur],$B10,JournalActions[Action],ACT_GRATTAGE_NS,JournalActions[Mi-temps],N$7))</f>
        <v/>
      </c>
      <c r="O10" s="28" t="str">
        <f>IF(COUNTIFS(JournalActions[Joueur],$B10,JournalActions[Action],$O$6,JournalActions[Mi-temps],O$7)=0,"",COUNTIFS(JournalActions[Joueur],$B10,JournalActions[Action],$O$6,JournalActions[Mi-temps],O$7))</f>
        <v/>
      </c>
      <c r="P10" s="29" t="str">
        <f>IF(COUNTIFS(JournalActions[Joueur],$B10,JournalActions[Action],$O$6,JournalActions[Mi-temps],P$7)=0,"",COUNTIFS(JournalActions[Joueur],$B10,JournalActions[Action],$O$6,JournalActions[Mi-temps],P$7))</f>
        <v/>
      </c>
      <c r="Q10" s="28" t="str">
        <f>IF(COUNTIFS(JournalActions[Joueur],$B10,JournalActions[Action],$Q$6,JournalActions[Mi-temps],Q$7)=0,"",COUNTIFS(JournalActions[Joueur],$B10,JournalActions[Action],$Q$6,JournalActions[Mi-temps],Q$7))</f>
        <v/>
      </c>
      <c r="R10" s="29" t="str">
        <f>IF(COUNTIFS(JournalActions[Joueur],$B10,JournalActions[Action],$Q$6,JournalActions[Mi-temps],R$7)=0,"",COUNTIFS(JournalActions[Joueur],$B10,JournalActions[Action],$Q$6,JournalActions[Mi-temps],R$7))</f>
        <v/>
      </c>
      <c r="S10" s="28" t="str">
        <f>IF(COUNTIFS(JournalActions[Joueur],$B10,JournalActions[Action],$S$6,JournalActions[Mi-temps],S$7)=0,"",COUNTIFS(JournalActions[Joueur],$B10,JournalActions[Action],$S$6,JournalActions[Mi-temps],S$7))</f>
        <v/>
      </c>
      <c r="T10" s="29" t="str">
        <f>IF(COUNTIFS(JournalActions[Joueur],$B10,JournalActions[Action],$S$6,JournalActions[Mi-temps],T$7)=0,"",COUNTIFS(JournalActions[Joueur],$B10,JournalActions[Action],$S$6,JournalActions[Mi-temps],T$7))</f>
        <v/>
      </c>
      <c r="U10" s="68" t="str">
        <f>IF(COUNTIFS(JournalActions[Joueur],$B10,JournalActions[Action],ACT_PEN_CONTRE_NOUS,JournalActions[Motif penalite],U$7)=0,"",COUNTIFS(JournalActions[Joueur],$B10,JournalActions[Action],ACT_PEN_CONTRE_NOUS,JournalActions[Motif penalite],U$7))</f>
        <v/>
      </c>
      <c r="V10" s="68" t="str">
        <f>IF(COUNTIFS(JournalActions[[Joueur]:[Joueur]],$B10,JournalActions[[Action]:[Action]],ACT_PEN_CONTRE_NOUS,JournalActions[[Motif penalite]:[Motif penalite]],ACT_PEN_HORS_JEU)=0,"",COUNTIFS(JournalActions[[Joueur]:[Joueur]],$B10,JournalActions[[Action]:[Action]],ACT_PEN_CONTRE_NOUS,JournalActions[[Motif penalite]:[Motif penalite]],ACT_PEN_HORS_JEU))</f>
        <v/>
      </c>
      <c r="W10" s="68" t="str">
        <f>IF(COUNTIFS(JournalActions[[Joueur]:[Joueur]],$B10,JournalActions[[Action]:[Action]],ACT_PEN_CONTRE_NOUS,JournalActions[[Motif penalite]:[Motif penalite]],ACT_PEN_PL_A_2)=0,"",COUNTIFS(JournalActions[[Joueur]:[Joueur]],$B10,JournalActions[[Action]:[Action]],ACT_PEN_CONTRE_NOUS,JournalActions[[Motif penalite]:[Motif penalite]],ACT_PEN_PL_A_2))</f>
        <v/>
      </c>
      <c r="X10" s="68" t="str">
        <f>IF(COUNTIFS(JournalActions[[Joueur]:[Joueur]],$B10,JournalActions[[Action]:[Action]],ACT_PEN_CONTRE_NOUS,JournalActions[[Motif penalite]:[Motif penalite]],ACT_PEN_PL_HAUT)=0,"",COUNTIFS(JournalActions[[Joueur]:[Joueur]],$B10,JournalActions[[Action]:[Action]],ACT_PEN_CONTRE_NOUS,JournalActions[[Motif penalite]:[Motif penalite]],ACT_PEN_PL_HAUT))</f>
        <v/>
      </c>
      <c r="Y10" s="68" t="str">
        <f>IF(COUNTIFS(JournalActions[[Joueur]:[Joueur]],$B10,JournalActions[[Action]:[Action]],ACT_PEN_CONTRE_NOUS,JournalActions[[Motif penalite]:[Motif penalite]],ACT_PEN_RUCK)=0,"",COUNTIFS(JournalActions[[Joueur]:[Joueur]],$B10,JournalActions[[Action]:[Action]],ACT_PEN_CONTRE_NOUS,JournalActions[[Motif penalite]:[Motif penalite]],ACT_PEN_RUCK))</f>
        <v/>
      </c>
      <c r="Z10" s="68" t="str">
        <f>IF(COUNTIFS(JournalActions[[Joueur]:[Joueur]],$B10,JournalActions[[Action]:[Action]],ACT_PEN_CONTRE_NOUS,JournalActions[[Motif penalite]:[Motif penalite]],"?")=0,"",COUNTIFS(JournalActions[[Joueur]:[Joueur]],$B10,JournalActions[[Action]:[Action]],ACT_PEN_CONTRE_NOUS,JournalActions[[Motif penalite]:[Motif penalite]],"?"))</f>
        <v/>
      </c>
      <c r="AF10"/>
      <c r="AG10"/>
    </row>
    <row r="11" spans="2:37">
      <c r="B11" s="28" t="str">
        <v>BARATGIN Julian</v>
      </c>
      <c r="C11" s="28" t="str">
        <f>IF(COUNTIFS(JournalActions[Joueur],$B11,JournalActions[Action],$C$6,JournalActions[Mi-temps],C$7)=0,"",COUNTIFS(JournalActions[Joueur],$B11,JournalActions[Action],$C$6,JournalActions[Mi-temps],C$7))</f>
        <v/>
      </c>
      <c r="D11" s="29" t="str">
        <f>IF(COUNTIFS(JournalActions[Joueur],$B11,JournalActions[Action],$C$6,JournalActions[Mi-temps],D$7)=0,"",COUNTIFS(JournalActions[Joueur],$B11,JournalActions[Action],$C$6,JournalActions[Mi-temps],D$7))</f>
        <v/>
      </c>
      <c r="E11" t="str">
        <f>IF(COUNTIFS(JournalActions[Joueur],$B11,JournalActions[Action],$E$6,JournalActions[Mi-temps],E$7)=0,"",COUNTIFS(JournalActions[Joueur],$B11,JournalActions[Action],$E$6,JournalActions[Mi-temps],E$7))</f>
        <v/>
      </c>
      <c r="F11" t="str">
        <f>IF(COUNTIFS(JournalActions[Joueur],$B11,JournalActions[Action],$E$6,JournalActions[Mi-temps],F$7)=0,"",COUNTIFS(JournalActions[Joueur],$B11,JournalActions[Action],$E$6,JournalActions[Mi-temps],F$7))</f>
        <v/>
      </c>
      <c r="G11" s="28" t="str">
        <f>IF(COUNTIFS(JournalActions[Joueur],$B11,JournalActions[Action],$G$6,JournalActions[Mi-temps],G$7)=0,"",COUNTIFS(JournalActions[Joueur],$B11,JournalActions[Action],$G$6,JournalActions[Mi-temps],G$7))</f>
        <v/>
      </c>
      <c r="H11" s="29" t="str">
        <f>IF(COUNTIFS(JournalActions[Joueur],$B11,JournalActions[Action],$G$6,JournalActions[Mi-temps],H$7)=0,"",COUNTIFS(JournalActions[Joueur],$B11,JournalActions[Action],$G$6,JournalActions[Mi-temps],H$7))</f>
        <v/>
      </c>
      <c r="I11" t="str">
        <f>IF(COUNTIFS(JournalActions[Joueur],$B11,JournalActions[Action],$I$6,JournalActions[Mi-temps],I$7)=0,"",COUNTIFS(JournalActions[Joueur],$B11,JournalActions[Action],$I$6,JournalActions[Mi-temps],I$7))</f>
        <v/>
      </c>
      <c r="J11" t="str">
        <f>IF(COUNTIFS(JournalActions[Joueur],$B11,JournalActions[Action],$I$6,JournalActions[Mi-temps],J$7)=0,"",COUNTIFS(JournalActions[Joueur],$B11,JournalActions[Action],$I$6,JournalActions[Mi-temps],J$7))</f>
        <v/>
      </c>
      <c r="K11" s="28" t="str">
        <f>IF(COUNTIFS(JournalActions[Joueur],$B11,JournalActions[Action],$K$6,JournalActions[Mi-temps],K$7)=0,"",COUNTIFS(JournalActions[Joueur],$B11,JournalActions[Action],$K$6,JournalActions[Mi-temps],K$7))</f>
        <v/>
      </c>
      <c r="L11" t="str">
        <f>IF(COUNTIFS(JournalActions[Joueur],$B11,JournalActions[Action],$K$6,JournalActions[Mi-temps],L$7)=0,"",COUNTIFS(JournalActions[Joueur],$B11,JournalActions[Action],$K$6,JournalActions[Mi-temps],L$7))</f>
        <v/>
      </c>
      <c r="M11" s="28" t="str">
        <f>IF(COUNTIFS(JournalActions[Joueur],$B11,JournalActions[Action],ACT_GRATTAGE_NS,JournalActions[Mi-temps],M$7)=0,"",COUNTIFS(JournalActions[Joueur],$B11,JournalActions[Action],ACT_GRATTAGE_NS,JournalActions[Mi-temps],M$7))</f>
        <v/>
      </c>
      <c r="N11" s="29" t="str">
        <f>IF(COUNTIFS(JournalActions[Joueur],$B11,JournalActions[Action],ACT_GRATTAGE_NS,JournalActions[Mi-temps],N$7)=0,"",COUNTIFS(JournalActions[Joueur],$B11,JournalActions[Action],ACT_GRATTAGE_NS,JournalActions[Mi-temps],N$7))</f>
        <v/>
      </c>
      <c r="O11" s="28" t="str">
        <f>IF(COUNTIFS(JournalActions[Joueur],$B11,JournalActions[Action],$O$6,JournalActions[Mi-temps],O$7)=0,"",COUNTIFS(JournalActions[Joueur],$B11,JournalActions[Action],$O$6,JournalActions[Mi-temps],O$7))</f>
        <v/>
      </c>
      <c r="P11" s="29" t="str">
        <f>IF(COUNTIFS(JournalActions[Joueur],$B11,JournalActions[Action],$O$6,JournalActions[Mi-temps],P$7)=0,"",COUNTIFS(JournalActions[Joueur],$B11,JournalActions[Action],$O$6,JournalActions[Mi-temps],P$7))</f>
        <v/>
      </c>
      <c r="Q11" s="28" t="str">
        <f>IF(COUNTIFS(JournalActions[Joueur],$B11,JournalActions[Action],$Q$6,JournalActions[Mi-temps],Q$7)=0,"",COUNTIFS(JournalActions[Joueur],$B11,JournalActions[Action],$Q$6,JournalActions[Mi-temps],Q$7))</f>
        <v/>
      </c>
      <c r="R11" s="29" t="str">
        <f>IF(COUNTIFS(JournalActions[Joueur],$B11,JournalActions[Action],$Q$6,JournalActions[Mi-temps],R$7)=0,"",COUNTIFS(JournalActions[Joueur],$B11,JournalActions[Action],$Q$6,JournalActions[Mi-temps],R$7))</f>
        <v/>
      </c>
      <c r="S11" s="28" t="str">
        <f>IF(COUNTIFS(JournalActions[Joueur],$B11,JournalActions[Action],$S$6,JournalActions[Mi-temps],S$7)=0,"",COUNTIFS(JournalActions[Joueur],$B11,JournalActions[Action],$S$6,JournalActions[Mi-temps],S$7))</f>
        <v/>
      </c>
      <c r="T11" s="29" t="str">
        <f>IF(COUNTIFS(JournalActions[Joueur],$B11,JournalActions[Action],$S$6,JournalActions[Mi-temps],T$7)=0,"",COUNTIFS(JournalActions[Joueur],$B11,JournalActions[Action],$S$6,JournalActions[Mi-temps],T$7))</f>
        <v/>
      </c>
      <c r="U11" s="68" t="str">
        <f>IF(COUNTIFS(JournalActions[Joueur],$B11,JournalActions[Action],ACT_PEN_CONTRE_NOUS,JournalActions[Motif penalite],U$7)=0,"",COUNTIFS(JournalActions[Joueur],$B11,JournalActions[Action],ACT_PEN_CONTRE_NOUS,JournalActions[Motif penalite],U$7))</f>
        <v/>
      </c>
      <c r="V11" s="68" t="str">
        <f>IF(COUNTIFS(JournalActions[[Joueur]:[Joueur]],$B11,JournalActions[[Action]:[Action]],ACT_PEN_CONTRE_NOUS,JournalActions[[Motif penalite]:[Motif penalite]],ACT_PEN_HORS_JEU)=0,"",COUNTIFS(JournalActions[[Joueur]:[Joueur]],$B11,JournalActions[[Action]:[Action]],ACT_PEN_CONTRE_NOUS,JournalActions[[Motif penalite]:[Motif penalite]],ACT_PEN_HORS_JEU))</f>
        <v/>
      </c>
      <c r="W11" s="68" t="str">
        <f>IF(COUNTIFS(JournalActions[[Joueur]:[Joueur]],$B11,JournalActions[[Action]:[Action]],ACT_PEN_CONTRE_NOUS,JournalActions[[Motif penalite]:[Motif penalite]],ACT_PEN_PL_A_2)=0,"",COUNTIFS(JournalActions[[Joueur]:[Joueur]],$B11,JournalActions[[Action]:[Action]],ACT_PEN_CONTRE_NOUS,JournalActions[[Motif penalite]:[Motif penalite]],ACT_PEN_PL_A_2))</f>
        <v/>
      </c>
      <c r="X11" s="68" t="str">
        <f>IF(COUNTIFS(JournalActions[[Joueur]:[Joueur]],$B11,JournalActions[[Action]:[Action]],ACT_PEN_CONTRE_NOUS,JournalActions[[Motif penalite]:[Motif penalite]],ACT_PEN_PL_HAUT)=0,"",COUNTIFS(JournalActions[[Joueur]:[Joueur]],$B11,JournalActions[[Action]:[Action]],ACT_PEN_CONTRE_NOUS,JournalActions[[Motif penalite]:[Motif penalite]],ACT_PEN_PL_HAUT))</f>
        <v/>
      </c>
      <c r="Y11" s="68" t="str">
        <f>IF(COUNTIFS(JournalActions[[Joueur]:[Joueur]],$B11,JournalActions[[Action]:[Action]],ACT_PEN_CONTRE_NOUS,JournalActions[[Motif penalite]:[Motif penalite]],ACT_PEN_RUCK)=0,"",COUNTIFS(JournalActions[[Joueur]:[Joueur]],$B11,JournalActions[[Action]:[Action]],ACT_PEN_CONTRE_NOUS,JournalActions[[Motif penalite]:[Motif penalite]],ACT_PEN_RUCK))</f>
        <v/>
      </c>
      <c r="Z11" s="68" t="str">
        <f>IF(COUNTIFS(JournalActions[[Joueur]:[Joueur]],$B11,JournalActions[[Action]:[Action]],ACT_PEN_CONTRE_NOUS,JournalActions[[Motif penalite]:[Motif penalite]],"?")=0,"",COUNTIFS(JournalActions[[Joueur]:[Joueur]],$B11,JournalActions[[Action]:[Action]],ACT_PEN_CONTRE_NOUS,JournalActions[[Motif penalite]:[Motif penalite]],"?"))</f>
        <v/>
      </c>
      <c r="AF11"/>
      <c r="AG11"/>
    </row>
    <row r="12" spans="2:37">
      <c r="B12" s="28" t="str">
        <v>BAUP Bastien</v>
      </c>
      <c r="C12" s="28" t="str">
        <f>IF(COUNTIFS(JournalActions[Joueur],$B12,JournalActions[Action],$C$6,JournalActions[Mi-temps],C$7)=0,"",COUNTIFS(JournalActions[Joueur],$B12,JournalActions[Action],$C$6,JournalActions[Mi-temps],C$7))</f>
        <v/>
      </c>
      <c r="D12" s="29" t="str">
        <f>IF(COUNTIFS(JournalActions[Joueur],$B12,JournalActions[Action],$C$6,JournalActions[Mi-temps],D$7)=0,"",COUNTIFS(JournalActions[Joueur],$B12,JournalActions[Action],$C$6,JournalActions[Mi-temps],D$7))</f>
        <v/>
      </c>
      <c r="E12" t="str">
        <f>IF(COUNTIFS(JournalActions[Joueur],$B12,JournalActions[Action],$E$6,JournalActions[Mi-temps],E$7)=0,"",COUNTIFS(JournalActions[Joueur],$B12,JournalActions[Action],$E$6,JournalActions[Mi-temps],E$7))</f>
        <v/>
      </c>
      <c r="F12" t="str">
        <f>IF(COUNTIFS(JournalActions[Joueur],$B12,JournalActions[Action],$E$6,JournalActions[Mi-temps],F$7)=0,"",COUNTIFS(JournalActions[Joueur],$B12,JournalActions[Action],$E$6,JournalActions[Mi-temps],F$7))</f>
        <v/>
      </c>
      <c r="G12" s="28" t="str">
        <f>IF(COUNTIFS(JournalActions[Joueur],$B12,JournalActions[Action],$G$6,JournalActions[Mi-temps],G$7)=0,"",COUNTIFS(JournalActions[Joueur],$B12,JournalActions[Action],$G$6,JournalActions[Mi-temps],G$7))</f>
        <v/>
      </c>
      <c r="H12" s="29" t="str">
        <f>IF(COUNTIFS(JournalActions[Joueur],$B12,JournalActions[Action],$G$6,JournalActions[Mi-temps],H$7)=0,"",COUNTIFS(JournalActions[Joueur],$B12,JournalActions[Action],$G$6,JournalActions[Mi-temps],H$7))</f>
        <v/>
      </c>
      <c r="I12" t="str">
        <f>IF(COUNTIFS(JournalActions[Joueur],$B12,JournalActions[Action],$I$6,JournalActions[Mi-temps],I$7)=0,"",COUNTIFS(JournalActions[Joueur],$B12,JournalActions[Action],$I$6,JournalActions[Mi-temps],I$7))</f>
        <v/>
      </c>
      <c r="J12" t="str">
        <f>IF(COUNTIFS(JournalActions[Joueur],$B12,JournalActions[Action],$I$6,JournalActions[Mi-temps],J$7)=0,"",COUNTIFS(JournalActions[Joueur],$B12,JournalActions[Action],$I$6,JournalActions[Mi-temps],J$7))</f>
        <v/>
      </c>
      <c r="K12" s="28" t="str">
        <f>IF(COUNTIFS(JournalActions[Joueur],$B12,JournalActions[Action],$K$6,JournalActions[Mi-temps],K$7)=0,"",COUNTIFS(JournalActions[Joueur],$B12,JournalActions[Action],$K$6,JournalActions[Mi-temps],K$7))</f>
        <v/>
      </c>
      <c r="L12" t="str">
        <f>IF(COUNTIFS(JournalActions[Joueur],$B12,JournalActions[Action],$K$6,JournalActions[Mi-temps],L$7)=0,"",COUNTIFS(JournalActions[Joueur],$B12,JournalActions[Action],$K$6,JournalActions[Mi-temps],L$7))</f>
        <v/>
      </c>
      <c r="M12" s="28" t="str">
        <f>IF(COUNTIFS(JournalActions[Joueur],$B12,JournalActions[Action],ACT_GRATTAGE_NS,JournalActions[Mi-temps],M$7)=0,"",COUNTIFS(JournalActions[Joueur],$B12,JournalActions[Action],ACT_GRATTAGE_NS,JournalActions[Mi-temps],M$7))</f>
        <v/>
      </c>
      <c r="N12" s="29" t="str">
        <f>IF(COUNTIFS(JournalActions[Joueur],$B12,JournalActions[Action],ACT_GRATTAGE_NS,JournalActions[Mi-temps],N$7)=0,"",COUNTIFS(JournalActions[Joueur],$B12,JournalActions[Action],ACT_GRATTAGE_NS,JournalActions[Mi-temps],N$7))</f>
        <v/>
      </c>
      <c r="O12" s="28" t="str">
        <f>IF(COUNTIFS(JournalActions[Joueur],$B12,JournalActions[Action],$O$6,JournalActions[Mi-temps],O$7)=0,"",COUNTIFS(JournalActions[Joueur],$B12,JournalActions[Action],$O$6,JournalActions[Mi-temps],O$7))</f>
        <v/>
      </c>
      <c r="P12" s="29" t="str">
        <f>IF(COUNTIFS(JournalActions[Joueur],$B12,JournalActions[Action],$O$6,JournalActions[Mi-temps],P$7)=0,"",COUNTIFS(JournalActions[Joueur],$B12,JournalActions[Action],$O$6,JournalActions[Mi-temps],P$7))</f>
        <v/>
      </c>
      <c r="Q12" s="28" t="str">
        <f>IF(COUNTIFS(JournalActions[Joueur],$B12,JournalActions[Action],$Q$6,JournalActions[Mi-temps],Q$7)=0,"",COUNTIFS(JournalActions[Joueur],$B12,JournalActions[Action],$Q$6,JournalActions[Mi-temps],Q$7))</f>
        <v/>
      </c>
      <c r="R12" s="29" t="str">
        <f>IF(COUNTIFS(JournalActions[Joueur],$B12,JournalActions[Action],$Q$6,JournalActions[Mi-temps],R$7)=0,"",COUNTIFS(JournalActions[Joueur],$B12,JournalActions[Action],$Q$6,JournalActions[Mi-temps],R$7))</f>
        <v/>
      </c>
      <c r="S12" s="28" t="str">
        <f>IF(COUNTIFS(JournalActions[Joueur],$B12,JournalActions[Action],$S$6,JournalActions[Mi-temps],S$7)=0,"",COUNTIFS(JournalActions[Joueur],$B12,JournalActions[Action],$S$6,JournalActions[Mi-temps],S$7))</f>
        <v/>
      </c>
      <c r="T12" s="29" t="str">
        <f>IF(COUNTIFS(JournalActions[Joueur],$B12,JournalActions[Action],$S$6,JournalActions[Mi-temps],T$7)=0,"",COUNTIFS(JournalActions[Joueur],$B12,JournalActions[Action],$S$6,JournalActions[Mi-temps],T$7))</f>
        <v/>
      </c>
      <c r="U12" s="68" t="str">
        <f>IF(COUNTIFS(JournalActions[Joueur],$B12,JournalActions[Action],ACT_PEN_CONTRE_NOUS,JournalActions[Motif penalite],U$7)=0,"",COUNTIFS(JournalActions[Joueur],$B12,JournalActions[Action],ACT_PEN_CONTRE_NOUS,JournalActions[Motif penalite],U$7))</f>
        <v/>
      </c>
      <c r="V12" s="68" t="str">
        <f>IF(COUNTIFS(JournalActions[[Joueur]:[Joueur]],$B12,JournalActions[[Action]:[Action]],ACT_PEN_CONTRE_NOUS,JournalActions[[Motif penalite]:[Motif penalite]],ACT_PEN_HORS_JEU)=0,"",COUNTIFS(JournalActions[[Joueur]:[Joueur]],$B12,JournalActions[[Action]:[Action]],ACT_PEN_CONTRE_NOUS,JournalActions[[Motif penalite]:[Motif penalite]],ACT_PEN_HORS_JEU))</f>
        <v/>
      </c>
      <c r="W12" s="68" t="str">
        <f>IF(COUNTIFS(JournalActions[[Joueur]:[Joueur]],$B12,JournalActions[[Action]:[Action]],ACT_PEN_CONTRE_NOUS,JournalActions[[Motif penalite]:[Motif penalite]],ACT_PEN_PL_A_2)=0,"",COUNTIFS(JournalActions[[Joueur]:[Joueur]],$B12,JournalActions[[Action]:[Action]],ACT_PEN_CONTRE_NOUS,JournalActions[[Motif penalite]:[Motif penalite]],ACT_PEN_PL_A_2))</f>
        <v/>
      </c>
      <c r="X12" s="68" t="str">
        <f>IF(COUNTIFS(JournalActions[[Joueur]:[Joueur]],$B12,JournalActions[[Action]:[Action]],ACT_PEN_CONTRE_NOUS,JournalActions[[Motif penalite]:[Motif penalite]],ACT_PEN_PL_HAUT)=0,"",COUNTIFS(JournalActions[[Joueur]:[Joueur]],$B12,JournalActions[[Action]:[Action]],ACT_PEN_CONTRE_NOUS,JournalActions[[Motif penalite]:[Motif penalite]],ACT_PEN_PL_HAUT))</f>
        <v/>
      </c>
      <c r="Y12" s="68" t="str">
        <f>IF(COUNTIFS(JournalActions[[Joueur]:[Joueur]],$B12,JournalActions[[Action]:[Action]],ACT_PEN_CONTRE_NOUS,JournalActions[[Motif penalite]:[Motif penalite]],ACT_PEN_RUCK)=0,"",COUNTIFS(JournalActions[[Joueur]:[Joueur]],$B12,JournalActions[[Action]:[Action]],ACT_PEN_CONTRE_NOUS,JournalActions[[Motif penalite]:[Motif penalite]],ACT_PEN_RUCK))</f>
        <v/>
      </c>
      <c r="Z12" s="68" t="str">
        <f>IF(COUNTIFS(JournalActions[[Joueur]:[Joueur]],$B12,JournalActions[[Action]:[Action]],ACT_PEN_CONTRE_NOUS,JournalActions[[Motif penalite]:[Motif penalite]],"?")=0,"",COUNTIFS(JournalActions[[Joueur]:[Joueur]],$B12,JournalActions[[Action]:[Action]],ACT_PEN_CONTRE_NOUS,JournalActions[[Motif penalite]:[Motif penalite]],"?"))</f>
        <v/>
      </c>
      <c r="AF12"/>
      <c r="AG12"/>
    </row>
    <row r="13" spans="2:37">
      <c r="B13" s="28" t="str">
        <v>BIFFI Pierre</v>
      </c>
      <c r="C13" s="28" t="str">
        <f>IF(COUNTIFS(JournalActions[Joueur],$B13,JournalActions[Action],$C$6,JournalActions[Mi-temps],C$7)=0,"",COUNTIFS(JournalActions[Joueur],$B13,JournalActions[Action],$C$6,JournalActions[Mi-temps],C$7))</f>
        <v/>
      </c>
      <c r="D13" s="29" t="str">
        <f>IF(COUNTIFS(JournalActions[Joueur],$B13,JournalActions[Action],$C$6,JournalActions[Mi-temps],D$7)=0,"",COUNTIFS(JournalActions[Joueur],$B13,JournalActions[Action],$C$6,JournalActions[Mi-temps],D$7))</f>
        <v/>
      </c>
      <c r="E13" t="str">
        <f>IF(COUNTIFS(JournalActions[Joueur],$B13,JournalActions[Action],$E$6,JournalActions[Mi-temps],E$7)=0,"",COUNTIFS(JournalActions[Joueur],$B13,JournalActions[Action],$E$6,JournalActions[Mi-temps],E$7))</f>
        <v/>
      </c>
      <c r="F13" t="str">
        <f>IF(COUNTIFS(JournalActions[Joueur],$B13,JournalActions[Action],$E$6,JournalActions[Mi-temps],F$7)=0,"",COUNTIFS(JournalActions[Joueur],$B13,JournalActions[Action],$E$6,JournalActions[Mi-temps],F$7))</f>
        <v/>
      </c>
      <c r="G13" s="28" t="str">
        <f>IF(COUNTIFS(JournalActions[Joueur],$B13,JournalActions[Action],$G$6,JournalActions[Mi-temps],G$7)=0,"",COUNTIFS(JournalActions[Joueur],$B13,JournalActions[Action],$G$6,JournalActions[Mi-temps],G$7))</f>
        <v/>
      </c>
      <c r="H13" s="29" t="str">
        <f>IF(COUNTIFS(JournalActions[Joueur],$B13,JournalActions[Action],$G$6,JournalActions[Mi-temps],H$7)=0,"",COUNTIFS(JournalActions[Joueur],$B13,JournalActions[Action],$G$6,JournalActions[Mi-temps],H$7))</f>
        <v/>
      </c>
      <c r="I13" t="str">
        <f>IF(COUNTIFS(JournalActions[Joueur],$B13,JournalActions[Action],$I$6,JournalActions[Mi-temps],I$7)=0,"",COUNTIFS(JournalActions[Joueur],$B13,JournalActions[Action],$I$6,JournalActions[Mi-temps],I$7))</f>
        <v/>
      </c>
      <c r="J13" t="str">
        <f>IF(COUNTIFS(JournalActions[Joueur],$B13,JournalActions[Action],$I$6,JournalActions[Mi-temps],J$7)=0,"",COUNTIFS(JournalActions[Joueur],$B13,JournalActions[Action],$I$6,JournalActions[Mi-temps],J$7))</f>
        <v/>
      </c>
      <c r="K13" s="28" t="str">
        <f>IF(COUNTIFS(JournalActions[Joueur],$B13,JournalActions[Action],$K$6,JournalActions[Mi-temps],K$7)=0,"",COUNTIFS(JournalActions[Joueur],$B13,JournalActions[Action],$K$6,JournalActions[Mi-temps],K$7))</f>
        <v/>
      </c>
      <c r="L13" t="str">
        <f>IF(COUNTIFS(JournalActions[Joueur],$B13,JournalActions[Action],$K$6,JournalActions[Mi-temps],L$7)=0,"",COUNTIFS(JournalActions[Joueur],$B13,JournalActions[Action],$K$6,JournalActions[Mi-temps],L$7))</f>
        <v/>
      </c>
      <c r="M13" s="28" t="str">
        <f>IF(COUNTIFS(JournalActions[Joueur],$B13,JournalActions[Action],ACT_GRATTAGE_NS,JournalActions[Mi-temps],M$7)=0,"",COUNTIFS(JournalActions[Joueur],$B13,JournalActions[Action],ACT_GRATTAGE_NS,JournalActions[Mi-temps],M$7))</f>
        <v/>
      </c>
      <c r="N13" s="29" t="str">
        <f>IF(COUNTIFS(JournalActions[Joueur],$B13,JournalActions[Action],ACT_GRATTAGE_NS,JournalActions[Mi-temps],N$7)=0,"",COUNTIFS(JournalActions[Joueur],$B13,JournalActions[Action],ACT_GRATTAGE_NS,JournalActions[Mi-temps],N$7))</f>
        <v/>
      </c>
      <c r="O13" s="28" t="str">
        <f>IF(COUNTIFS(JournalActions[Joueur],$B13,JournalActions[Action],$O$6,JournalActions[Mi-temps],O$7)=0,"",COUNTIFS(JournalActions[Joueur],$B13,JournalActions[Action],$O$6,JournalActions[Mi-temps],O$7))</f>
        <v/>
      </c>
      <c r="P13" s="29" t="str">
        <f>IF(COUNTIFS(JournalActions[Joueur],$B13,JournalActions[Action],$O$6,JournalActions[Mi-temps],P$7)=0,"",COUNTIFS(JournalActions[Joueur],$B13,JournalActions[Action],$O$6,JournalActions[Mi-temps],P$7))</f>
        <v/>
      </c>
      <c r="Q13" s="28" t="str">
        <f>IF(COUNTIFS(JournalActions[Joueur],$B13,JournalActions[Action],$Q$6,JournalActions[Mi-temps],Q$7)=0,"",COUNTIFS(JournalActions[Joueur],$B13,JournalActions[Action],$Q$6,JournalActions[Mi-temps],Q$7))</f>
        <v/>
      </c>
      <c r="R13" s="29" t="str">
        <f>IF(COUNTIFS(JournalActions[Joueur],$B13,JournalActions[Action],$Q$6,JournalActions[Mi-temps],R$7)=0,"",COUNTIFS(JournalActions[Joueur],$B13,JournalActions[Action],$Q$6,JournalActions[Mi-temps],R$7))</f>
        <v/>
      </c>
      <c r="S13" s="28" t="str">
        <f>IF(COUNTIFS(JournalActions[Joueur],$B13,JournalActions[Action],$S$6,JournalActions[Mi-temps],S$7)=0,"",COUNTIFS(JournalActions[Joueur],$B13,JournalActions[Action],$S$6,JournalActions[Mi-temps],S$7))</f>
        <v/>
      </c>
      <c r="T13" s="29" t="str">
        <f>IF(COUNTIFS(JournalActions[Joueur],$B13,JournalActions[Action],$S$6,JournalActions[Mi-temps],T$7)=0,"",COUNTIFS(JournalActions[Joueur],$B13,JournalActions[Action],$S$6,JournalActions[Mi-temps],T$7))</f>
        <v/>
      </c>
      <c r="U13" s="68" t="str">
        <f>IF(COUNTIFS(JournalActions[Joueur],$B13,JournalActions[Action],ACT_PEN_CONTRE_NOUS,JournalActions[Motif penalite],U$7)=0,"",COUNTIFS(JournalActions[Joueur],$B13,JournalActions[Action],ACT_PEN_CONTRE_NOUS,JournalActions[Motif penalite],U$7))</f>
        <v/>
      </c>
      <c r="V13" s="68" t="str">
        <f>IF(COUNTIFS(JournalActions[[Joueur]:[Joueur]],$B13,JournalActions[[Action]:[Action]],ACT_PEN_CONTRE_NOUS,JournalActions[[Motif penalite]:[Motif penalite]],ACT_PEN_HORS_JEU)=0,"",COUNTIFS(JournalActions[[Joueur]:[Joueur]],$B13,JournalActions[[Action]:[Action]],ACT_PEN_CONTRE_NOUS,JournalActions[[Motif penalite]:[Motif penalite]],ACT_PEN_HORS_JEU))</f>
        <v/>
      </c>
      <c r="W13" s="68" t="str">
        <f>IF(COUNTIFS(JournalActions[[Joueur]:[Joueur]],$B13,JournalActions[[Action]:[Action]],ACT_PEN_CONTRE_NOUS,JournalActions[[Motif penalite]:[Motif penalite]],ACT_PEN_PL_A_2)=0,"",COUNTIFS(JournalActions[[Joueur]:[Joueur]],$B13,JournalActions[[Action]:[Action]],ACT_PEN_CONTRE_NOUS,JournalActions[[Motif penalite]:[Motif penalite]],ACT_PEN_PL_A_2))</f>
        <v/>
      </c>
      <c r="X13" s="68" t="str">
        <f>IF(COUNTIFS(JournalActions[[Joueur]:[Joueur]],$B13,JournalActions[[Action]:[Action]],ACT_PEN_CONTRE_NOUS,JournalActions[[Motif penalite]:[Motif penalite]],ACT_PEN_PL_HAUT)=0,"",COUNTIFS(JournalActions[[Joueur]:[Joueur]],$B13,JournalActions[[Action]:[Action]],ACT_PEN_CONTRE_NOUS,JournalActions[[Motif penalite]:[Motif penalite]],ACT_PEN_PL_HAUT))</f>
        <v/>
      </c>
      <c r="Y13" s="68" t="str">
        <f>IF(COUNTIFS(JournalActions[[Joueur]:[Joueur]],$B13,JournalActions[[Action]:[Action]],ACT_PEN_CONTRE_NOUS,JournalActions[[Motif penalite]:[Motif penalite]],ACT_PEN_RUCK)=0,"",COUNTIFS(JournalActions[[Joueur]:[Joueur]],$B13,JournalActions[[Action]:[Action]],ACT_PEN_CONTRE_NOUS,JournalActions[[Motif penalite]:[Motif penalite]],ACT_PEN_RUCK))</f>
        <v/>
      </c>
      <c r="Z13" s="68" t="str">
        <f>IF(COUNTIFS(JournalActions[[Joueur]:[Joueur]],$B13,JournalActions[[Action]:[Action]],ACT_PEN_CONTRE_NOUS,JournalActions[[Motif penalite]:[Motif penalite]],"?")=0,"",COUNTIFS(JournalActions[[Joueur]:[Joueur]],$B13,JournalActions[[Action]:[Action]],ACT_PEN_CONTRE_NOUS,JournalActions[[Motif penalite]:[Motif penalite]],"?"))</f>
        <v/>
      </c>
      <c r="AH13" s="3"/>
      <c r="AI13" s="3"/>
      <c r="AJ13" s="3"/>
      <c r="AK13" s="3"/>
    </row>
    <row r="14" spans="2:37">
      <c r="B14" s="28" t="str">
        <v>BOURREC Anthony</v>
      </c>
      <c r="C14" s="28" t="str">
        <f>IF(COUNTIFS(JournalActions[Joueur],$B14,JournalActions[Action],$C$6,JournalActions[Mi-temps],C$7)=0,"",COUNTIFS(JournalActions[Joueur],$B14,JournalActions[Action],$C$6,JournalActions[Mi-temps],C$7))</f>
        <v/>
      </c>
      <c r="D14" s="29" t="str">
        <f>IF(COUNTIFS(JournalActions[Joueur],$B14,JournalActions[Action],$C$6,JournalActions[Mi-temps],D$7)=0,"",COUNTIFS(JournalActions[Joueur],$B14,JournalActions[Action],$C$6,JournalActions[Mi-temps],D$7))</f>
        <v/>
      </c>
      <c r="E14" t="str">
        <f>IF(COUNTIFS(JournalActions[Joueur],$B14,JournalActions[Action],$E$6,JournalActions[Mi-temps],E$7)=0,"",COUNTIFS(JournalActions[Joueur],$B14,JournalActions[Action],$E$6,JournalActions[Mi-temps],E$7))</f>
        <v/>
      </c>
      <c r="F14" t="str">
        <f>IF(COUNTIFS(JournalActions[Joueur],$B14,JournalActions[Action],$E$6,JournalActions[Mi-temps],F$7)=0,"",COUNTIFS(JournalActions[Joueur],$B14,JournalActions[Action],$E$6,JournalActions[Mi-temps],F$7))</f>
        <v/>
      </c>
      <c r="G14" s="28" t="str">
        <f>IF(COUNTIFS(JournalActions[Joueur],$B14,JournalActions[Action],$G$6,JournalActions[Mi-temps],G$7)=0,"",COUNTIFS(JournalActions[Joueur],$B14,JournalActions[Action],$G$6,JournalActions[Mi-temps],G$7))</f>
        <v/>
      </c>
      <c r="H14" s="29" t="str">
        <f>IF(COUNTIFS(JournalActions[Joueur],$B14,JournalActions[Action],$G$6,JournalActions[Mi-temps],H$7)=0,"",COUNTIFS(JournalActions[Joueur],$B14,JournalActions[Action],$G$6,JournalActions[Mi-temps],H$7))</f>
        <v/>
      </c>
      <c r="I14" t="str">
        <f>IF(COUNTIFS(JournalActions[Joueur],$B14,JournalActions[Action],$I$6,JournalActions[Mi-temps],I$7)=0,"",COUNTIFS(JournalActions[Joueur],$B14,JournalActions[Action],$I$6,JournalActions[Mi-temps],I$7))</f>
        <v/>
      </c>
      <c r="J14" t="str">
        <f>IF(COUNTIFS(JournalActions[Joueur],$B14,JournalActions[Action],$I$6,JournalActions[Mi-temps],J$7)=0,"",COUNTIFS(JournalActions[Joueur],$B14,JournalActions[Action],$I$6,JournalActions[Mi-temps],J$7))</f>
        <v/>
      </c>
      <c r="K14" s="28" t="str">
        <f>IF(COUNTIFS(JournalActions[Joueur],$B14,JournalActions[Action],$K$6,JournalActions[Mi-temps],K$7)=0,"",COUNTIFS(JournalActions[Joueur],$B14,JournalActions[Action],$K$6,JournalActions[Mi-temps],K$7))</f>
        <v/>
      </c>
      <c r="L14" t="str">
        <f>IF(COUNTIFS(JournalActions[Joueur],$B14,JournalActions[Action],$K$6,JournalActions[Mi-temps],L$7)=0,"",COUNTIFS(JournalActions[Joueur],$B14,JournalActions[Action],$K$6,JournalActions[Mi-temps],L$7))</f>
        <v/>
      </c>
      <c r="M14" s="28" t="str">
        <f>IF(COUNTIFS(JournalActions[Joueur],$B14,JournalActions[Action],ACT_GRATTAGE_NS,JournalActions[Mi-temps],M$7)=0,"",COUNTIFS(JournalActions[Joueur],$B14,JournalActions[Action],ACT_GRATTAGE_NS,JournalActions[Mi-temps],M$7))</f>
        <v/>
      </c>
      <c r="N14" s="29" t="str">
        <f>IF(COUNTIFS(JournalActions[Joueur],$B14,JournalActions[Action],ACT_GRATTAGE_NS,JournalActions[Mi-temps],N$7)=0,"",COUNTIFS(JournalActions[Joueur],$B14,JournalActions[Action],ACT_GRATTAGE_NS,JournalActions[Mi-temps],N$7))</f>
        <v/>
      </c>
      <c r="O14" s="28" t="str">
        <f>IF(COUNTIFS(JournalActions[Joueur],$B14,JournalActions[Action],$O$6,JournalActions[Mi-temps],O$7)=0,"",COUNTIFS(JournalActions[Joueur],$B14,JournalActions[Action],$O$6,JournalActions[Mi-temps],O$7))</f>
        <v/>
      </c>
      <c r="P14" s="29" t="str">
        <f>IF(COUNTIFS(JournalActions[Joueur],$B14,JournalActions[Action],$O$6,JournalActions[Mi-temps],P$7)=0,"",COUNTIFS(JournalActions[Joueur],$B14,JournalActions[Action],$O$6,JournalActions[Mi-temps],P$7))</f>
        <v/>
      </c>
      <c r="Q14" s="28" t="str">
        <f>IF(COUNTIFS(JournalActions[Joueur],$B14,JournalActions[Action],$Q$6,JournalActions[Mi-temps],Q$7)=0,"",COUNTIFS(JournalActions[Joueur],$B14,JournalActions[Action],$Q$6,JournalActions[Mi-temps],Q$7))</f>
        <v/>
      </c>
      <c r="R14" s="29" t="str">
        <f>IF(COUNTIFS(JournalActions[Joueur],$B14,JournalActions[Action],$Q$6,JournalActions[Mi-temps],R$7)=0,"",COUNTIFS(JournalActions[Joueur],$B14,JournalActions[Action],$Q$6,JournalActions[Mi-temps],R$7))</f>
        <v/>
      </c>
      <c r="S14" s="28" t="str">
        <f>IF(COUNTIFS(JournalActions[Joueur],$B14,JournalActions[Action],$S$6,JournalActions[Mi-temps],S$7)=0,"",COUNTIFS(JournalActions[Joueur],$B14,JournalActions[Action],$S$6,JournalActions[Mi-temps],S$7))</f>
        <v/>
      </c>
      <c r="T14" s="29" t="str">
        <f>IF(COUNTIFS(JournalActions[Joueur],$B14,JournalActions[Action],$S$6,JournalActions[Mi-temps],T$7)=0,"",COUNTIFS(JournalActions[Joueur],$B14,JournalActions[Action],$S$6,JournalActions[Mi-temps],T$7))</f>
        <v/>
      </c>
      <c r="U14" s="68" t="str">
        <f>IF(COUNTIFS(JournalActions[Joueur],$B14,JournalActions[Action],ACT_PEN_CONTRE_NOUS,JournalActions[Motif penalite],U$7)=0,"",COUNTIFS(JournalActions[Joueur],$B14,JournalActions[Action],ACT_PEN_CONTRE_NOUS,JournalActions[Motif penalite],U$7))</f>
        <v/>
      </c>
      <c r="V14" s="68" t="str">
        <f>IF(COUNTIFS(JournalActions[[Joueur]:[Joueur]],$B14,JournalActions[[Action]:[Action]],ACT_PEN_CONTRE_NOUS,JournalActions[[Motif penalite]:[Motif penalite]],ACT_PEN_HORS_JEU)=0,"",COUNTIFS(JournalActions[[Joueur]:[Joueur]],$B14,JournalActions[[Action]:[Action]],ACT_PEN_CONTRE_NOUS,JournalActions[[Motif penalite]:[Motif penalite]],ACT_PEN_HORS_JEU))</f>
        <v/>
      </c>
      <c r="W14" s="68" t="str">
        <f>IF(COUNTIFS(JournalActions[[Joueur]:[Joueur]],$B14,JournalActions[[Action]:[Action]],ACT_PEN_CONTRE_NOUS,JournalActions[[Motif penalite]:[Motif penalite]],ACT_PEN_PL_A_2)=0,"",COUNTIFS(JournalActions[[Joueur]:[Joueur]],$B14,JournalActions[[Action]:[Action]],ACT_PEN_CONTRE_NOUS,JournalActions[[Motif penalite]:[Motif penalite]],ACT_PEN_PL_A_2))</f>
        <v/>
      </c>
      <c r="X14" s="68" t="str">
        <f>IF(COUNTIFS(JournalActions[[Joueur]:[Joueur]],$B14,JournalActions[[Action]:[Action]],ACT_PEN_CONTRE_NOUS,JournalActions[[Motif penalite]:[Motif penalite]],ACT_PEN_PL_HAUT)=0,"",COUNTIFS(JournalActions[[Joueur]:[Joueur]],$B14,JournalActions[[Action]:[Action]],ACT_PEN_CONTRE_NOUS,JournalActions[[Motif penalite]:[Motif penalite]],ACT_PEN_PL_HAUT))</f>
        <v/>
      </c>
      <c r="Y14" s="68" t="str">
        <f>IF(COUNTIFS(JournalActions[[Joueur]:[Joueur]],$B14,JournalActions[[Action]:[Action]],ACT_PEN_CONTRE_NOUS,JournalActions[[Motif penalite]:[Motif penalite]],ACT_PEN_RUCK)=0,"",COUNTIFS(JournalActions[[Joueur]:[Joueur]],$B14,JournalActions[[Action]:[Action]],ACT_PEN_CONTRE_NOUS,JournalActions[[Motif penalite]:[Motif penalite]],ACT_PEN_RUCK))</f>
        <v/>
      </c>
      <c r="Z14" s="68" t="str">
        <f>IF(COUNTIFS(JournalActions[[Joueur]:[Joueur]],$B14,JournalActions[[Action]:[Action]],ACT_PEN_CONTRE_NOUS,JournalActions[[Motif penalite]:[Motif penalite]],"?")=0,"",COUNTIFS(JournalActions[[Joueur]:[Joueur]],$B14,JournalActions[[Action]:[Action]],ACT_PEN_CONTRE_NOUS,JournalActions[[Motif penalite]:[Motif penalite]],"?"))</f>
        <v/>
      </c>
      <c r="AH14" s="3"/>
      <c r="AI14" s="3"/>
      <c r="AJ14" s="3"/>
      <c r="AK14" s="3"/>
    </row>
    <row r="15" spans="2:37">
      <c r="B15" s="28" t="str">
        <v>CESCA Sacha</v>
      </c>
      <c r="C15" s="28" t="str">
        <f>IF(COUNTIFS(JournalActions[Joueur],$B15,JournalActions[Action],$C$6,JournalActions[Mi-temps],C$7)=0,"",COUNTIFS(JournalActions[Joueur],$B15,JournalActions[Action],$C$6,JournalActions[Mi-temps],C$7))</f>
        <v/>
      </c>
      <c r="D15" s="29" t="str">
        <f>IF(COUNTIFS(JournalActions[Joueur],$B15,JournalActions[Action],$C$6,JournalActions[Mi-temps],D$7)=0,"",COUNTIFS(JournalActions[Joueur],$B15,JournalActions[Action],$C$6,JournalActions[Mi-temps],D$7))</f>
        <v/>
      </c>
      <c r="E15" t="str">
        <f>IF(COUNTIFS(JournalActions[Joueur],$B15,JournalActions[Action],$E$6,JournalActions[Mi-temps],E$7)=0,"",COUNTIFS(JournalActions[Joueur],$B15,JournalActions[Action],$E$6,JournalActions[Mi-temps],E$7))</f>
        <v/>
      </c>
      <c r="F15" t="str">
        <f>IF(COUNTIFS(JournalActions[Joueur],$B15,JournalActions[Action],$E$6,JournalActions[Mi-temps],F$7)=0,"",COUNTIFS(JournalActions[Joueur],$B15,JournalActions[Action],$E$6,JournalActions[Mi-temps],F$7))</f>
        <v/>
      </c>
      <c r="G15" s="28" t="str">
        <f>IF(COUNTIFS(JournalActions[Joueur],$B15,JournalActions[Action],$G$6,JournalActions[Mi-temps],G$7)=0,"",COUNTIFS(JournalActions[Joueur],$B15,JournalActions[Action],$G$6,JournalActions[Mi-temps],G$7))</f>
        <v/>
      </c>
      <c r="H15" s="29" t="str">
        <f>IF(COUNTIFS(JournalActions[Joueur],$B15,JournalActions[Action],$G$6,JournalActions[Mi-temps],H$7)=0,"",COUNTIFS(JournalActions[Joueur],$B15,JournalActions[Action],$G$6,JournalActions[Mi-temps],H$7))</f>
        <v/>
      </c>
      <c r="I15" t="str">
        <f>IF(COUNTIFS(JournalActions[Joueur],$B15,JournalActions[Action],$I$6,JournalActions[Mi-temps],I$7)=0,"",COUNTIFS(JournalActions[Joueur],$B15,JournalActions[Action],$I$6,JournalActions[Mi-temps],I$7))</f>
        <v/>
      </c>
      <c r="J15" t="str">
        <f>IF(COUNTIFS(JournalActions[Joueur],$B15,JournalActions[Action],$I$6,JournalActions[Mi-temps],J$7)=0,"",COUNTIFS(JournalActions[Joueur],$B15,JournalActions[Action],$I$6,JournalActions[Mi-temps],J$7))</f>
        <v/>
      </c>
      <c r="K15" s="28" t="str">
        <f>IF(COUNTIFS(JournalActions[Joueur],$B15,JournalActions[Action],$K$6,JournalActions[Mi-temps],K$7)=0,"",COUNTIFS(JournalActions[Joueur],$B15,JournalActions[Action],$K$6,JournalActions[Mi-temps],K$7))</f>
        <v/>
      </c>
      <c r="L15" t="str">
        <f>IF(COUNTIFS(JournalActions[Joueur],$B15,JournalActions[Action],$K$6,JournalActions[Mi-temps],L$7)=0,"",COUNTIFS(JournalActions[Joueur],$B15,JournalActions[Action],$K$6,JournalActions[Mi-temps],L$7))</f>
        <v/>
      </c>
      <c r="M15" s="28" t="str">
        <f>IF(COUNTIFS(JournalActions[Joueur],$B15,JournalActions[Action],ACT_GRATTAGE_NS,JournalActions[Mi-temps],M$7)=0,"",COUNTIFS(JournalActions[Joueur],$B15,JournalActions[Action],ACT_GRATTAGE_NS,JournalActions[Mi-temps],M$7))</f>
        <v/>
      </c>
      <c r="N15" s="29" t="str">
        <f>IF(COUNTIFS(JournalActions[Joueur],$B15,JournalActions[Action],ACT_GRATTAGE_NS,JournalActions[Mi-temps],N$7)=0,"",COUNTIFS(JournalActions[Joueur],$B15,JournalActions[Action],ACT_GRATTAGE_NS,JournalActions[Mi-temps],N$7))</f>
        <v/>
      </c>
      <c r="O15" s="28" t="str">
        <f>IF(COUNTIFS(JournalActions[Joueur],$B15,JournalActions[Action],$O$6,JournalActions[Mi-temps],O$7)=0,"",COUNTIFS(JournalActions[Joueur],$B15,JournalActions[Action],$O$6,JournalActions[Mi-temps],O$7))</f>
        <v/>
      </c>
      <c r="P15" s="29" t="str">
        <f>IF(COUNTIFS(JournalActions[Joueur],$B15,JournalActions[Action],$O$6,JournalActions[Mi-temps],P$7)=0,"",COUNTIFS(JournalActions[Joueur],$B15,JournalActions[Action],$O$6,JournalActions[Mi-temps],P$7))</f>
        <v/>
      </c>
      <c r="Q15" s="28" t="str">
        <f>IF(COUNTIFS(JournalActions[Joueur],$B15,JournalActions[Action],$Q$6,JournalActions[Mi-temps],Q$7)=0,"",COUNTIFS(JournalActions[Joueur],$B15,JournalActions[Action],$Q$6,JournalActions[Mi-temps],Q$7))</f>
        <v/>
      </c>
      <c r="R15" s="29" t="str">
        <f>IF(COUNTIFS(JournalActions[Joueur],$B15,JournalActions[Action],$Q$6,JournalActions[Mi-temps],R$7)=0,"",COUNTIFS(JournalActions[Joueur],$B15,JournalActions[Action],$Q$6,JournalActions[Mi-temps],R$7))</f>
        <v/>
      </c>
      <c r="S15" s="28" t="str">
        <f>IF(COUNTIFS(JournalActions[Joueur],$B15,JournalActions[Action],$S$6,JournalActions[Mi-temps],S$7)=0,"",COUNTIFS(JournalActions[Joueur],$B15,JournalActions[Action],$S$6,JournalActions[Mi-temps],S$7))</f>
        <v/>
      </c>
      <c r="T15" s="29" t="str">
        <f>IF(COUNTIFS(JournalActions[Joueur],$B15,JournalActions[Action],$S$6,JournalActions[Mi-temps],T$7)=0,"",COUNTIFS(JournalActions[Joueur],$B15,JournalActions[Action],$S$6,JournalActions[Mi-temps],T$7))</f>
        <v/>
      </c>
      <c r="U15" s="68" t="str">
        <f>IF(COUNTIFS(JournalActions[Joueur],$B15,JournalActions[Action],ACT_PEN_CONTRE_NOUS,JournalActions[Motif penalite],U$7)=0,"",COUNTIFS(JournalActions[Joueur],$B15,JournalActions[Action],ACT_PEN_CONTRE_NOUS,JournalActions[Motif penalite],U$7))</f>
        <v/>
      </c>
      <c r="V15" s="68" t="str">
        <f>IF(COUNTIFS(JournalActions[[Joueur]:[Joueur]],$B15,JournalActions[[Action]:[Action]],ACT_PEN_CONTRE_NOUS,JournalActions[[Motif penalite]:[Motif penalite]],ACT_PEN_HORS_JEU)=0,"",COUNTIFS(JournalActions[[Joueur]:[Joueur]],$B15,JournalActions[[Action]:[Action]],ACT_PEN_CONTRE_NOUS,JournalActions[[Motif penalite]:[Motif penalite]],ACT_PEN_HORS_JEU))</f>
        <v/>
      </c>
      <c r="W15" s="68" t="str">
        <f>IF(COUNTIFS(JournalActions[[Joueur]:[Joueur]],$B15,JournalActions[[Action]:[Action]],ACT_PEN_CONTRE_NOUS,JournalActions[[Motif penalite]:[Motif penalite]],ACT_PEN_PL_A_2)=0,"",COUNTIFS(JournalActions[[Joueur]:[Joueur]],$B15,JournalActions[[Action]:[Action]],ACT_PEN_CONTRE_NOUS,JournalActions[[Motif penalite]:[Motif penalite]],ACT_PEN_PL_A_2))</f>
        <v/>
      </c>
      <c r="X15" s="68" t="str">
        <f>IF(COUNTIFS(JournalActions[[Joueur]:[Joueur]],$B15,JournalActions[[Action]:[Action]],ACT_PEN_CONTRE_NOUS,JournalActions[[Motif penalite]:[Motif penalite]],ACT_PEN_PL_HAUT)=0,"",COUNTIFS(JournalActions[[Joueur]:[Joueur]],$B15,JournalActions[[Action]:[Action]],ACT_PEN_CONTRE_NOUS,JournalActions[[Motif penalite]:[Motif penalite]],ACT_PEN_PL_HAUT))</f>
        <v/>
      </c>
      <c r="Y15" s="68" t="str">
        <f>IF(COUNTIFS(JournalActions[[Joueur]:[Joueur]],$B15,JournalActions[[Action]:[Action]],ACT_PEN_CONTRE_NOUS,JournalActions[[Motif penalite]:[Motif penalite]],ACT_PEN_RUCK)=0,"",COUNTIFS(JournalActions[[Joueur]:[Joueur]],$B15,JournalActions[[Action]:[Action]],ACT_PEN_CONTRE_NOUS,JournalActions[[Motif penalite]:[Motif penalite]],ACT_PEN_RUCK))</f>
        <v/>
      </c>
      <c r="Z15" s="68" t="str">
        <f>IF(COUNTIFS(JournalActions[[Joueur]:[Joueur]],$B15,JournalActions[[Action]:[Action]],ACT_PEN_CONTRE_NOUS,JournalActions[[Motif penalite]:[Motif penalite]],"?")=0,"",COUNTIFS(JournalActions[[Joueur]:[Joueur]],$B15,JournalActions[[Action]:[Action]],ACT_PEN_CONTRE_NOUS,JournalActions[[Motif penalite]:[Motif penalite]],"?"))</f>
        <v/>
      </c>
      <c r="AH15" s="3"/>
      <c r="AI15" s="3"/>
      <c r="AJ15" s="3"/>
      <c r="AK15" s="3"/>
    </row>
    <row r="16" spans="2:37">
      <c r="B16" s="28" t="str">
        <v>COURREGES Romain</v>
      </c>
      <c r="C16" s="28" t="str">
        <f>IF(COUNTIFS(JournalActions[Joueur],$B16,JournalActions[Action],$C$6,JournalActions[Mi-temps],C$7)=0,"",COUNTIFS(JournalActions[Joueur],$B16,JournalActions[Action],$C$6,JournalActions[Mi-temps],C$7))</f>
        <v/>
      </c>
      <c r="D16" s="29" t="str">
        <f>IF(COUNTIFS(JournalActions[Joueur],$B16,JournalActions[Action],$C$6,JournalActions[Mi-temps],D$7)=0,"",COUNTIFS(JournalActions[Joueur],$B16,JournalActions[Action],$C$6,JournalActions[Mi-temps],D$7))</f>
        <v/>
      </c>
      <c r="E16" t="str">
        <f>IF(COUNTIFS(JournalActions[Joueur],$B16,JournalActions[Action],$E$6,JournalActions[Mi-temps],E$7)=0,"",COUNTIFS(JournalActions[Joueur],$B16,JournalActions[Action],$E$6,JournalActions[Mi-temps],E$7))</f>
        <v/>
      </c>
      <c r="F16" t="str">
        <f>IF(COUNTIFS(JournalActions[Joueur],$B16,JournalActions[Action],$E$6,JournalActions[Mi-temps],F$7)=0,"",COUNTIFS(JournalActions[Joueur],$B16,JournalActions[Action],$E$6,JournalActions[Mi-temps],F$7))</f>
        <v/>
      </c>
      <c r="G16" s="28" t="str">
        <f>IF(COUNTIFS(JournalActions[Joueur],$B16,JournalActions[Action],$G$6,JournalActions[Mi-temps],G$7)=0,"",COUNTIFS(JournalActions[Joueur],$B16,JournalActions[Action],$G$6,JournalActions[Mi-temps],G$7))</f>
        <v/>
      </c>
      <c r="H16" s="29" t="str">
        <f>IF(COUNTIFS(JournalActions[Joueur],$B16,JournalActions[Action],$G$6,JournalActions[Mi-temps],H$7)=0,"",COUNTIFS(JournalActions[Joueur],$B16,JournalActions[Action],$G$6,JournalActions[Mi-temps],H$7))</f>
        <v/>
      </c>
      <c r="I16" t="str">
        <f>IF(COUNTIFS(JournalActions[Joueur],$B16,JournalActions[Action],$I$6,JournalActions[Mi-temps],I$7)=0,"",COUNTIFS(JournalActions[Joueur],$B16,JournalActions[Action],$I$6,JournalActions[Mi-temps],I$7))</f>
        <v/>
      </c>
      <c r="J16" t="str">
        <f>IF(COUNTIFS(JournalActions[Joueur],$B16,JournalActions[Action],$I$6,JournalActions[Mi-temps],J$7)=0,"",COUNTIFS(JournalActions[Joueur],$B16,JournalActions[Action],$I$6,JournalActions[Mi-temps],J$7))</f>
        <v/>
      </c>
      <c r="K16" s="28" t="str">
        <f>IF(COUNTIFS(JournalActions[Joueur],$B16,JournalActions[Action],$K$6,JournalActions[Mi-temps],K$7)=0,"",COUNTIFS(JournalActions[Joueur],$B16,JournalActions[Action],$K$6,JournalActions[Mi-temps],K$7))</f>
        <v/>
      </c>
      <c r="L16" t="str">
        <f>IF(COUNTIFS(JournalActions[Joueur],$B16,JournalActions[Action],$K$6,JournalActions[Mi-temps],L$7)=0,"",COUNTIFS(JournalActions[Joueur],$B16,JournalActions[Action],$K$6,JournalActions[Mi-temps],L$7))</f>
        <v/>
      </c>
      <c r="M16" s="28" t="str">
        <f>IF(COUNTIFS(JournalActions[Joueur],$B16,JournalActions[Action],ACT_GRATTAGE_NS,JournalActions[Mi-temps],M$7)=0,"",COUNTIFS(JournalActions[Joueur],$B16,JournalActions[Action],ACT_GRATTAGE_NS,JournalActions[Mi-temps],M$7))</f>
        <v/>
      </c>
      <c r="N16" s="29" t="str">
        <f>IF(COUNTIFS(JournalActions[Joueur],$B16,JournalActions[Action],ACT_GRATTAGE_NS,JournalActions[Mi-temps],N$7)=0,"",COUNTIFS(JournalActions[Joueur],$B16,JournalActions[Action],ACT_GRATTAGE_NS,JournalActions[Mi-temps],N$7))</f>
        <v/>
      </c>
      <c r="O16" s="28" t="str">
        <f>IF(COUNTIFS(JournalActions[Joueur],$B16,JournalActions[Action],$O$6,JournalActions[Mi-temps],O$7)=0,"",COUNTIFS(JournalActions[Joueur],$B16,JournalActions[Action],$O$6,JournalActions[Mi-temps],O$7))</f>
        <v/>
      </c>
      <c r="P16" s="29" t="str">
        <f>IF(COUNTIFS(JournalActions[Joueur],$B16,JournalActions[Action],$O$6,JournalActions[Mi-temps],P$7)=0,"",COUNTIFS(JournalActions[Joueur],$B16,JournalActions[Action],$O$6,JournalActions[Mi-temps],P$7))</f>
        <v/>
      </c>
      <c r="Q16" s="28" t="str">
        <f>IF(COUNTIFS(JournalActions[Joueur],$B16,JournalActions[Action],$Q$6,JournalActions[Mi-temps],Q$7)=0,"",COUNTIFS(JournalActions[Joueur],$B16,JournalActions[Action],$Q$6,JournalActions[Mi-temps],Q$7))</f>
        <v/>
      </c>
      <c r="R16" s="29" t="str">
        <f>IF(COUNTIFS(JournalActions[Joueur],$B16,JournalActions[Action],$Q$6,JournalActions[Mi-temps],R$7)=0,"",COUNTIFS(JournalActions[Joueur],$B16,JournalActions[Action],$Q$6,JournalActions[Mi-temps],R$7))</f>
        <v/>
      </c>
      <c r="S16" s="28" t="str">
        <f>IF(COUNTIFS(JournalActions[Joueur],$B16,JournalActions[Action],$S$6,JournalActions[Mi-temps],S$7)=0,"",COUNTIFS(JournalActions[Joueur],$B16,JournalActions[Action],$S$6,JournalActions[Mi-temps],S$7))</f>
        <v/>
      </c>
      <c r="T16" s="29" t="str">
        <f>IF(COUNTIFS(JournalActions[Joueur],$B16,JournalActions[Action],$S$6,JournalActions[Mi-temps],T$7)=0,"",COUNTIFS(JournalActions[Joueur],$B16,JournalActions[Action],$S$6,JournalActions[Mi-temps],T$7))</f>
        <v/>
      </c>
      <c r="U16" s="68" t="str">
        <f>IF(COUNTIFS(JournalActions[Joueur],$B16,JournalActions[Action],ACT_PEN_CONTRE_NOUS,JournalActions[Motif penalite],U$7)=0,"",COUNTIFS(JournalActions[Joueur],$B16,JournalActions[Action],ACT_PEN_CONTRE_NOUS,JournalActions[Motif penalite],U$7))</f>
        <v/>
      </c>
      <c r="V16" s="68" t="str">
        <f>IF(COUNTIFS(JournalActions[[Joueur]:[Joueur]],$B16,JournalActions[[Action]:[Action]],ACT_PEN_CONTRE_NOUS,JournalActions[[Motif penalite]:[Motif penalite]],ACT_PEN_HORS_JEU)=0,"",COUNTIFS(JournalActions[[Joueur]:[Joueur]],$B16,JournalActions[[Action]:[Action]],ACT_PEN_CONTRE_NOUS,JournalActions[[Motif penalite]:[Motif penalite]],ACT_PEN_HORS_JEU))</f>
        <v/>
      </c>
      <c r="W16" s="68" t="str">
        <f>IF(COUNTIFS(JournalActions[[Joueur]:[Joueur]],$B16,JournalActions[[Action]:[Action]],ACT_PEN_CONTRE_NOUS,JournalActions[[Motif penalite]:[Motif penalite]],ACT_PEN_PL_A_2)=0,"",COUNTIFS(JournalActions[[Joueur]:[Joueur]],$B16,JournalActions[[Action]:[Action]],ACT_PEN_CONTRE_NOUS,JournalActions[[Motif penalite]:[Motif penalite]],ACT_PEN_PL_A_2))</f>
        <v/>
      </c>
      <c r="X16" s="68" t="str">
        <f>IF(COUNTIFS(JournalActions[[Joueur]:[Joueur]],$B16,JournalActions[[Action]:[Action]],ACT_PEN_CONTRE_NOUS,JournalActions[[Motif penalite]:[Motif penalite]],ACT_PEN_PL_HAUT)=0,"",COUNTIFS(JournalActions[[Joueur]:[Joueur]],$B16,JournalActions[[Action]:[Action]],ACT_PEN_CONTRE_NOUS,JournalActions[[Motif penalite]:[Motif penalite]],ACT_PEN_PL_HAUT))</f>
        <v/>
      </c>
      <c r="Y16" s="68" t="str">
        <f>IF(COUNTIFS(JournalActions[[Joueur]:[Joueur]],$B16,JournalActions[[Action]:[Action]],ACT_PEN_CONTRE_NOUS,JournalActions[[Motif penalite]:[Motif penalite]],ACT_PEN_RUCK)=0,"",COUNTIFS(JournalActions[[Joueur]:[Joueur]],$B16,JournalActions[[Action]:[Action]],ACT_PEN_CONTRE_NOUS,JournalActions[[Motif penalite]:[Motif penalite]],ACT_PEN_RUCK))</f>
        <v/>
      </c>
      <c r="Z16" s="68" t="str">
        <f>IF(COUNTIFS(JournalActions[[Joueur]:[Joueur]],$B16,JournalActions[[Action]:[Action]],ACT_PEN_CONTRE_NOUS,JournalActions[[Motif penalite]:[Motif penalite]],"?")=0,"",COUNTIFS(JournalActions[[Joueur]:[Joueur]],$B16,JournalActions[[Action]:[Action]],ACT_PEN_CONTRE_NOUS,JournalActions[[Motif penalite]:[Motif penalite]],"?"))</f>
        <v/>
      </c>
      <c r="AH16" s="3"/>
      <c r="AI16" s="3"/>
      <c r="AJ16" s="3"/>
      <c r="AK16" s="3"/>
    </row>
    <row r="17" spans="2:37">
      <c r="B17" s="28" t="str">
        <v>DALLA ROSA Jonah</v>
      </c>
      <c r="C17" s="28" t="str">
        <f>IF(COUNTIFS(JournalActions[Joueur],$B17,JournalActions[Action],$C$6,JournalActions[Mi-temps],C$7)=0,"",COUNTIFS(JournalActions[Joueur],$B17,JournalActions[Action],$C$6,JournalActions[Mi-temps],C$7))</f>
        <v/>
      </c>
      <c r="D17" s="29" t="str">
        <f>IF(COUNTIFS(JournalActions[Joueur],$B17,JournalActions[Action],$C$6,JournalActions[Mi-temps],D$7)=0,"",COUNTIFS(JournalActions[Joueur],$B17,JournalActions[Action],$C$6,JournalActions[Mi-temps],D$7))</f>
        <v/>
      </c>
      <c r="E17" t="str">
        <f>IF(COUNTIFS(JournalActions[Joueur],$B17,JournalActions[Action],$E$6,JournalActions[Mi-temps],E$7)=0,"",COUNTIFS(JournalActions[Joueur],$B17,JournalActions[Action],$E$6,JournalActions[Mi-temps],E$7))</f>
        <v/>
      </c>
      <c r="F17" t="str">
        <f>IF(COUNTIFS(JournalActions[Joueur],$B17,JournalActions[Action],$E$6,JournalActions[Mi-temps],F$7)=0,"",COUNTIFS(JournalActions[Joueur],$B17,JournalActions[Action],$E$6,JournalActions[Mi-temps],F$7))</f>
        <v/>
      </c>
      <c r="G17" s="28" t="str">
        <f>IF(COUNTIFS(JournalActions[Joueur],$B17,JournalActions[Action],$G$6,JournalActions[Mi-temps],G$7)=0,"",COUNTIFS(JournalActions[Joueur],$B17,JournalActions[Action],$G$6,JournalActions[Mi-temps],G$7))</f>
        <v/>
      </c>
      <c r="H17" s="29" t="str">
        <f>IF(COUNTIFS(JournalActions[Joueur],$B17,JournalActions[Action],$G$6,JournalActions[Mi-temps],H$7)=0,"",COUNTIFS(JournalActions[Joueur],$B17,JournalActions[Action],$G$6,JournalActions[Mi-temps],H$7))</f>
        <v/>
      </c>
      <c r="I17" t="str">
        <f>IF(COUNTIFS(JournalActions[Joueur],$B17,JournalActions[Action],$I$6,JournalActions[Mi-temps],I$7)=0,"",COUNTIFS(JournalActions[Joueur],$B17,JournalActions[Action],$I$6,JournalActions[Mi-temps],I$7))</f>
        <v/>
      </c>
      <c r="J17" t="str">
        <f>IF(COUNTIFS(JournalActions[Joueur],$B17,JournalActions[Action],$I$6,JournalActions[Mi-temps],J$7)=0,"",COUNTIFS(JournalActions[Joueur],$B17,JournalActions[Action],$I$6,JournalActions[Mi-temps],J$7))</f>
        <v/>
      </c>
      <c r="K17" s="28" t="str">
        <f>IF(COUNTIFS(JournalActions[Joueur],$B17,JournalActions[Action],$K$6,JournalActions[Mi-temps],K$7)=0,"",COUNTIFS(JournalActions[Joueur],$B17,JournalActions[Action],$K$6,JournalActions[Mi-temps],K$7))</f>
        <v/>
      </c>
      <c r="L17" t="str">
        <f>IF(COUNTIFS(JournalActions[Joueur],$B17,JournalActions[Action],$K$6,JournalActions[Mi-temps],L$7)=0,"",COUNTIFS(JournalActions[Joueur],$B17,JournalActions[Action],$K$6,JournalActions[Mi-temps],L$7))</f>
        <v/>
      </c>
      <c r="M17" s="28" t="str">
        <f>IF(COUNTIFS(JournalActions[Joueur],$B17,JournalActions[Action],ACT_GRATTAGE_NS,JournalActions[Mi-temps],M$7)=0,"",COUNTIFS(JournalActions[Joueur],$B17,JournalActions[Action],ACT_GRATTAGE_NS,JournalActions[Mi-temps],M$7))</f>
        <v/>
      </c>
      <c r="N17" s="29" t="str">
        <f>IF(COUNTIFS(JournalActions[Joueur],$B17,JournalActions[Action],ACT_GRATTAGE_NS,JournalActions[Mi-temps],N$7)=0,"",COUNTIFS(JournalActions[Joueur],$B17,JournalActions[Action],ACT_GRATTAGE_NS,JournalActions[Mi-temps],N$7))</f>
        <v/>
      </c>
      <c r="O17" s="28" t="str">
        <f>IF(COUNTIFS(JournalActions[Joueur],$B17,JournalActions[Action],$O$6,JournalActions[Mi-temps],O$7)=0,"",COUNTIFS(JournalActions[Joueur],$B17,JournalActions[Action],$O$6,JournalActions[Mi-temps],O$7))</f>
        <v/>
      </c>
      <c r="P17" s="29" t="str">
        <f>IF(COUNTIFS(JournalActions[Joueur],$B17,JournalActions[Action],$O$6,JournalActions[Mi-temps],P$7)=0,"",COUNTIFS(JournalActions[Joueur],$B17,JournalActions[Action],$O$6,JournalActions[Mi-temps],P$7))</f>
        <v/>
      </c>
      <c r="Q17" s="28" t="str">
        <f>IF(COUNTIFS(JournalActions[Joueur],$B17,JournalActions[Action],$Q$6,JournalActions[Mi-temps],Q$7)=0,"",COUNTIFS(JournalActions[Joueur],$B17,JournalActions[Action],$Q$6,JournalActions[Mi-temps],Q$7))</f>
        <v/>
      </c>
      <c r="R17" s="29" t="str">
        <f>IF(COUNTIFS(JournalActions[Joueur],$B17,JournalActions[Action],$Q$6,JournalActions[Mi-temps],R$7)=0,"",COUNTIFS(JournalActions[Joueur],$B17,JournalActions[Action],$Q$6,JournalActions[Mi-temps],R$7))</f>
        <v/>
      </c>
      <c r="S17" s="28" t="str">
        <f>IF(COUNTIFS(JournalActions[Joueur],$B17,JournalActions[Action],$S$6,JournalActions[Mi-temps],S$7)=0,"",COUNTIFS(JournalActions[Joueur],$B17,JournalActions[Action],$S$6,JournalActions[Mi-temps],S$7))</f>
        <v/>
      </c>
      <c r="T17" s="29" t="str">
        <f>IF(COUNTIFS(JournalActions[Joueur],$B17,JournalActions[Action],$S$6,JournalActions[Mi-temps],T$7)=0,"",COUNTIFS(JournalActions[Joueur],$B17,JournalActions[Action],$S$6,JournalActions[Mi-temps],T$7))</f>
        <v/>
      </c>
      <c r="U17" s="68" t="str">
        <f>IF(COUNTIFS(JournalActions[Joueur],$B17,JournalActions[Action],ACT_PEN_CONTRE_NOUS,JournalActions[Motif penalite],U$7)=0,"",COUNTIFS(JournalActions[Joueur],$B17,JournalActions[Action],ACT_PEN_CONTRE_NOUS,JournalActions[Motif penalite],U$7))</f>
        <v/>
      </c>
      <c r="V17" s="68" t="str">
        <f>IF(COUNTIFS(JournalActions[[Joueur]:[Joueur]],$B17,JournalActions[[Action]:[Action]],ACT_PEN_CONTRE_NOUS,JournalActions[[Motif penalite]:[Motif penalite]],ACT_PEN_HORS_JEU)=0,"",COUNTIFS(JournalActions[[Joueur]:[Joueur]],$B17,JournalActions[[Action]:[Action]],ACT_PEN_CONTRE_NOUS,JournalActions[[Motif penalite]:[Motif penalite]],ACT_PEN_HORS_JEU))</f>
        <v/>
      </c>
      <c r="W17" s="68" t="str">
        <f>IF(COUNTIFS(JournalActions[[Joueur]:[Joueur]],$B17,JournalActions[[Action]:[Action]],ACT_PEN_CONTRE_NOUS,JournalActions[[Motif penalite]:[Motif penalite]],ACT_PEN_PL_A_2)=0,"",COUNTIFS(JournalActions[[Joueur]:[Joueur]],$B17,JournalActions[[Action]:[Action]],ACT_PEN_CONTRE_NOUS,JournalActions[[Motif penalite]:[Motif penalite]],ACT_PEN_PL_A_2))</f>
        <v/>
      </c>
      <c r="X17" s="68" t="str">
        <f>IF(COUNTIFS(JournalActions[[Joueur]:[Joueur]],$B17,JournalActions[[Action]:[Action]],ACT_PEN_CONTRE_NOUS,JournalActions[[Motif penalite]:[Motif penalite]],ACT_PEN_PL_HAUT)=0,"",COUNTIFS(JournalActions[[Joueur]:[Joueur]],$B17,JournalActions[[Action]:[Action]],ACT_PEN_CONTRE_NOUS,JournalActions[[Motif penalite]:[Motif penalite]],ACT_PEN_PL_HAUT))</f>
        <v/>
      </c>
      <c r="Y17" s="68" t="str">
        <f>IF(COUNTIFS(JournalActions[[Joueur]:[Joueur]],$B17,JournalActions[[Action]:[Action]],ACT_PEN_CONTRE_NOUS,JournalActions[[Motif penalite]:[Motif penalite]],ACT_PEN_RUCK)=0,"",COUNTIFS(JournalActions[[Joueur]:[Joueur]],$B17,JournalActions[[Action]:[Action]],ACT_PEN_CONTRE_NOUS,JournalActions[[Motif penalite]:[Motif penalite]],ACT_PEN_RUCK))</f>
        <v/>
      </c>
      <c r="Z17" s="68" t="str">
        <f>IF(COUNTIFS(JournalActions[[Joueur]:[Joueur]],$B17,JournalActions[[Action]:[Action]],ACT_PEN_CONTRE_NOUS,JournalActions[[Motif penalite]:[Motif penalite]],"?")=0,"",COUNTIFS(JournalActions[[Joueur]:[Joueur]],$B17,JournalActions[[Action]:[Action]],ACT_PEN_CONTRE_NOUS,JournalActions[[Motif penalite]:[Motif penalite]],"?"))</f>
        <v/>
      </c>
      <c r="AH17" s="3"/>
      <c r="AI17" s="3"/>
      <c r="AJ17" s="3"/>
      <c r="AK17" s="3"/>
    </row>
    <row r="18" spans="2:37">
      <c r="B18" s="28" t="str">
        <v>DUTREY Thomas</v>
      </c>
      <c r="C18" s="28" t="str">
        <f>IF(COUNTIFS(JournalActions[Joueur],$B18,JournalActions[Action],$C$6,JournalActions[Mi-temps],C$7)=0,"",COUNTIFS(JournalActions[Joueur],$B18,JournalActions[Action],$C$6,JournalActions[Mi-temps],C$7))</f>
        <v/>
      </c>
      <c r="D18" s="29" t="str">
        <f>IF(COUNTIFS(JournalActions[Joueur],$B18,JournalActions[Action],$C$6,JournalActions[Mi-temps],D$7)=0,"",COUNTIFS(JournalActions[Joueur],$B18,JournalActions[Action],$C$6,JournalActions[Mi-temps],D$7))</f>
        <v/>
      </c>
      <c r="E18" t="str">
        <f>IF(COUNTIFS(JournalActions[Joueur],$B18,JournalActions[Action],$E$6,JournalActions[Mi-temps],E$7)=0,"",COUNTIFS(JournalActions[Joueur],$B18,JournalActions[Action],$E$6,JournalActions[Mi-temps],E$7))</f>
        <v/>
      </c>
      <c r="F18" t="str">
        <f>IF(COUNTIFS(JournalActions[Joueur],$B18,JournalActions[Action],$E$6,JournalActions[Mi-temps],F$7)=0,"",COUNTIFS(JournalActions[Joueur],$B18,JournalActions[Action],$E$6,JournalActions[Mi-temps],F$7))</f>
        <v/>
      </c>
      <c r="G18" s="28" t="str">
        <f>IF(COUNTIFS(JournalActions[Joueur],$B18,JournalActions[Action],$G$6,JournalActions[Mi-temps],G$7)=0,"",COUNTIFS(JournalActions[Joueur],$B18,JournalActions[Action],$G$6,JournalActions[Mi-temps],G$7))</f>
        <v/>
      </c>
      <c r="H18" s="29" t="str">
        <f>IF(COUNTIFS(JournalActions[Joueur],$B18,JournalActions[Action],$G$6,JournalActions[Mi-temps],H$7)=0,"",COUNTIFS(JournalActions[Joueur],$B18,JournalActions[Action],$G$6,JournalActions[Mi-temps],H$7))</f>
        <v/>
      </c>
      <c r="I18" t="str">
        <f>IF(COUNTIFS(JournalActions[Joueur],$B18,JournalActions[Action],$I$6,JournalActions[Mi-temps],I$7)=0,"",COUNTIFS(JournalActions[Joueur],$B18,JournalActions[Action],$I$6,JournalActions[Mi-temps],I$7))</f>
        <v/>
      </c>
      <c r="J18" t="str">
        <f>IF(COUNTIFS(JournalActions[Joueur],$B18,JournalActions[Action],$I$6,JournalActions[Mi-temps],J$7)=0,"",COUNTIFS(JournalActions[Joueur],$B18,JournalActions[Action],$I$6,JournalActions[Mi-temps],J$7))</f>
        <v/>
      </c>
      <c r="K18" s="28" t="str">
        <f>IF(COUNTIFS(JournalActions[Joueur],$B18,JournalActions[Action],$K$6,JournalActions[Mi-temps],K$7)=0,"",COUNTIFS(JournalActions[Joueur],$B18,JournalActions[Action],$K$6,JournalActions[Mi-temps],K$7))</f>
        <v/>
      </c>
      <c r="L18" t="str">
        <f>IF(COUNTIFS(JournalActions[Joueur],$B18,JournalActions[Action],$K$6,JournalActions[Mi-temps],L$7)=0,"",COUNTIFS(JournalActions[Joueur],$B18,JournalActions[Action],$K$6,JournalActions[Mi-temps],L$7))</f>
        <v/>
      </c>
      <c r="M18" s="28" t="str">
        <f>IF(COUNTIFS(JournalActions[Joueur],$B18,JournalActions[Action],ACT_GRATTAGE_NS,JournalActions[Mi-temps],M$7)=0,"",COUNTIFS(JournalActions[Joueur],$B18,JournalActions[Action],ACT_GRATTAGE_NS,JournalActions[Mi-temps],M$7))</f>
        <v/>
      </c>
      <c r="N18" s="29" t="str">
        <f>IF(COUNTIFS(JournalActions[Joueur],$B18,JournalActions[Action],ACT_GRATTAGE_NS,JournalActions[Mi-temps],N$7)=0,"",COUNTIFS(JournalActions[Joueur],$B18,JournalActions[Action],ACT_GRATTAGE_NS,JournalActions[Mi-temps],N$7))</f>
        <v/>
      </c>
      <c r="O18" s="28" t="str">
        <f>IF(COUNTIFS(JournalActions[Joueur],$B18,JournalActions[Action],$O$6,JournalActions[Mi-temps],O$7)=0,"",COUNTIFS(JournalActions[Joueur],$B18,JournalActions[Action],$O$6,JournalActions[Mi-temps],O$7))</f>
        <v/>
      </c>
      <c r="P18" s="29" t="str">
        <f>IF(COUNTIFS(JournalActions[Joueur],$B18,JournalActions[Action],$O$6,JournalActions[Mi-temps],P$7)=0,"",COUNTIFS(JournalActions[Joueur],$B18,JournalActions[Action],$O$6,JournalActions[Mi-temps],P$7))</f>
        <v/>
      </c>
      <c r="Q18" s="28" t="str">
        <f>IF(COUNTIFS(JournalActions[Joueur],$B18,JournalActions[Action],$Q$6,JournalActions[Mi-temps],Q$7)=0,"",COUNTIFS(JournalActions[Joueur],$B18,JournalActions[Action],$Q$6,JournalActions[Mi-temps],Q$7))</f>
        <v/>
      </c>
      <c r="R18" s="29" t="str">
        <f>IF(COUNTIFS(JournalActions[Joueur],$B18,JournalActions[Action],$Q$6,JournalActions[Mi-temps],R$7)=0,"",COUNTIFS(JournalActions[Joueur],$B18,JournalActions[Action],$Q$6,JournalActions[Mi-temps],R$7))</f>
        <v/>
      </c>
      <c r="S18" s="28" t="str">
        <f>IF(COUNTIFS(JournalActions[Joueur],$B18,JournalActions[Action],$S$6,JournalActions[Mi-temps],S$7)=0,"",COUNTIFS(JournalActions[Joueur],$B18,JournalActions[Action],$S$6,JournalActions[Mi-temps],S$7))</f>
        <v/>
      </c>
      <c r="T18" s="29" t="str">
        <f>IF(COUNTIFS(JournalActions[Joueur],$B18,JournalActions[Action],$S$6,JournalActions[Mi-temps],T$7)=0,"",COUNTIFS(JournalActions[Joueur],$B18,JournalActions[Action],$S$6,JournalActions[Mi-temps],T$7))</f>
        <v/>
      </c>
      <c r="U18" s="68" t="str">
        <f>IF(COUNTIFS(JournalActions[Joueur],$B18,JournalActions[Action],ACT_PEN_CONTRE_NOUS,JournalActions[Motif penalite],U$7)=0,"",COUNTIFS(JournalActions[Joueur],$B18,JournalActions[Action],ACT_PEN_CONTRE_NOUS,JournalActions[Motif penalite],U$7))</f>
        <v/>
      </c>
      <c r="V18" s="68" t="str">
        <f>IF(COUNTIFS(JournalActions[[Joueur]:[Joueur]],$B18,JournalActions[[Action]:[Action]],ACT_PEN_CONTRE_NOUS,JournalActions[[Motif penalite]:[Motif penalite]],ACT_PEN_HORS_JEU)=0,"",COUNTIFS(JournalActions[[Joueur]:[Joueur]],$B18,JournalActions[[Action]:[Action]],ACT_PEN_CONTRE_NOUS,JournalActions[[Motif penalite]:[Motif penalite]],ACT_PEN_HORS_JEU))</f>
        <v/>
      </c>
      <c r="W18" s="68" t="str">
        <f>IF(COUNTIFS(JournalActions[[Joueur]:[Joueur]],$B18,JournalActions[[Action]:[Action]],ACT_PEN_CONTRE_NOUS,JournalActions[[Motif penalite]:[Motif penalite]],ACT_PEN_PL_A_2)=0,"",COUNTIFS(JournalActions[[Joueur]:[Joueur]],$B18,JournalActions[[Action]:[Action]],ACT_PEN_CONTRE_NOUS,JournalActions[[Motif penalite]:[Motif penalite]],ACT_PEN_PL_A_2))</f>
        <v/>
      </c>
      <c r="X18" s="68" t="str">
        <f>IF(COUNTIFS(JournalActions[[Joueur]:[Joueur]],$B18,JournalActions[[Action]:[Action]],ACT_PEN_CONTRE_NOUS,JournalActions[[Motif penalite]:[Motif penalite]],ACT_PEN_PL_HAUT)=0,"",COUNTIFS(JournalActions[[Joueur]:[Joueur]],$B18,JournalActions[[Action]:[Action]],ACT_PEN_CONTRE_NOUS,JournalActions[[Motif penalite]:[Motif penalite]],ACT_PEN_PL_HAUT))</f>
        <v/>
      </c>
      <c r="Y18" s="68" t="str">
        <f>IF(COUNTIFS(JournalActions[[Joueur]:[Joueur]],$B18,JournalActions[[Action]:[Action]],ACT_PEN_CONTRE_NOUS,JournalActions[[Motif penalite]:[Motif penalite]],ACT_PEN_RUCK)=0,"",COUNTIFS(JournalActions[[Joueur]:[Joueur]],$B18,JournalActions[[Action]:[Action]],ACT_PEN_CONTRE_NOUS,JournalActions[[Motif penalite]:[Motif penalite]],ACT_PEN_RUCK))</f>
        <v/>
      </c>
      <c r="Z18" s="68" t="str">
        <f>IF(COUNTIFS(JournalActions[[Joueur]:[Joueur]],$B18,JournalActions[[Action]:[Action]],ACT_PEN_CONTRE_NOUS,JournalActions[[Motif penalite]:[Motif penalite]],"?")=0,"",COUNTIFS(JournalActions[[Joueur]:[Joueur]],$B18,JournalActions[[Action]:[Action]],ACT_PEN_CONTRE_NOUS,JournalActions[[Motif penalite]:[Motif penalite]],"?"))</f>
        <v/>
      </c>
      <c r="AH18" s="3"/>
      <c r="AI18" s="3"/>
      <c r="AJ18" s="3"/>
      <c r="AK18" s="3"/>
    </row>
    <row r="19" spans="2:37">
      <c r="B19" s="28" t="str">
        <v>GALLINARO Pierrick</v>
      </c>
      <c r="C19" s="28" t="str">
        <f>IF(COUNTIFS(JournalActions[Joueur],$B19,JournalActions[Action],$C$6,JournalActions[Mi-temps],C$7)=0,"",COUNTIFS(JournalActions[Joueur],$B19,JournalActions[Action],$C$6,JournalActions[Mi-temps],C$7))</f>
        <v/>
      </c>
      <c r="D19" s="29" t="str">
        <f>IF(COUNTIFS(JournalActions[Joueur],$B19,JournalActions[Action],$C$6,JournalActions[Mi-temps],D$7)=0,"",COUNTIFS(JournalActions[Joueur],$B19,JournalActions[Action],$C$6,JournalActions[Mi-temps],D$7))</f>
        <v/>
      </c>
      <c r="E19" t="str">
        <f>IF(COUNTIFS(JournalActions[Joueur],$B19,JournalActions[Action],$E$6,JournalActions[Mi-temps],E$7)=0,"",COUNTIFS(JournalActions[Joueur],$B19,JournalActions[Action],$E$6,JournalActions[Mi-temps],E$7))</f>
        <v/>
      </c>
      <c r="F19" t="str">
        <f>IF(COUNTIFS(JournalActions[Joueur],$B19,JournalActions[Action],$E$6,JournalActions[Mi-temps],F$7)=0,"",COUNTIFS(JournalActions[Joueur],$B19,JournalActions[Action],$E$6,JournalActions[Mi-temps],F$7))</f>
        <v/>
      </c>
      <c r="G19" s="28" t="str">
        <f>IF(COUNTIFS(JournalActions[Joueur],$B19,JournalActions[Action],$G$6,JournalActions[Mi-temps],G$7)=0,"",COUNTIFS(JournalActions[Joueur],$B19,JournalActions[Action],$G$6,JournalActions[Mi-temps],G$7))</f>
        <v/>
      </c>
      <c r="H19" s="29" t="str">
        <f>IF(COUNTIFS(JournalActions[Joueur],$B19,JournalActions[Action],$G$6,JournalActions[Mi-temps],H$7)=0,"",COUNTIFS(JournalActions[Joueur],$B19,JournalActions[Action],$G$6,JournalActions[Mi-temps],H$7))</f>
        <v/>
      </c>
      <c r="I19" t="str">
        <f>IF(COUNTIFS(JournalActions[Joueur],$B19,JournalActions[Action],$I$6,JournalActions[Mi-temps],I$7)=0,"",COUNTIFS(JournalActions[Joueur],$B19,JournalActions[Action],$I$6,JournalActions[Mi-temps],I$7))</f>
        <v/>
      </c>
      <c r="J19" t="str">
        <f>IF(COUNTIFS(JournalActions[Joueur],$B19,JournalActions[Action],$I$6,JournalActions[Mi-temps],J$7)=0,"",COUNTIFS(JournalActions[Joueur],$B19,JournalActions[Action],$I$6,JournalActions[Mi-temps],J$7))</f>
        <v/>
      </c>
      <c r="K19" s="28" t="str">
        <f>IF(COUNTIFS(JournalActions[Joueur],$B19,JournalActions[Action],$K$6,JournalActions[Mi-temps],K$7)=0,"",COUNTIFS(JournalActions[Joueur],$B19,JournalActions[Action],$K$6,JournalActions[Mi-temps],K$7))</f>
        <v/>
      </c>
      <c r="L19" t="str">
        <f>IF(COUNTIFS(JournalActions[Joueur],$B19,JournalActions[Action],$K$6,JournalActions[Mi-temps],L$7)=0,"",COUNTIFS(JournalActions[Joueur],$B19,JournalActions[Action],$K$6,JournalActions[Mi-temps],L$7))</f>
        <v/>
      </c>
      <c r="M19" s="28" t="str">
        <f>IF(COUNTIFS(JournalActions[Joueur],$B19,JournalActions[Action],ACT_GRATTAGE_NS,JournalActions[Mi-temps],M$7)=0,"",COUNTIFS(JournalActions[Joueur],$B19,JournalActions[Action],ACT_GRATTAGE_NS,JournalActions[Mi-temps],M$7))</f>
        <v/>
      </c>
      <c r="N19" s="29" t="str">
        <f>IF(COUNTIFS(JournalActions[Joueur],$B19,JournalActions[Action],ACT_GRATTAGE_NS,JournalActions[Mi-temps],N$7)=0,"",COUNTIFS(JournalActions[Joueur],$B19,JournalActions[Action],ACT_GRATTAGE_NS,JournalActions[Mi-temps],N$7))</f>
        <v/>
      </c>
      <c r="O19" s="28" t="str">
        <f>IF(COUNTIFS(JournalActions[Joueur],$B19,JournalActions[Action],$O$6,JournalActions[Mi-temps],O$7)=0,"",COUNTIFS(JournalActions[Joueur],$B19,JournalActions[Action],$O$6,JournalActions[Mi-temps],O$7))</f>
        <v/>
      </c>
      <c r="P19" s="29" t="str">
        <f>IF(COUNTIFS(JournalActions[Joueur],$B19,JournalActions[Action],$O$6,JournalActions[Mi-temps],P$7)=0,"",COUNTIFS(JournalActions[Joueur],$B19,JournalActions[Action],$O$6,JournalActions[Mi-temps],P$7))</f>
        <v/>
      </c>
      <c r="Q19" s="28" t="str">
        <f>IF(COUNTIFS(JournalActions[Joueur],$B19,JournalActions[Action],$Q$6,JournalActions[Mi-temps],Q$7)=0,"",COUNTIFS(JournalActions[Joueur],$B19,JournalActions[Action],$Q$6,JournalActions[Mi-temps],Q$7))</f>
        <v/>
      </c>
      <c r="R19" s="29" t="str">
        <f>IF(COUNTIFS(JournalActions[Joueur],$B19,JournalActions[Action],$Q$6,JournalActions[Mi-temps],R$7)=0,"",COUNTIFS(JournalActions[Joueur],$B19,JournalActions[Action],$Q$6,JournalActions[Mi-temps],R$7))</f>
        <v/>
      </c>
      <c r="S19" s="28" t="str">
        <f>IF(COUNTIFS(JournalActions[Joueur],$B19,JournalActions[Action],$S$6,JournalActions[Mi-temps],S$7)=0,"",COUNTIFS(JournalActions[Joueur],$B19,JournalActions[Action],$S$6,JournalActions[Mi-temps],S$7))</f>
        <v/>
      </c>
      <c r="T19" s="29" t="str">
        <f>IF(COUNTIFS(JournalActions[Joueur],$B19,JournalActions[Action],$S$6,JournalActions[Mi-temps],T$7)=0,"",COUNTIFS(JournalActions[Joueur],$B19,JournalActions[Action],$S$6,JournalActions[Mi-temps],T$7))</f>
        <v/>
      </c>
      <c r="U19" s="68" t="str">
        <f>IF(COUNTIFS(JournalActions[Joueur],$B19,JournalActions[Action],ACT_PEN_CONTRE_NOUS,JournalActions[Motif penalite],U$7)=0,"",COUNTIFS(JournalActions[Joueur],$B19,JournalActions[Action],ACT_PEN_CONTRE_NOUS,JournalActions[Motif penalite],U$7))</f>
        <v/>
      </c>
      <c r="V19" s="68" t="str">
        <f>IF(COUNTIFS(JournalActions[[Joueur]:[Joueur]],$B19,JournalActions[[Action]:[Action]],ACT_PEN_CONTRE_NOUS,JournalActions[[Motif penalite]:[Motif penalite]],ACT_PEN_HORS_JEU)=0,"",COUNTIFS(JournalActions[[Joueur]:[Joueur]],$B19,JournalActions[[Action]:[Action]],ACT_PEN_CONTRE_NOUS,JournalActions[[Motif penalite]:[Motif penalite]],ACT_PEN_HORS_JEU))</f>
        <v/>
      </c>
      <c r="W19" s="68" t="str">
        <f>IF(COUNTIFS(JournalActions[[Joueur]:[Joueur]],$B19,JournalActions[[Action]:[Action]],ACT_PEN_CONTRE_NOUS,JournalActions[[Motif penalite]:[Motif penalite]],ACT_PEN_PL_A_2)=0,"",COUNTIFS(JournalActions[[Joueur]:[Joueur]],$B19,JournalActions[[Action]:[Action]],ACT_PEN_CONTRE_NOUS,JournalActions[[Motif penalite]:[Motif penalite]],ACT_PEN_PL_A_2))</f>
        <v/>
      </c>
      <c r="X19" s="68" t="str">
        <f>IF(COUNTIFS(JournalActions[[Joueur]:[Joueur]],$B19,JournalActions[[Action]:[Action]],ACT_PEN_CONTRE_NOUS,JournalActions[[Motif penalite]:[Motif penalite]],ACT_PEN_PL_HAUT)=0,"",COUNTIFS(JournalActions[[Joueur]:[Joueur]],$B19,JournalActions[[Action]:[Action]],ACT_PEN_CONTRE_NOUS,JournalActions[[Motif penalite]:[Motif penalite]],ACT_PEN_PL_HAUT))</f>
        <v/>
      </c>
      <c r="Y19" s="68" t="str">
        <f>IF(COUNTIFS(JournalActions[[Joueur]:[Joueur]],$B19,JournalActions[[Action]:[Action]],ACT_PEN_CONTRE_NOUS,JournalActions[[Motif penalite]:[Motif penalite]],ACT_PEN_RUCK)=0,"",COUNTIFS(JournalActions[[Joueur]:[Joueur]],$B19,JournalActions[[Action]:[Action]],ACT_PEN_CONTRE_NOUS,JournalActions[[Motif penalite]:[Motif penalite]],ACT_PEN_RUCK))</f>
        <v/>
      </c>
      <c r="Z19" s="68" t="str">
        <f>IF(COUNTIFS(JournalActions[[Joueur]:[Joueur]],$B19,JournalActions[[Action]:[Action]],ACT_PEN_CONTRE_NOUS,JournalActions[[Motif penalite]:[Motif penalite]],"?")=0,"",COUNTIFS(JournalActions[[Joueur]:[Joueur]],$B19,JournalActions[[Action]:[Action]],ACT_PEN_CONTRE_NOUS,JournalActions[[Motif penalite]:[Motif penalite]],"?"))</f>
        <v/>
      </c>
      <c r="AH19" s="3"/>
      <c r="AI19" s="3"/>
      <c r="AJ19" s="3"/>
      <c r="AK19" s="3"/>
    </row>
    <row r="20" spans="2:37">
      <c r="B20" s="28" t="str">
        <v>JOUNAUX Joris</v>
      </c>
      <c r="C20" s="28" t="str">
        <f>IF(COUNTIFS(JournalActions[Joueur],$B20,JournalActions[Action],$C$6,JournalActions[Mi-temps],C$7)=0,"",COUNTIFS(JournalActions[Joueur],$B20,JournalActions[Action],$C$6,JournalActions[Mi-temps],C$7))</f>
        <v/>
      </c>
      <c r="D20" s="29" t="str">
        <f>IF(COUNTIFS(JournalActions[Joueur],$B20,JournalActions[Action],$C$6,JournalActions[Mi-temps],D$7)=0,"",COUNTIFS(JournalActions[Joueur],$B20,JournalActions[Action],$C$6,JournalActions[Mi-temps],D$7))</f>
        <v/>
      </c>
      <c r="E20" t="str">
        <f>IF(COUNTIFS(JournalActions[Joueur],$B20,JournalActions[Action],$E$6,JournalActions[Mi-temps],E$7)=0,"",COUNTIFS(JournalActions[Joueur],$B20,JournalActions[Action],$E$6,JournalActions[Mi-temps],E$7))</f>
        <v/>
      </c>
      <c r="F20" t="str">
        <f>IF(COUNTIFS(JournalActions[Joueur],$B20,JournalActions[Action],$E$6,JournalActions[Mi-temps],F$7)=0,"",COUNTIFS(JournalActions[Joueur],$B20,JournalActions[Action],$E$6,JournalActions[Mi-temps],F$7))</f>
        <v/>
      </c>
      <c r="G20" s="28" t="str">
        <f>IF(COUNTIFS(JournalActions[Joueur],$B20,JournalActions[Action],$G$6,JournalActions[Mi-temps],G$7)=0,"",COUNTIFS(JournalActions[Joueur],$B20,JournalActions[Action],$G$6,JournalActions[Mi-temps],G$7))</f>
        <v/>
      </c>
      <c r="H20" s="29" t="str">
        <f>IF(COUNTIFS(JournalActions[Joueur],$B20,JournalActions[Action],$G$6,JournalActions[Mi-temps],H$7)=0,"",COUNTIFS(JournalActions[Joueur],$B20,JournalActions[Action],$G$6,JournalActions[Mi-temps],H$7))</f>
        <v/>
      </c>
      <c r="I20" t="str">
        <f>IF(COUNTIFS(JournalActions[Joueur],$B20,JournalActions[Action],$I$6,JournalActions[Mi-temps],I$7)=0,"",COUNTIFS(JournalActions[Joueur],$B20,JournalActions[Action],$I$6,JournalActions[Mi-temps],I$7))</f>
        <v/>
      </c>
      <c r="J20" t="str">
        <f>IF(COUNTIFS(JournalActions[Joueur],$B20,JournalActions[Action],$I$6,JournalActions[Mi-temps],J$7)=0,"",COUNTIFS(JournalActions[Joueur],$B20,JournalActions[Action],$I$6,JournalActions[Mi-temps],J$7))</f>
        <v/>
      </c>
      <c r="K20" s="28" t="str">
        <f>IF(COUNTIFS(JournalActions[Joueur],$B20,JournalActions[Action],$K$6,JournalActions[Mi-temps],K$7)=0,"",COUNTIFS(JournalActions[Joueur],$B20,JournalActions[Action],$K$6,JournalActions[Mi-temps],K$7))</f>
        <v/>
      </c>
      <c r="L20" t="str">
        <f>IF(COUNTIFS(JournalActions[Joueur],$B20,JournalActions[Action],$K$6,JournalActions[Mi-temps],L$7)=0,"",COUNTIFS(JournalActions[Joueur],$B20,JournalActions[Action],$K$6,JournalActions[Mi-temps],L$7))</f>
        <v/>
      </c>
      <c r="M20" s="28" t="str">
        <f>IF(COUNTIFS(JournalActions[Joueur],$B20,JournalActions[Action],ACT_GRATTAGE_NS,JournalActions[Mi-temps],M$7)=0,"",COUNTIFS(JournalActions[Joueur],$B20,JournalActions[Action],ACT_GRATTAGE_NS,JournalActions[Mi-temps],M$7))</f>
        <v/>
      </c>
      <c r="N20" s="29" t="str">
        <f>IF(COUNTIFS(JournalActions[Joueur],$B20,JournalActions[Action],ACT_GRATTAGE_NS,JournalActions[Mi-temps],N$7)=0,"",COUNTIFS(JournalActions[Joueur],$B20,JournalActions[Action],ACT_GRATTAGE_NS,JournalActions[Mi-temps],N$7))</f>
        <v/>
      </c>
      <c r="O20" s="28" t="str">
        <f>IF(COUNTIFS(JournalActions[Joueur],$B20,JournalActions[Action],$O$6,JournalActions[Mi-temps],O$7)=0,"",COUNTIFS(JournalActions[Joueur],$B20,JournalActions[Action],$O$6,JournalActions[Mi-temps],O$7))</f>
        <v/>
      </c>
      <c r="P20" s="29" t="str">
        <f>IF(COUNTIFS(JournalActions[Joueur],$B20,JournalActions[Action],$O$6,JournalActions[Mi-temps],P$7)=0,"",COUNTIFS(JournalActions[Joueur],$B20,JournalActions[Action],$O$6,JournalActions[Mi-temps],P$7))</f>
        <v/>
      </c>
      <c r="Q20" s="28" t="str">
        <f>IF(COUNTIFS(JournalActions[Joueur],$B20,JournalActions[Action],$Q$6,JournalActions[Mi-temps],Q$7)=0,"",COUNTIFS(JournalActions[Joueur],$B20,JournalActions[Action],$Q$6,JournalActions[Mi-temps],Q$7))</f>
        <v/>
      </c>
      <c r="R20" s="29" t="str">
        <f>IF(COUNTIFS(JournalActions[Joueur],$B20,JournalActions[Action],$Q$6,JournalActions[Mi-temps],R$7)=0,"",COUNTIFS(JournalActions[Joueur],$B20,JournalActions[Action],$Q$6,JournalActions[Mi-temps],R$7))</f>
        <v/>
      </c>
      <c r="S20" s="28" t="str">
        <f>IF(COUNTIFS(JournalActions[Joueur],$B20,JournalActions[Action],$S$6,JournalActions[Mi-temps],S$7)=0,"",COUNTIFS(JournalActions[Joueur],$B20,JournalActions[Action],$S$6,JournalActions[Mi-temps],S$7))</f>
        <v/>
      </c>
      <c r="T20" s="29" t="str">
        <f>IF(COUNTIFS(JournalActions[Joueur],$B20,JournalActions[Action],$S$6,JournalActions[Mi-temps],T$7)=0,"",COUNTIFS(JournalActions[Joueur],$B20,JournalActions[Action],$S$6,JournalActions[Mi-temps],T$7))</f>
        <v/>
      </c>
      <c r="U20" s="68" t="str">
        <f>IF(COUNTIFS(JournalActions[Joueur],$B20,JournalActions[Action],ACT_PEN_CONTRE_NOUS,JournalActions[Motif penalite],U$7)=0,"",COUNTIFS(JournalActions[Joueur],$B20,JournalActions[Action],ACT_PEN_CONTRE_NOUS,JournalActions[Motif penalite],U$7))</f>
        <v/>
      </c>
      <c r="V20" s="68" t="str">
        <f>IF(COUNTIFS(JournalActions[[Joueur]:[Joueur]],$B20,JournalActions[[Action]:[Action]],ACT_PEN_CONTRE_NOUS,JournalActions[[Motif penalite]:[Motif penalite]],ACT_PEN_HORS_JEU)=0,"",COUNTIFS(JournalActions[[Joueur]:[Joueur]],$B20,JournalActions[[Action]:[Action]],ACT_PEN_CONTRE_NOUS,JournalActions[[Motif penalite]:[Motif penalite]],ACT_PEN_HORS_JEU))</f>
        <v/>
      </c>
      <c r="W20" s="68" t="str">
        <f>IF(COUNTIFS(JournalActions[[Joueur]:[Joueur]],$B20,JournalActions[[Action]:[Action]],ACT_PEN_CONTRE_NOUS,JournalActions[[Motif penalite]:[Motif penalite]],ACT_PEN_PL_A_2)=0,"",COUNTIFS(JournalActions[[Joueur]:[Joueur]],$B20,JournalActions[[Action]:[Action]],ACT_PEN_CONTRE_NOUS,JournalActions[[Motif penalite]:[Motif penalite]],ACT_PEN_PL_A_2))</f>
        <v/>
      </c>
      <c r="X20" s="68" t="str">
        <f>IF(COUNTIFS(JournalActions[[Joueur]:[Joueur]],$B20,JournalActions[[Action]:[Action]],ACT_PEN_CONTRE_NOUS,JournalActions[[Motif penalite]:[Motif penalite]],ACT_PEN_PL_HAUT)=0,"",COUNTIFS(JournalActions[[Joueur]:[Joueur]],$B20,JournalActions[[Action]:[Action]],ACT_PEN_CONTRE_NOUS,JournalActions[[Motif penalite]:[Motif penalite]],ACT_PEN_PL_HAUT))</f>
        <v/>
      </c>
      <c r="Y20" s="68" t="str">
        <f>IF(COUNTIFS(JournalActions[[Joueur]:[Joueur]],$B20,JournalActions[[Action]:[Action]],ACT_PEN_CONTRE_NOUS,JournalActions[[Motif penalite]:[Motif penalite]],ACT_PEN_RUCK)=0,"",COUNTIFS(JournalActions[[Joueur]:[Joueur]],$B20,JournalActions[[Action]:[Action]],ACT_PEN_CONTRE_NOUS,JournalActions[[Motif penalite]:[Motif penalite]],ACT_PEN_RUCK))</f>
        <v/>
      </c>
      <c r="Z20" s="68" t="str">
        <f>IF(COUNTIFS(JournalActions[[Joueur]:[Joueur]],$B20,JournalActions[[Action]:[Action]],ACT_PEN_CONTRE_NOUS,JournalActions[[Motif penalite]:[Motif penalite]],"?")=0,"",COUNTIFS(JournalActions[[Joueur]:[Joueur]],$B20,JournalActions[[Action]:[Action]],ACT_PEN_CONTRE_NOUS,JournalActions[[Motif penalite]:[Motif penalite]],"?"))</f>
        <v/>
      </c>
    </row>
    <row r="21" spans="2:37">
      <c r="B21" s="28" t="str">
        <v>KAPFER Bastien</v>
      </c>
      <c r="C21" s="28" t="str">
        <f>IF(COUNTIFS(JournalActions[Joueur],$B21,JournalActions[Action],$C$6,JournalActions[Mi-temps],C$7)=0,"",COUNTIFS(JournalActions[Joueur],$B21,JournalActions[Action],$C$6,JournalActions[Mi-temps],C$7))</f>
        <v/>
      </c>
      <c r="D21" s="29" t="str">
        <f>IF(COUNTIFS(JournalActions[Joueur],$B21,JournalActions[Action],$C$6,JournalActions[Mi-temps],D$7)=0,"",COUNTIFS(JournalActions[Joueur],$B21,JournalActions[Action],$C$6,JournalActions[Mi-temps],D$7))</f>
        <v/>
      </c>
      <c r="E21" t="str">
        <f>IF(COUNTIFS(JournalActions[Joueur],$B21,JournalActions[Action],$E$6,JournalActions[Mi-temps],E$7)=0,"",COUNTIFS(JournalActions[Joueur],$B21,JournalActions[Action],$E$6,JournalActions[Mi-temps],E$7))</f>
        <v/>
      </c>
      <c r="F21" t="str">
        <f>IF(COUNTIFS(JournalActions[Joueur],$B21,JournalActions[Action],$E$6,JournalActions[Mi-temps],F$7)=0,"",COUNTIFS(JournalActions[Joueur],$B21,JournalActions[Action],$E$6,JournalActions[Mi-temps],F$7))</f>
        <v/>
      </c>
      <c r="G21" s="28" t="str">
        <f>IF(COUNTIFS(JournalActions[Joueur],$B21,JournalActions[Action],$G$6,JournalActions[Mi-temps],G$7)=0,"",COUNTIFS(JournalActions[Joueur],$B21,JournalActions[Action],$G$6,JournalActions[Mi-temps],G$7))</f>
        <v/>
      </c>
      <c r="H21" s="29" t="str">
        <f>IF(COUNTIFS(JournalActions[Joueur],$B21,JournalActions[Action],$G$6,JournalActions[Mi-temps],H$7)=0,"",COUNTIFS(JournalActions[Joueur],$B21,JournalActions[Action],$G$6,JournalActions[Mi-temps],H$7))</f>
        <v/>
      </c>
      <c r="I21" t="str">
        <f>IF(COUNTIFS(JournalActions[Joueur],$B21,JournalActions[Action],$I$6,JournalActions[Mi-temps],I$7)=0,"",COUNTIFS(JournalActions[Joueur],$B21,JournalActions[Action],$I$6,JournalActions[Mi-temps],I$7))</f>
        <v/>
      </c>
      <c r="J21" t="str">
        <f>IF(COUNTIFS(JournalActions[Joueur],$B21,JournalActions[Action],$I$6,JournalActions[Mi-temps],J$7)=0,"",COUNTIFS(JournalActions[Joueur],$B21,JournalActions[Action],$I$6,JournalActions[Mi-temps],J$7))</f>
        <v/>
      </c>
      <c r="K21" s="28" t="str">
        <f>IF(COUNTIFS(JournalActions[Joueur],$B21,JournalActions[Action],$K$6,JournalActions[Mi-temps],K$7)=0,"",COUNTIFS(JournalActions[Joueur],$B21,JournalActions[Action],$K$6,JournalActions[Mi-temps],K$7))</f>
        <v/>
      </c>
      <c r="L21" t="str">
        <f>IF(COUNTIFS(JournalActions[Joueur],$B21,JournalActions[Action],$K$6,JournalActions[Mi-temps],L$7)=0,"",COUNTIFS(JournalActions[Joueur],$B21,JournalActions[Action],$K$6,JournalActions[Mi-temps],L$7))</f>
        <v/>
      </c>
      <c r="M21" s="28" t="str">
        <f>IF(COUNTIFS(JournalActions[Joueur],$B21,JournalActions[Action],ACT_GRATTAGE_NS,JournalActions[Mi-temps],M$7)=0,"",COUNTIFS(JournalActions[Joueur],$B21,JournalActions[Action],ACT_GRATTAGE_NS,JournalActions[Mi-temps],M$7))</f>
        <v/>
      </c>
      <c r="N21" s="29" t="str">
        <f>IF(COUNTIFS(JournalActions[Joueur],$B21,JournalActions[Action],ACT_GRATTAGE_NS,JournalActions[Mi-temps],N$7)=0,"",COUNTIFS(JournalActions[Joueur],$B21,JournalActions[Action],ACT_GRATTAGE_NS,JournalActions[Mi-temps],N$7))</f>
        <v/>
      </c>
      <c r="O21" s="28" t="str">
        <f>IF(COUNTIFS(JournalActions[Joueur],$B21,JournalActions[Action],$O$6,JournalActions[Mi-temps],O$7)=0,"",COUNTIFS(JournalActions[Joueur],$B21,JournalActions[Action],$O$6,JournalActions[Mi-temps],O$7))</f>
        <v/>
      </c>
      <c r="P21" s="29" t="str">
        <f>IF(COUNTIFS(JournalActions[Joueur],$B21,JournalActions[Action],$O$6,JournalActions[Mi-temps],P$7)=0,"",COUNTIFS(JournalActions[Joueur],$B21,JournalActions[Action],$O$6,JournalActions[Mi-temps],P$7))</f>
        <v/>
      </c>
      <c r="Q21" s="28" t="str">
        <f>IF(COUNTIFS(JournalActions[Joueur],$B21,JournalActions[Action],$Q$6,JournalActions[Mi-temps],Q$7)=0,"",COUNTIFS(JournalActions[Joueur],$B21,JournalActions[Action],$Q$6,JournalActions[Mi-temps],Q$7))</f>
        <v/>
      </c>
      <c r="R21" s="29" t="str">
        <f>IF(COUNTIFS(JournalActions[Joueur],$B21,JournalActions[Action],$Q$6,JournalActions[Mi-temps],R$7)=0,"",COUNTIFS(JournalActions[Joueur],$B21,JournalActions[Action],$Q$6,JournalActions[Mi-temps],R$7))</f>
        <v/>
      </c>
      <c r="S21" s="28" t="str">
        <f>IF(COUNTIFS(JournalActions[Joueur],$B21,JournalActions[Action],$S$6,JournalActions[Mi-temps],S$7)=0,"",COUNTIFS(JournalActions[Joueur],$B21,JournalActions[Action],$S$6,JournalActions[Mi-temps],S$7))</f>
        <v/>
      </c>
      <c r="T21" s="29" t="str">
        <f>IF(COUNTIFS(JournalActions[Joueur],$B21,JournalActions[Action],$S$6,JournalActions[Mi-temps],T$7)=0,"",COUNTIFS(JournalActions[Joueur],$B21,JournalActions[Action],$S$6,JournalActions[Mi-temps],T$7))</f>
        <v/>
      </c>
      <c r="U21" s="68" t="str">
        <f>IF(COUNTIFS(JournalActions[Joueur],$B21,JournalActions[Action],ACT_PEN_CONTRE_NOUS,JournalActions[Motif penalite],U$7)=0,"",COUNTIFS(JournalActions[Joueur],$B21,JournalActions[Action],ACT_PEN_CONTRE_NOUS,JournalActions[Motif penalite],U$7))</f>
        <v/>
      </c>
      <c r="V21" s="68" t="str">
        <f>IF(COUNTIFS(JournalActions[[Joueur]:[Joueur]],$B21,JournalActions[[Action]:[Action]],ACT_PEN_CONTRE_NOUS,JournalActions[[Motif penalite]:[Motif penalite]],ACT_PEN_HORS_JEU)=0,"",COUNTIFS(JournalActions[[Joueur]:[Joueur]],$B21,JournalActions[[Action]:[Action]],ACT_PEN_CONTRE_NOUS,JournalActions[[Motif penalite]:[Motif penalite]],ACT_PEN_HORS_JEU))</f>
        <v/>
      </c>
      <c r="W21" s="68" t="str">
        <f>IF(COUNTIFS(JournalActions[[Joueur]:[Joueur]],$B21,JournalActions[[Action]:[Action]],ACT_PEN_CONTRE_NOUS,JournalActions[[Motif penalite]:[Motif penalite]],ACT_PEN_PL_A_2)=0,"",COUNTIFS(JournalActions[[Joueur]:[Joueur]],$B21,JournalActions[[Action]:[Action]],ACT_PEN_CONTRE_NOUS,JournalActions[[Motif penalite]:[Motif penalite]],ACT_PEN_PL_A_2))</f>
        <v/>
      </c>
      <c r="X21" s="68" t="str">
        <f>IF(COUNTIFS(JournalActions[[Joueur]:[Joueur]],$B21,JournalActions[[Action]:[Action]],ACT_PEN_CONTRE_NOUS,JournalActions[[Motif penalite]:[Motif penalite]],ACT_PEN_PL_HAUT)=0,"",COUNTIFS(JournalActions[[Joueur]:[Joueur]],$B21,JournalActions[[Action]:[Action]],ACT_PEN_CONTRE_NOUS,JournalActions[[Motif penalite]:[Motif penalite]],ACT_PEN_PL_HAUT))</f>
        <v/>
      </c>
      <c r="Y21" s="68" t="str">
        <f>IF(COUNTIFS(JournalActions[[Joueur]:[Joueur]],$B21,JournalActions[[Action]:[Action]],ACT_PEN_CONTRE_NOUS,JournalActions[[Motif penalite]:[Motif penalite]],ACT_PEN_RUCK)=0,"",COUNTIFS(JournalActions[[Joueur]:[Joueur]],$B21,JournalActions[[Action]:[Action]],ACT_PEN_CONTRE_NOUS,JournalActions[[Motif penalite]:[Motif penalite]],ACT_PEN_RUCK))</f>
        <v/>
      </c>
      <c r="Z21" s="68" t="str">
        <f>IF(COUNTIFS(JournalActions[[Joueur]:[Joueur]],$B21,JournalActions[[Action]:[Action]],ACT_PEN_CONTRE_NOUS,JournalActions[[Motif penalite]:[Motif penalite]],"?")=0,"",COUNTIFS(JournalActions[[Joueur]:[Joueur]],$B21,JournalActions[[Action]:[Action]],ACT_PEN_CONTRE_NOUS,JournalActions[[Motif penalite]:[Motif penalite]],"?"))</f>
        <v/>
      </c>
    </row>
    <row r="22" spans="2:37">
      <c r="B22" s="28" t="str">
        <v>LAUDET Jean Baptiste</v>
      </c>
      <c r="C22" s="28" t="str">
        <f>IF(COUNTIFS(JournalActions[Joueur],$B22,JournalActions[Action],$C$6,JournalActions[Mi-temps],C$7)=0,"",COUNTIFS(JournalActions[Joueur],$B22,JournalActions[Action],$C$6,JournalActions[Mi-temps],C$7))</f>
        <v/>
      </c>
      <c r="D22" s="29" t="str">
        <f>IF(COUNTIFS(JournalActions[Joueur],$B22,JournalActions[Action],$C$6,JournalActions[Mi-temps],D$7)=0,"",COUNTIFS(JournalActions[Joueur],$B22,JournalActions[Action],$C$6,JournalActions[Mi-temps],D$7))</f>
        <v/>
      </c>
      <c r="E22" t="str">
        <f>IF(COUNTIFS(JournalActions[Joueur],$B22,JournalActions[Action],$E$6,JournalActions[Mi-temps],E$7)=0,"",COUNTIFS(JournalActions[Joueur],$B22,JournalActions[Action],$E$6,JournalActions[Mi-temps],E$7))</f>
        <v/>
      </c>
      <c r="F22" t="str">
        <f>IF(COUNTIFS(JournalActions[Joueur],$B22,JournalActions[Action],$E$6,JournalActions[Mi-temps],F$7)=0,"",COUNTIFS(JournalActions[Joueur],$B22,JournalActions[Action],$E$6,JournalActions[Mi-temps],F$7))</f>
        <v/>
      </c>
      <c r="G22" s="28" t="str">
        <f>IF(COUNTIFS(JournalActions[Joueur],$B22,JournalActions[Action],$G$6,JournalActions[Mi-temps],G$7)=0,"",COUNTIFS(JournalActions[Joueur],$B22,JournalActions[Action],$G$6,JournalActions[Mi-temps],G$7))</f>
        <v/>
      </c>
      <c r="H22" s="29" t="str">
        <f>IF(COUNTIFS(JournalActions[Joueur],$B22,JournalActions[Action],$G$6,JournalActions[Mi-temps],H$7)=0,"",COUNTIFS(JournalActions[Joueur],$B22,JournalActions[Action],$G$6,JournalActions[Mi-temps],H$7))</f>
        <v/>
      </c>
      <c r="I22" t="str">
        <f>IF(COUNTIFS(JournalActions[Joueur],$B22,JournalActions[Action],$I$6,JournalActions[Mi-temps],I$7)=0,"",COUNTIFS(JournalActions[Joueur],$B22,JournalActions[Action],$I$6,JournalActions[Mi-temps],I$7))</f>
        <v/>
      </c>
      <c r="J22" t="str">
        <f>IF(COUNTIFS(JournalActions[Joueur],$B22,JournalActions[Action],$I$6,JournalActions[Mi-temps],J$7)=0,"",COUNTIFS(JournalActions[Joueur],$B22,JournalActions[Action],$I$6,JournalActions[Mi-temps],J$7))</f>
        <v/>
      </c>
      <c r="K22" s="28" t="str">
        <f>IF(COUNTIFS(JournalActions[Joueur],$B22,JournalActions[Action],$K$6,JournalActions[Mi-temps],K$7)=0,"",COUNTIFS(JournalActions[Joueur],$B22,JournalActions[Action],$K$6,JournalActions[Mi-temps],K$7))</f>
        <v/>
      </c>
      <c r="L22" t="str">
        <f>IF(COUNTIFS(JournalActions[Joueur],$B22,JournalActions[Action],$K$6,JournalActions[Mi-temps],L$7)=0,"",COUNTIFS(JournalActions[Joueur],$B22,JournalActions[Action],$K$6,JournalActions[Mi-temps],L$7))</f>
        <v/>
      </c>
      <c r="M22" s="28" t="str">
        <f>IF(COUNTIFS(JournalActions[Joueur],$B22,JournalActions[Action],ACT_GRATTAGE_NS,JournalActions[Mi-temps],M$7)=0,"",COUNTIFS(JournalActions[Joueur],$B22,JournalActions[Action],ACT_GRATTAGE_NS,JournalActions[Mi-temps],M$7))</f>
        <v/>
      </c>
      <c r="N22" s="29" t="str">
        <f>IF(COUNTIFS(JournalActions[Joueur],$B22,JournalActions[Action],ACT_GRATTAGE_NS,JournalActions[Mi-temps],N$7)=0,"",COUNTIFS(JournalActions[Joueur],$B22,JournalActions[Action],ACT_GRATTAGE_NS,JournalActions[Mi-temps],N$7))</f>
        <v/>
      </c>
      <c r="O22" s="28" t="str">
        <f>IF(COUNTIFS(JournalActions[Joueur],$B22,JournalActions[Action],$O$6,JournalActions[Mi-temps],O$7)=0,"",COUNTIFS(JournalActions[Joueur],$B22,JournalActions[Action],$O$6,JournalActions[Mi-temps],O$7))</f>
        <v/>
      </c>
      <c r="P22" s="29" t="str">
        <f>IF(COUNTIFS(JournalActions[Joueur],$B22,JournalActions[Action],$O$6,JournalActions[Mi-temps],P$7)=0,"",COUNTIFS(JournalActions[Joueur],$B22,JournalActions[Action],$O$6,JournalActions[Mi-temps],P$7))</f>
        <v/>
      </c>
      <c r="Q22" s="28" t="str">
        <f>IF(COUNTIFS(JournalActions[Joueur],$B22,JournalActions[Action],$Q$6,JournalActions[Mi-temps],Q$7)=0,"",COUNTIFS(JournalActions[Joueur],$B22,JournalActions[Action],$Q$6,JournalActions[Mi-temps],Q$7))</f>
        <v/>
      </c>
      <c r="R22" s="29" t="str">
        <f>IF(COUNTIFS(JournalActions[Joueur],$B22,JournalActions[Action],$Q$6,JournalActions[Mi-temps],R$7)=0,"",COUNTIFS(JournalActions[Joueur],$B22,JournalActions[Action],$Q$6,JournalActions[Mi-temps],R$7))</f>
        <v/>
      </c>
      <c r="S22" s="28" t="str">
        <f>IF(COUNTIFS(JournalActions[Joueur],$B22,JournalActions[Action],$S$6,JournalActions[Mi-temps],S$7)=0,"",COUNTIFS(JournalActions[Joueur],$B22,JournalActions[Action],$S$6,JournalActions[Mi-temps],S$7))</f>
        <v/>
      </c>
      <c r="T22" s="29" t="str">
        <f>IF(COUNTIFS(JournalActions[Joueur],$B22,JournalActions[Action],$S$6,JournalActions[Mi-temps],T$7)=0,"",COUNTIFS(JournalActions[Joueur],$B22,JournalActions[Action],$S$6,JournalActions[Mi-temps],T$7))</f>
        <v/>
      </c>
      <c r="U22" s="68" t="str">
        <f>IF(COUNTIFS(JournalActions[Joueur],$B22,JournalActions[Action],ACT_PEN_CONTRE_NOUS,JournalActions[Motif penalite],U$7)=0,"",COUNTIFS(JournalActions[Joueur],$B22,JournalActions[Action],ACT_PEN_CONTRE_NOUS,JournalActions[Motif penalite],U$7))</f>
        <v/>
      </c>
      <c r="V22" s="68" t="str">
        <f>IF(COUNTIFS(JournalActions[[Joueur]:[Joueur]],$B22,JournalActions[[Action]:[Action]],ACT_PEN_CONTRE_NOUS,JournalActions[[Motif penalite]:[Motif penalite]],ACT_PEN_HORS_JEU)=0,"",COUNTIFS(JournalActions[[Joueur]:[Joueur]],$B22,JournalActions[[Action]:[Action]],ACT_PEN_CONTRE_NOUS,JournalActions[[Motif penalite]:[Motif penalite]],ACT_PEN_HORS_JEU))</f>
        <v/>
      </c>
      <c r="W22" s="68" t="str">
        <f>IF(COUNTIFS(JournalActions[[Joueur]:[Joueur]],$B22,JournalActions[[Action]:[Action]],ACT_PEN_CONTRE_NOUS,JournalActions[[Motif penalite]:[Motif penalite]],ACT_PEN_PL_A_2)=0,"",COUNTIFS(JournalActions[[Joueur]:[Joueur]],$B22,JournalActions[[Action]:[Action]],ACT_PEN_CONTRE_NOUS,JournalActions[[Motif penalite]:[Motif penalite]],ACT_PEN_PL_A_2))</f>
        <v/>
      </c>
      <c r="X22" s="68" t="str">
        <f>IF(COUNTIFS(JournalActions[[Joueur]:[Joueur]],$B22,JournalActions[[Action]:[Action]],ACT_PEN_CONTRE_NOUS,JournalActions[[Motif penalite]:[Motif penalite]],ACT_PEN_PL_HAUT)=0,"",COUNTIFS(JournalActions[[Joueur]:[Joueur]],$B22,JournalActions[[Action]:[Action]],ACT_PEN_CONTRE_NOUS,JournalActions[[Motif penalite]:[Motif penalite]],ACT_PEN_PL_HAUT))</f>
        <v/>
      </c>
      <c r="Y22" s="68" t="str">
        <f>IF(COUNTIFS(JournalActions[[Joueur]:[Joueur]],$B22,JournalActions[[Action]:[Action]],ACT_PEN_CONTRE_NOUS,JournalActions[[Motif penalite]:[Motif penalite]],ACT_PEN_RUCK)=0,"",COUNTIFS(JournalActions[[Joueur]:[Joueur]],$B22,JournalActions[[Action]:[Action]],ACT_PEN_CONTRE_NOUS,JournalActions[[Motif penalite]:[Motif penalite]],ACT_PEN_RUCK))</f>
        <v/>
      </c>
      <c r="Z22" s="68" t="str">
        <f>IF(COUNTIFS(JournalActions[[Joueur]:[Joueur]],$B22,JournalActions[[Action]:[Action]],ACT_PEN_CONTRE_NOUS,JournalActions[[Motif penalite]:[Motif penalite]],"?")=0,"",COUNTIFS(JournalActions[[Joueur]:[Joueur]],$B22,JournalActions[[Action]:[Action]],ACT_PEN_CONTRE_NOUS,JournalActions[[Motif penalite]:[Motif penalite]],"?"))</f>
        <v/>
      </c>
    </row>
    <row r="23" spans="2:37">
      <c r="B23" s="28" t="str">
        <v>LOUREIRO LABAZUY Antonio</v>
      </c>
      <c r="C23" s="28" t="str">
        <f>IF(COUNTIFS(JournalActions[Joueur],$B23,JournalActions[Action],$C$6,JournalActions[Mi-temps],C$7)=0,"",COUNTIFS(JournalActions[Joueur],$B23,JournalActions[Action],$C$6,JournalActions[Mi-temps],C$7))</f>
        <v/>
      </c>
      <c r="D23" s="29" t="str">
        <f>IF(COUNTIFS(JournalActions[Joueur],$B23,JournalActions[Action],$C$6,JournalActions[Mi-temps],D$7)=0,"",COUNTIFS(JournalActions[Joueur],$B23,JournalActions[Action],$C$6,JournalActions[Mi-temps],D$7))</f>
        <v/>
      </c>
      <c r="E23" t="str">
        <f>IF(COUNTIFS(JournalActions[Joueur],$B23,JournalActions[Action],$E$6,JournalActions[Mi-temps],E$7)=0,"",COUNTIFS(JournalActions[Joueur],$B23,JournalActions[Action],$E$6,JournalActions[Mi-temps],E$7))</f>
        <v/>
      </c>
      <c r="F23" t="str">
        <f>IF(COUNTIFS(JournalActions[Joueur],$B23,JournalActions[Action],$E$6,JournalActions[Mi-temps],F$7)=0,"",COUNTIFS(JournalActions[Joueur],$B23,JournalActions[Action],$E$6,JournalActions[Mi-temps],F$7))</f>
        <v/>
      </c>
      <c r="G23" s="28" t="str">
        <f>IF(COUNTIFS(JournalActions[Joueur],$B23,JournalActions[Action],$G$6,JournalActions[Mi-temps],G$7)=0,"",COUNTIFS(JournalActions[Joueur],$B23,JournalActions[Action],$G$6,JournalActions[Mi-temps],G$7))</f>
        <v/>
      </c>
      <c r="H23" s="29" t="str">
        <f>IF(COUNTIFS(JournalActions[Joueur],$B23,JournalActions[Action],$G$6,JournalActions[Mi-temps],H$7)=0,"",COUNTIFS(JournalActions[Joueur],$B23,JournalActions[Action],$G$6,JournalActions[Mi-temps],H$7))</f>
        <v/>
      </c>
      <c r="I23" t="str">
        <f>IF(COUNTIFS(JournalActions[Joueur],$B23,JournalActions[Action],$I$6,JournalActions[Mi-temps],I$7)=0,"",COUNTIFS(JournalActions[Joueur],$B23,JournalActions[Action],$I$6,JournalActions[Mi-temps],I$7))</f>
        <v/>
      </c>
      <c r="J23" t="str">
        <f>IF(COUNTIFS(JournalActions[Joueur],$B23,JournalActions[Action],$I$6,JournalActions[Mi-temps],J$7)=0,"",COUNTIFS(JournalActions[Joueur],$B23,JournalActions[Action],$I$6,JournalActions[Mi-temps],J$7))</f>
        <v/>
      </c>
      <c r="K23" s="28" t="str">
        <f>IF(COUNTIFS(JournalActions[Joueur],$B23,JournalActions[Action],$K$6,JournalActions[Mi-temps],K$7)=0,"",COUNTIFS(JournalActions[Joueur],$B23,JournalActions[Action],$K$6,JournalActions[Mi-temps],K$7))</f>
        <v/>
      </c>
      <c r="L23" t="str">
        <f>IF(COUNTIFS(JournalActions[Joueur],$B23,JournalActions[Action],$K$6,JournalActions[Mi-temps],L$7)=0,"",COUNTIFS(JournalActions[Joueur],$B23,JournalActions[Action],$K$6,JournalActions[Mi-temps],L$7))</f>
        <v/>
      </c>
      <c r="M23" s="28" t="str">
        <f>IF(COUNTIFS(JournalActions[Joueur],$B23,JournalActions[Action],ACT_GRATTAGE_NS,JournalActions[Mi-temps],M$7)=0,"",COUNTIFS(JournalActions[Joueur],$B23,JournalActions[Action],ACT_GRATTAGE_NS,JournalActions[Mi-temps],M$7))</f>
        <v/>
      </c>
      <c r="N23" s="29" t="str">
        <f>IF(COUNTIFS(JournalActions[Joueur],$B23,JournalActions[Action],ACT_GRATTAGE_NS,JournalActions[Mi-temps],N$7)=0,"",COUNTIFS(JournalActions[Joueur],$B23,JournalActions[Action],ACT_GRATTAGE_NS,JournalActions[Mi-temps],N$7))</f>
        <v/>
      </c>
      <c r="O23" s="28" t="str">
        <f>IF(COUNTIFS(JournalActions[Joueur],$B23,JournalActions[Action],$O$6,JournalActions[Mi-temps],O$7)=0,"",COUNTIFS(JournalActions[Joueur],$B23,JournalActions[Action],$O$6,JournalActions[Mi-temps],O$7))</f>
        <v/>
      </c>
      <c r="P23" s="29" t="str">
        <f>IF(COUNTIFS(JournalActions[Joueur],$B23,JournalActions[Action],$O$6,JournalActions[Mi-temps],P$7)=0,"",COUNTIFS(JournalActions[Joueur],$B23,JournalActions[Action],$O$6,JournalActions[Mi-temps],P$7))</f>
        <v/>
      </c>
      <c r="Q23" s="28" t="str">
        <f>IF(COUNTIFS(JournalActions[Joueur],$B23,JournalActions[Action],$Q$6,JournalActions[Mi-temps],Q$7)=0,"",COUNTIFS(JournalActions[Joueur],$B23,JournalActions[Action],$Q$6,JournalActions[Mi-temps],Q$7))</f>
        <v/>
      </c>
      <c r="R23" s="29" t="str">
        <f>IF(COUNTIFS(JournalActions[Joueur],$B23,JournalActions[Action],$Q$6,JournalActions[Mi-temps],R$7)=0,"",COUNTIFS(JournalActions[Joueur],$B23,JournalActions[Action],$Q$6,JournalActions[Mi-temps],R$7))</f>
        <v/>
      </c>
      <c r="S23" s="28" t="str">
        <f>IF(COUNTIFS(JournalActions[Joueur],$B23,JournalActions[Action],$S$6,JournalActions[Mi-temps],S$7)=0,"",COUNTIFS(JournalActions[Joueur],$B23,JournalActions[Action],$S$6,JournalActions[Mi-temps],S$7))</f>
        <v/>
      </c>
      <c r="T23" s="29" t="str">
        <f>IF(COUNTIFS(JournalActions[Joueur],$B23,JournalActions[Action],$S$6,JournalActions[Mi-temps],T$7)=0,"",COUNTIFS(JournalActions[Joueur],$B23,JournalActions[Action],$S$6,JournalActions[Mi-temps],T$7))</f>
        <v/>
      </c>
      <c r="U23" s="68" t="str">
        <f>IF(COUNTIFS(JournalActions[Joueur],$B23,JournalActions[Action],ACT_PEN_CONTRE_NOUS,JournalActions[Motif penalite],U$7)=0,"",COUNTIFS(JournalActions[Joueur],$B23,JournalActions[Action],ACT_PEN_CONTRE_NOUS,JournalActions[Motif penalite],U$7))</f>
        <v/>
      </c>
      <c r="V23" s="68" t="str">
        <f>IF(COUNTIFS(JournalActions[[Joueur]:[Joueur]],$B23,JournalActions[[Action]:[Action]],ACT_PEN_CONTRE_NOUS,JournalActions[[Motif penalite]:[Motif penalite]],ACT_PEN_HORS_JEU)=0,"",COUNTIFS(JournalActions[[Joueur]:[Joueur]],$B23,JournalActions[[Action]:[Action]],ACT_PEN_CONTRE_NOUS,JournalActions[[Motif penalite]:[Motif penalite]],ACT_PEN_HORS_JEU))</f>
        <v/>
      </c>
      <c r="W23" s="68" t="str">
        <f>IF(COUNTIFS(JournalActions[[Joueur]:[Joueur]],$B23,JournalActions[[Action]:[Action]],ACT_PEN_CONTRE_NOUS,JournalActions[[Motif penalite]:[Motif penalite]],ACT_PEN_PL_A_2)=0,"",COUNTIFS(JournalActions[[Joueur]:[Joueur]],$B23,JournalActions[[Action]:[Action]],ACT_PEN_CONTRE_NOUS,JournalActions[[Motif penalite]:[Motif penalite]],ACT_PEN_PL_A_2))</f>
        <v/>
      </c>
      <c r="X23" s="68" t="str">
        <f>IF(COUNTIFS(JournalActions[[Joueur]:[Joueur]],$B23,JournalActions[[Action]:[Action]],ACT_PEN_CONTRE_NOUS,JournalActions[[Motif penalite]:[Motif penalite]],ACT_PEN_PL_HAUT)=0,"",COUNTIFS(JournalActions[[Joueur]:[Joueur]],$B23,JournalActions[[Action]:[Action]],ACT_PEN_CONTRE_NOUS,JournalActions[[Motif penalite]:[Motif penalite]],ACT_PEN_PL_HAUT))</f>
        <v/>
      </c>
      <c r="Y23" s="68" t="str">
        <f>IF(COUNTIFS(JournalActions[[Joueur]:[Joueur]],$B23,JournalActions[[Action]:[Action]],ACT_PEN_CONTRE_NOUS,JournalActions[[Motif penalite]:[Motif penalite]],ACT_PEN_RUCK)=0,"",COUNTIFS(JournalActions[[Joueur]:[Joueur]],$B23,JournalActions[[Action]:[Action]],ACT_PEN_CONTRE_NOUS,JournalActions[[Motif penalite]:[Motif penalite]],ACT_PEN_RUCK))</f>
        <v/>
      </c>
      <c r="Z23" s="68" t="str">
        <f>IF(COUNTIFS(JournalActions[[Joueur]:[Joueur]],$B23,JournalActions[[Action]:[Action]],ACT_PEN_CONTRE_NOUS,JournalActions[[Motif penalite]:[Motif penalite]],"?")=0,"",COUNTIFS(JournalActions[[Joueur]:[Joueur]],$B23,JournalActions[[Action]:[Action]],ACT_PEN_CONTRE_NOUS,JournalActions[[Motif penalite]:[Motif penalite]],"?"))</f>
        <v/>
      </c>
    </row>
    <row r="24" spans="2:37">
      <c r="B24" s="28" t="str">
        <v>MOUDENS Alexis</v>
      </c>
      <c r="C24" s="28" t="str">
        <f>IF(COUNTIFS(JournalActions[Joueur],$B24,JournalActions[Action],$C$6,JournalActions[Mi-temps],C$7)=0,"",COUNTIFS(JournalActions[Joueur],$B24,JournalActions[Action],$C$6,JournalActions[Mi-temps],C$7))</f>
        <v/>
      </c>
      <c r="D24" s="29" t="str">
        <f>IF(COUNTIFS(JournalActions[Joueur],$B24,JournalActions[Action],$C$6,JournalActions[Mi-temps],D$7)=0,"",COUNTIFS(JournalActions[Joueur],$B24,JournalActions[Action],$C$6,JournalActions[Mi-temps],D$7))</f>
        <v/>
      </c>
      <c r="E24" t="str">
        <f>IF(COUNTIFS(JournalActions[Joueur],$B24,JournalActions[Action],$E$6,JournalActions[Mi-temps],E$7)=0,"",COUNTIFS(JournalActions[Joueur],$B24,JournalActions[Action],$E$6,JournalActions[Mi-temps],E$7))</f>
        <v/>
      </c>
      <c r="F24" t="str">
        <f>IF(COUNTIFS(JournalActions[Joueur],$B24,JournalActions[Action],$E$6,JournalActions[Mi-temps],F$7)=0,"",COUNTIFS(JournalActions[Joueur],$B24,JournalActions[Action],$E$6,JournalActions[Mi-temps],F$7))</f>
        <v/>
      </c>
      <c r="G24" s="28" t="str">
        <f>IF(COUNTIFS(JournalActions[Joueur],$B24,JournalActions[Action],$G$6,JournalActions[Mi-temps],G$7)=0,"",COUNTIFS(JournalActions[Joueur],$B24,JournalActions[Action],$G$6,JournalActions[Mi-temps],G$7))</f>
        <v/>
      </c>
      <c r="H24" s="29" t="str">
        <f>IF(COUNTIFS(JournalActions[Joueur],$B24,JournalActions[Action],$G$6,JournalActions[Mi-temps],H$7)=0,"",COUNTIFS(JournalActions[Joueur],$B24,JournalActions[Action],$G$6,JournalActions[Mi-temps],H$7))</f>
        <v/>
      </c>
      <c r="I24" t="str">
        <f>IF(COUNTIFS(JournalActions[Joueur],$B24,JournalActions[Action],$I$6,JournalActions[Mi-temps],I$7)=0,"",COUNTIFS(JournalActions[Joueur],$B24,JournalActions[Action],$I$6,JournalActions[Mi-temps],I$7))</f>
        <v/>
      </c>
      <c r="J24" t="str">
        <f>IF(COUNTIFS(JournalActions[Joueur],$B24,JournalActions[Action],$I$6,JournalActions[Mi-temps],J$7)=0,"",COUNTIFS(JournalActions[Joueur],$B24,JournalActions[Action],$I$6,JournalActions[Mi-temps],J$7))</f>
        <v/>
      </c>
      <c r="K24" s="28" t="str">
        <f>IF(COUNTIFS(JournalActions[Joueur],$B24,JournalActions[Action],$K$6,JournalActions[Mi-temps],K$7)=0,"",COUNTIFS(JournalActions[Joueur],$B24,JournalActions[Action],$K$6,JournalActions[Mi-temps],K$7))</f>
        <v/>
      </c>
      <c r="L24" t="str">
        <f>IF(COUNTIFS(JournalActions[Joueur],$B24,JournalActions[Action],$K$6,JournalActions[Mi-temps],L$7)=0,"",COUNTIFS(JournalActions[Joueur],$B24,JournalActions[Action],$K$6,JournalActions[Mi-temps],L$7))</f>
        <v/>
      </c>
      <c r="M24" s="28" t="str">
        <f>IF(COUNTIFS(JournalActions[Joueur],$B24,JournalActions[Action],ACT_GRATTAGE_NS,JournalActions[Mi-temps],M$7)=0,"",COUNTIFS(JournalActions[Joueur],$B24,JournalActions[Action],ACT_GRATTAGE_NS,JournalActions[Mi-temps],M$7))</f>
        <v/>
      </c>
      <c r="N24" s="29" t="str">
        <f>IF(COUNTIFS(JournalActions[Joueur],$B24,JournalActions[Action],ACT_GRATTAGE_NS,JournalActions[Mi-temps],N$7)=0,"",COUNTIFS(JournalActions[Joueur],$B24,JournalActions[Action],ACT_GRATTAGE_NS,JournalActions[Mi-temps],N$7))</f>
        <v/>
      </c>
      <c r="O24" s="28" t="str">
        <f>IF(COUNTIFS(JournalActions[Joueur],$B24,JournalActions[Action],$O$6,JournalActions[Mi-temps],O$7)=0,"",COUNTIFS(JournalActions[Joueur],$B24,JournalActions[Action],$O$6,JournalActions[Mi-temps],O$7))</f>
        <v/>
      </c>
      <c r="P24" s="29" t="str">
        <f>IF(COUNTIFS(JournalActions[Joueur],$B24,JournalActions[Action],$O$6,JournalActions[Mi-temps],P$7)=0,"",COUNTIFS(JournalActions[Joueur],$B24,JournalActions[Action],$O$6,JournalActions[Mi-temps],P$7))</f>
        <v/>
      </c>
      <c r="Q24" s="28" t="str">
        <f>IF(COUNTIFS(JournalActions[Joueur],$B24,JournalActions[Action],$Q$6,JournalActions[Mi-temps],Q$7)=0,"",COUNTIFS(JournalActions[Joueur],$B24,JournalActions[Action],$Q$6,JournalActions[Mi-temps],Q$7))</f>
        <v/>
      </c>
      <c r="R24" s="29" t="str">
        <f>IF(COUNTIFS(JournalActions[Joueur],$B24,JournalActions[Action],$Q$6,JournalActions[Mi-temps],R$7)=0,"",COUNTIFS(JournalActions[Joueur],$B24,JournalActions[Action],$Q$6,JournalActions[Mi-temps],R$7))</f>
        <v/>
      </c>
      <c r="S24" s="28" t="str">
        <f>IF(COUNTIFS(JournalActions[Joueur],$B24,JournalActions[Action],$S$6,JournalActions[Mi-temps],S$7)=0,"",COUNTIFS(JournalActions[Joueur],$B24,JournalActions[Action],$S$6,JournalActions[Mi-temps],S$7))</f>
        <v/>
      </c>
      <c r="T24" s="29" t="str">
        <f>IF(COUNTIFS(JournalActions[Joueur],$B24,JournalActions[Action],$S$6,JournalActions[Mi-temps],T$7)=0,"",COUNTIFS(JournalActions[Joueur],$B24,JournalActions[Action],$S$6,JournalActions[Mi-temps],T$7))</f>
        <v/>
      </c>
      <c r="U24" s="68" t="str">
        <f>IF(COUNTIFS(JournalActions[Joueur],$B24,JournalActions[Action],ACT_PEN_CONTRE_NOUS,JournalActions[Motif penalite],U$7)=0,"",COUNTIFS(JournalActions[Joueur],$B24,JournalActions[Action],ACT_PEN_CONTRE_NOUS,JournalActions[Motif penalite],U$7))</f>
        <v/>
      </c>
      <c r="V24" s="68" t="str">
        <f>IF(COUNTIFS(JournalActions[[Joueur]:[Joueur]],$B24,JournalActions[[Action]:[Action]],ACT_PEN_CONTRE_NOUS,JournalActions[[Motif penalite]:[Motif penalite]],ACT_PEN_HORS_JEU)=0,"",COUNTIFS(JournalActions[[Joueur]:[Joueur]],$B24,JournalActions[[Action]:[Action]],ACT_PEN_CONTRE_NOUS,JournalActions[[Motif penalite]:[Motif penalite]],ACT_PEN_HORS_JEU))</f>
        <v/>
      </c>
      <c r="W24" s="68" t="str">
        <f>IF(COUNTIFS(JournalActions[[Joueur]:[Joueur]],$B24,JournalActions[[Action]:[Action]],ACT_PEN_CONTRE_NOUS,JournalActions[[Motif penalite]:[Motif penalite]],ACT_PEN_PL_A_2)=0,"",COUNTIFS(JournalActions[[Joueur]:[Joueur]],$B24,JournalActions[[Action]:[Action]],ACT_PEN_CONTRE_NOUS,JournalActions[[Motif penalite]:[Motif penalite]],ACT_PEN_PL_A_2))</f>
        <v/>
      </c>
      <c r="X24" s="68" t="str">
        <f>IF(COUNTIFS(JournalActions[[Joueur]:[Joueur]],$B24,JournalActions[[Action]:[Action]],ACT_PEN_CONTRE_NOUS,JournalActions[[Motif penalite]:[Motif penalite]],ACT_PEN_PL_HAUT)=0,"",COUNTIFS(JournalActions[[Joueur]:[Joueur]],$B24,JournalActions[[Action]:[Action]],ACT_PEN_CONTRE_NOUS,JournalActions[[Motif penalite]:[Motif penalite]],ACT_PEN_PL_HAUT))</f>
        <v/>
      </c>
      <c r="Y24" s="68" t="str">
        <f>IF(COUNTIFS(JournalActions[[Joueur]:[Joueur]],$B24,JournalActions[[Action]:[Action]],ACT_PEN_CONTRE_NOUS,JournalActions[[Motif penalite]:[Motif penalite]],ACT_PEN_RUCK)=0,"",COUNTIFS(JournalActions[[Joueur]:[Joueur]],$B24,JournalActions[[Action]:[Action]],ACT_PEN_CONTRE_NOUS,JournalActions[[Motif penalite]:[Motif penalite]],ACT_PEN_RUCK))</f>
        <v/>
      </c>
      <c r="Z24" s="68" t="str">
        <f>IF(COUNTIFS(JournalActions[[Joueur]:[Joueur]],$B24,JournalActions[[Action]:[Action]],ACT_PEN_CONTRE_NOUS,JournalActions[[Motif penalite]:[Motif penalite]],"?")=0,"",COUNTIFS(JournalActions[[Joueur]:[Joueur]],$B24,JournalActions[[Action]:[Action]],ACT_PEN_CONTRE_NOUS,JournalActions[[Motif penalite]:[Motif penalite]],"?"))</f>
        <v/>
      </c>
    </row>
    <row r="25" spans="2:37">
      <c r="B25" s="28" t="str">
        <v>MULLIER Victor</v>
      </c>
      <c r="C25" s="28" t="str">
        <f>IF(COUNTIFS(JournalActions[Joueur],$B25,JournalActions[Action],$C$6,JournalActions[Mi-temps],C$7)=0,"",COUNTIFS(JournalActions[Joueur],$B25,JournalActions[Action],$C$6,JournalActions[Mi-temps],C$7))</f>
        <v/>
      </c>
      <c r="D25" s="29" t="str">
        <f>IF(COUNTIFS(JournalActions[Joueur],$B25,JournalActions[Action],$C$6,JournalActions[Mi-temps],D$7)=0,"",COUNTIFS(JournalActions[Joueur],$B25,JournalActions[Action],$C$6,JournalActions[Mi-temps],D$7))</f>
        <v/>
      </c>
      <c r="E25" t="str">
        <f>IF(COUNTIFS(JournalActions[Joueur],$B25,JournalActions[Action],$E$6,JournalActions[Mi-temps],E$7)=0,"",COUNTIFS(JournalActions[Joueur],$B25,JournalActions[Action],$E$6,JournalActions[Mi-temps],E$7))</f>
        <v/>
      </c>
      <c r="F25" t="str">
        <f>IF(COUNTIFS(JournalActions[Joueur],$B25,JournalActions[Action],$E$6,JournalActions[Mi-temps],F$7)=0,"",COUNTIFS(JournalActions[Joueur],$B25,JournalActions[Action],$E$6,JournalActions[Mi-temps],F$7))</f>
        <v/>
      </c>
      <c r="G25" s="28" t="str">
        <f>IF(COUNTIFS(JournalActions[Joueur],$B25,JournalActions[Action],$G$6,JournalActions[Mi-temps],G$7)=0,"",COUNTIFS(JournalActions[Joueur],$B25,JournalActions[Action],$G$6,JournalActions[Mi-temps],G$7))</f>
        <v/>
      </c>
      <c r="H25" s="29" t="str">
        <f>IF(COUNTIFS(JournalActions[Joueur],$B25,JournalActions[Action],$G$6,JournalActions[Mi-temps],H$7)=0,"",COUNTIFS(JournalActions[Joueur],$B25,JournalActions[Action],$G$6,JournalActions[Mi-temps],H$7))</f>
        <v/>
      </c>
      <c r="I25" t="str">
        <f>IF(COUNTIFS(JournalActions[Joueur],$B25,JournalActions[Action],$I$6,JournalActions[Mi-temps],I$7)=0,"",COUNTIFS(JournalActions[Joueur],$B25,JournalActions[Action],$I$6,JournalActions[Mi-temps],I$7))</f>
        <v/>
      </c>
      <c r="J25" t="str">
        <f>IF(COUNTIFS(JournalActions[Joueur],$B25,JournalActions[Action],$I$6,JournalActions[Mi-temps],J$7)=0,"",COUNTIFS(JournalActions[Joueur],$B25,JournalActions[Action],$I$6,JournalActions[Mi-temps],J$7))</f>
        <v/>
      </c>
      <c r="K25" s="28" t="str">
        <f>IF(COUNTIFS(JournalActions[Joueur],$B25,JournalActions[Action],$K$6,JournalActions[Mi-temps],K$7)=0,"",COUNTIFS(JournalActions[Joueur],$B25,JournalActions[Action],$K$6,JournalActions[Mi-temps],K$7))</f>
        <v/>
      </c>
      <c r="L25" t="str">
        <f>IF(COUNTIFS(JournalActions[Joueur],$B25,JournalActions[Action],$K$6,JournalActions[Mi-temps],L$7)=0,"",COUNTIFS(JournalActions[Joueur],$B25,JournalActions[Action],$K$6,JournalActions[Mi-temps],L$7))</f>
        <v/>
      </c>
      <c r="M25" s="28" t="str">
        <f>IF(COUNTIFS(JournalActions[Joueur],$B25,JournalActions[Action],ACT_GRATTAGE_NS,JournalActions[Mi-temps],M$7)=0,"",COUNTIFS(JournalActions[Joueur],$B25,JournalActions[Action],ACT_GRATTAGE_NS,JournalActions[Mi-temps],M$7))</f>
        <v/>
      </c>
      <c r="N25" s="29" t="str">
        <f>IF(COUNTIFS(JournalActions[Joueur],$B25,JournalActions[Action],ACT_GRATTAGE_NS,JournalActions[Mi-temps],N$7)=0,"",COUNTIFS(JournalActions[Joueur],$B25,JournalActions[Action],ACT_GRATTAGE_NS,JournalActions[Mi-temps],N$7))</f>
        <v/>
      </c>
      <c r="O25" s="28" t="str">
        <f>IF(COUNTIFS(JournalActions[Joueur],$B25,JournalActions[Action],$O$6,JournalActions[Mi-temps],O$7)=0,"",COUNTIFS(JournalActions[Joueur],$B25,JournalActions[Action],$O$6,JournalActions[Mi-temps],O$7))</f>
        <v/>
      </c>
      <c r="P25" s="29" t="str">
        <f>IF(COUNTIFS(JournalActions[Joueur],$B25,JournalActions[Action],$O$6,JournalActions[Mi-temps],P$7)=0,"",COUNTIFS(JournalActions[Joueur],$B25,JournalActions[Action],$O$6,JournalActions[Mi-temps],P$7))</f>
        <v/>
      </c>
      <c r="Q25" s="28" t="str">
        <f>IF(COUNTIFS(JournalActions[Joueur],$B25,JournalActions[Action],$Q$6,JournalActions[Mi-temps],Q$7)=0,"",COUNTIFS(JournalActions[Joueur],$B25,JournalActions[Action],$Q$6,JournalActions[Mi-temps],Q$7))</f>
        <v/>
      </c>
      <c r="R25" s="29" t="str">
        <f>IF(COUNTIFS(JournalActions[Joueur],$B25,JournalActions[Action],$Q$6,JournalActions[Mi-temps],R$7)=0,"",COUNTIFS(JournalActions[Joueur],$B25,JournalActions[Action],$Q$6,JournalActions[Mi-temps],R$7))</f>
        <v/>
      </c>
      <c r="S25" s="28" t="str">
        <f>IF(COUNTIFS(JournalActions[Joueur],$B25,JournalActions[Action],$S$6,JournalActions[Mi-temps],S$7)=0,"",COUNTIFS(JournalActions[Joueur],$B25,JournalActions[Action],$S$6,JournalActions[Mi-temps],S$7))</f>
        <v/>
      </c>
      <c r="T25" s="29" t="str">
        <f>IF(COUNTIFS(JournalActions[Joueur],$B25,JournalActions[Action],$S$6,JournalActions[Mi-temps],T$7)=0,"",COUNTIFS(JournalActions[Joueur],$B25,JournalActions[Action],$S$6,JournalActions[Mi-temps],T$7))</f>
        <v/>
      </c>
      <c r="U25" s="68" t="str">
        <f>IF(COUNTIFS(JournalActions[Joueur],$B25,JournalActions[Action],ACT_PEN_CONTRE_NOUS,JournalActions[Motif penalite],U$7)=0,"",COUNTIFS(JournalActions[Joueur],$B25,JournalActions[Action],ACT_PEN_CONTRE_NOUS,JournalActions[Motif penalite],U$7))</f>
        <v/>
      </c>
      <c r="V25" s="68" t="str">
        <f>IF(COUNTIFS(JournalActions[[Joueur]:[Joueur]],$B25,JournalActions[[Action]:[Action]],ACT_PEN_CONTRE_NOUS,JournalActions[[Motif penalite]:[Motif penalite]],ACT_PEN_HORS_JEU)=0,"",COUNTIFS(JournalActions[[Joueur]:[Joueur]],$B25,JournalActions[[Action]:[Action]],ACT_PEN_CONTRE_NOUS,JournalActions[[Motif penalite]:[Motif penalite]],ACT_PEN_HORS_JEU))</f>
        <v/>
      </c>
      <c r="W25" s="68" t="str">
        <f>IF(COUNTIFS(JournalActions[[Joueur]:[Joueur]],$B25,JournalActions[[Action]:[Action]],ACT_PEN_CONTRE_NOUS,JournalActions[[Motif penalite]:[Motif penalite]],ACT_PEN_PL_A_2)=0,"",COUNTIFS(JournalActions[[Joueur]:[Joueur]],$B25,JournalActions[[Action]:[Action]],ACT_PEN_CONTRE_NOUS,JournalActions[[Motif penalite]:[Motif penalite]],ACT_PEN_PL_A_2))</f>
        <v/>
      </c>
      <c r="X25" s="68" t="str">
        <f>IF(COUNTIFS(JournalActions[[Joueur]:[Joueur]],$B25,JournalActions[[Action]:[Action]],ACT_PEN_CONTRE_NOUS,JournalActions[[Motif penalite]:[Motif penalite]],ACT_PEN_PL_HAUT)=0,"",COUNTIFS(JournalActions[[Joueur]:[Joueur]],$B25,JournalActions[[Action]:[Action]],ACT_PEN_CONTRE_NOUS,JournalActions[[Motif penalite]:[Motif penalite]],ACT_PEN_PL_HAUT))</f>
        <v/>
      </c>
      <c r="Y25" s="68" t="str">
        <f>IF(COUNTIFS(JournalActions[[Joueur]:[Joueur]],$B25,JournalActions[[Action]:[Action]],ACT_PEN_CONTRE_NOUS,JournalActions[[Motif penalite]:[Motif penalite]],ACT_PEN_RUCK)=0,"",COUNTIFS(JournalActions[[Joueur]:[Joueur]],$B25,JournalActions[[Action]:[Action]],ACT_PEN_CONTRE_NOUS,JournalActions[[Motif penalite]:[Motif penalite]],ACT_PEN_RUCK))</f>
        <v/>
      </c>
      <c r="Z25" s="68" t="str">
        <f>IF(COUNTIFS(JournalActions[[Joueur]:[Joueur]],$B25,JournalActions[[Action]:[Action]],ACT_PEN_CONTRE_NOUS,JournalActions[[Motif penalite]:[Motif penalite]],"?")=0,"",COUNTIFS(JournalActions[[Joueur]:[Joueur]],$B25,JournalActions[[Action]:[Action]],ACT_PEN_CONTRE_NOUS,JournalActions[[Motif penalite]:[Motif penalite]],"?"))</f>
        <v/>
      </c>
    </row>
    <row r="26" spans="2:37">
      <c r="B26" s="28" t="str">
        <v>RICHIARDONNE Gregory</v>
      </c>
      <c r="C26" s="28" t="str">
        <f>IF(COUNTIFS(JournalActions[Joueur],$B26,JournalActions[Action],$C$6,JournalActions[Mi-temps],C$7)=0,"",COUNTIFS(JournalActions[Joueur],$B26,JournalActions[Action],$C$6,JournalActions[Mi-temps],C$7))</f>
        <v/>
      </c>
      <c r="D26" s="29" t="str">
        <f>IF(COUNTIFS(JournalActions[Joueur],$B26,JournalActions[Action],$C$6,JournalActions[Mi-temps],D$7)=0,"",COUNTIFS(JournalActions[Joueur],$B26,JournalActions[Action],$C$6,JournalActions[Mi-temps],D$7))</f>
        <v/>
      </c>
      <c r="E26" t="str">
        <f>IF(COUNTIFS(JournalActions[Joueur],$B26,JournalActions[Action],$E$6,JournalActions[Mi-temps],E$7)=0,"",COUNTIFS(JournalActions[Joueur],$B26,JournalActions[Action],$E$6,JournalActions[Mi-temps],E$7))</f>
        <v/>
      </c>
      <c r="F26" t="str">
        <f>IF(COUNTIFS(JournalActions[Joueur],$B26,JournalActions[Action],$E$6,JournalActions[Mi-temps],F$7)=0,"",COUNTIFS(JournalActions[Joueur],$B26,JournalActions[Action],$E$6,JournalActions[Mi-temps],F$7))</f>
        <v/>
      </c>
      <c r="G26" s="28" t="str">
        <f>IF(COUNTIFS(JournalActions[Joueur],$B26,JournalActions[Action],$G$6,JournalActions[Mi-temps],G$7)=0,"",COUNTIFS(JournalActions[Joueur],$B26,JournalActions[Action],$G$6,JournalActions[Mi-temps],G$7))</f>
        <v/>
      </c>
      <c r="H26" s="29" t="str">
        <f>IF(COUNTIFS(JournalActions[Joueur],$B26,JournalActions[Action],$G$6,JournalActions[Mi-temps],H$7)=0,"",COUNTIFS(JournalActions[Joueur],$B26,JournalActions[Action],$G$6,JournalActions[Mi-temps],H$7))</f>
        <v/>
      </c>
      <c r="I26" t="str">
        <f>IF(COUNTIFS(JournalActions[Joueur],$B26,JournalActions[Action],$I$6,JournalActions[Mi-temps],I$7)=0,"",COUNTIFS(JournalActions[Joueur],$B26,JournalActions[Action],$I$6,JournalActions[Mi-temps],I$7))</f>
        <v/>
      </c>
      <c r="J26" t="str">
        <f>IF(COUNTIFS(JournalActions[Joueur],$B26,JournalActions[Action],$I$6,JournalActions[Mi-temps],J$7)=0,"",COUNTIFS(JournalActions[Joueur],$B26,JournalActions[Action],$I$6,JournalActions[Mi-temps],J$7))</f>
        <v/>
      </c>
      <c r="K26" s="28" t="str">
        <f>IF(COUNTIFS(JournalActions[Joueur],$B26,JournalActions[Action],$K$6,JournalActions[Mi-temps],K$7)=0,"",COUNTIFS(JournalActions[Joueur],$B26,JournalActions[Action],$K$6,JournalActions[Mi-temps],K$7))</f>
        <v/>
      </c>
      <c r="L26" t="str">
        <f>IF(COUNTIFS(JournalActions[Joueur],$B26,JournalActions[Action],$K$6,JournalActions[Mi-temps],L$7)=0,"",COUNTIFS(JournalActions[Joueur],$B26,JournalActions[Action],$K$6,JournalActions[Mi-temps],L$7))</f>
        <v/>
      </c>
      <c r="M26" s="28" t="str">
        <f>IF(COUNTIFS(JournalActions[Joueur],$B26,JournalActions[Action],ACT_GRATTAGE_NS,JournalActions[Mi-temps],M$7)=0,"",COUNTIFS(JournalActions[Joueur],$B26,JournalActions[Action],ACT_GRATTAGE_NS,JournalActions[Mi-temps],M$7))</f>
        <v/>
      </c>
      <c r="N26" s="29" t="str">
        <f>IF(COUNTIFS(JournalActions[Joueur],$B26,JournalActions[Action],ACT_GRATTAGE_NS,JournalActions[Mi-temps],N$7)=0,"",COUNTIFS(JournalActions[Joueur],$B26,JournalActions[Action],ACT_GRATTAGE_NS,JournalActions[Mi-temps],N$7))</f>
        <v/>
      </c>
      <c r="O26" s="28" t="str">
        <f>IF(COUNTIFS(JournalActions[Joueur],$B26,JournalActions[Action],$O$6,JournalActions[Mi-temps],O$7)=0,"",COUNTIFS(JournalActions[Joueur],$B26,JournalActions[Action],$O$6,JournalActions[Mi-temps],O$7))</f>
        <v/>
      </c>
      <c r="P26" s="29" t="str">
        <f>IF(COUNTIFS(JournalActions[Joueur],$B26,JournalActions[Action],$O$6,JournalActions[Mi-temps],P$7)=0,"",COUNTIFS(JournalActions[Joueur],$B26,JournalActions[Action],$O$6,JournalActions[Mi-temps],P$7))</f>
        <v/>
      </c>
      <c r="Q26" s="28" t="str">
        <f>IF(COUNTIFS(JournalActions[Joueur],$B26,JournalActions[Action],$Q$6,JournalActions[Mi-temps],Q$7)=0,"",COUNTIFS(JournalActions[Joueur],$B26,JournalActions[Action],$Q$6,JournalActions[Mi-temps],Q$7))</f>
        <v/>
      </c>
      <c r="R26" s="29" t="str">
        <f>IF(COUNTIFS(JournalActions[Joueur],$B26,JournalActions[Action],$Q$6,JournalActions[Mi-temps],R$7)=0,"",COUNTIFS(JournalActions[Joueur],$B26,JournalActions[Action],$Q$6,JournalActions[Mi-temps],R$7))</f>
        <v/>
      </c>
      <c r="S26" s="28" t="str">
        <f>IF(COUNTIFS(JournalActions[Joueur],$B26,JournalActions[Action],$S$6,JournalActions[Mi-temps],S$7)=0,"",COUNTIFS(JournalActions[Joueur],$B26,JournalActions[Action],$S$6,JournalActions[Mi-temps],S$7))</f>
        <v/>
      </c>
      <c r="T26" s="29" t="str">
        <f>IF(COUNTIFS(JournalActions[Joueur],$B26,JournalActions[Action],$S$6,JournalActions[Mi-temps],T$7)=0,"",COUNTIFS(JournalActions[Joueur],$B26,JournalActions[Action],$S$6,JournalActions[Mi-temps],T$7))</f>
        <v/>
      </c>
      <c r="U26" s="68" t="str">
        <f>IF(COUNTIFS(JournalActions[Joueur],$B26,JournalActions[Action],ACT_PEN_CONTRE_NOUS,JournalActions[Motif penalite],U$7)=0,"",COUNTIFS(JournalActions[Joueur],$B26,JournalActions[Action],ACT_PEN_CONTRE_NOUS,JournalActions[Motif penalite],U$7))</f>
        <v/>
      </c>
      <c r="V26" s="68" t="str">
        <f>IF(COUNTIFS(JournalActions[[Joueur]:[Joueur]],$B26,JournalActions[[Action]:[Action]],ACT_PEN_CONTRE_NOUS,JournalActions[[Motif penalite]:[Motif penalite]],ACT_PEN_HORS_JEU)=0,"",COUNTIFS(JournalActions[[Joueur]:[Joueur]],$B26,JournalActions[[Action]:[Action]],ACT_PEN_CONTRE_NOUS,JournalActions[[Motif penalite]:[Motif penalite]],ACT_PEN_HORS_JEU))</f>
        <v/>
      </c>
      <c r="W26" s="68" t="str">
        <f>IF(COUNTIFS(JournalActions[[Joueur]:[Joueur]],$B26,JournalActions[[Action]:[Action]],ACT_PEN_CONTRE_NOUS,JournalActions[[Motif penalite]:[Motif penalite]],ACT_PEN_PL_A_2)=0,"",COUNTIFS(JournalActions[[Joueur]:[Joueur]],$B26,JournalActions[[Action]:[Action]],ACT_PEN_CONTRE_NOUS,JournalActions[[Motif penalite]:[Motif penalite]],ACT_PEN_PL_A_2))</f>
        <v/>
      </c>
      <c r="X26" s="68" t="str">
        <f>IF(COUNTIFS(JournalActions[[Joueur]:[Joueur]],$B26,JournalActions[[Action]:[Action]],ACT_PEN_CONTRE_NOUS,JournalActions[[Motif penalite]:[Motif penalite]],ACT_PEN_PL_HAUT)=0,"",COUNTIFS(JournalActions[[Joueur]:[Joueur]],$B26,JournalActions[[Action]:[Action]],ACT_PEN_CONTRE_NOUS,JournalActions[[Motif penalite]:[Motif penalite]],ACT_PEN_PL_HAUT))</f>
        <v/>
      </c>
      <c r="Y26" s="68" t="str">
        <f>IF(COUNTIFS(JournalActions[[Joueur]:[Joueur]],$B26,JournalActions[[Action]:[Action]],ACT_PEN_CONTRE_NOUS,JournalActions[[Motif penalite]:[Motif penalite]],ACT_PEN_RUCK)=0,"",COUNTIFS(JournalActions[[Joueur]:[Joueur]],$B26,JournalActions[[Action]:[Action]],ACT_PEN_CONTRE_NOUS,JournalActions[[Motif penalite]:[Motif penalite]],ACT_PEN_RUCK))</f>
        <v/>
      </c>
      <c r="Z26" s="68" t="str">
        <f>IF(COUNTIFS(JournalActions[[Joueur]:[Joueur]],$B26,JournalActions[[Action]:[Action]],ACT_PEN_CONTRE_NOUS,JournalActions[[Motif penalite]:[Motif penalite]],"?")=0,"",COUNTIFS(JournalActions[[Joueur]:[Joueur]],$B26,JournalActions[[Action]:[Action]],ACT_PEN_CONTRE_NOUS,JournalActions[[Motif penalite]:[Motif penalite]],"?"))</f>
        <v/>
      </c>
    </row>
    <row r="27" spans="2:37">
      <c r="B27" s="28" t="str">
        <v>SALLES Fabien</v>
      </c>
      <c r="C27" s="28" t="str">
        <f>IF(COUNTIFS(JournalActions[Joueur],$B27,JournalActions[Action],$C$6,JournalActions[Mi-temps],C$7)=0,"",COUNTIFS(JournalActions[Joueur],$B27,JournalActions[Action],$C$6,JournalActions[Mi-temps],C$7))</f>
        <v/>
      </c>
      <c r="D27" s="29" t="str">
        <f>IF(COUNTIFS(JournalActions[Joueur],$B27,JournalActions[Action],$C$6,JournalActions[Mi-temps],D$7)=0,"",COUNTIFS(JournalActions[Joueur],$B27,JournalActions[Action],$C$6,JournalActions[Mi-temps],D$7))</f>
        <v/>
      </c>
      <c r="E27" t="str">
        <f>IF(COUNTIFS(JournalActions[Joueur],$B27,JournalActions[Action],$E$6,JournalActions[Mi-temps],E$7)=0,"",COUNTIFS(JournalActions[Joueur],$B27,JournalActions[Action],$E$6,JournalActions[Mi-temps],E$7))</f>
        <v/>
      </c>
      <c r="F27" t="str">
        <f>IF(COUNTIFS(JournalActions[Joueur],$B27,JournalActions[Action],$E$6,JournalActions[Mi-temps],F$7)=0,"",COUNTIFS(JournalActions[Joueur],$B27,JournalActions[Action],$E$6,JournalActions[Mi-temps],F$7))</f>
        <v/>
      </c>
      <c r="G27" s="28" t="str">
        <f>IF(COUNTIFS(JournalActions[Joueur],$B27,JournalActions[Action],$G$6,JournalActions[Mi-temps],G$7)=0,"",COUNTIFS(JournalActions[Joueur],$B27,JournalActions[Action],$G$6,JournalActions[Mi-temps],G$7))</f>
        <v/>
      </c>
      <c r="H27" s="29" t="str">
        <f>IF(COUNTIFS(JournalActions[Joueur],$B27,JournalActions[Action],$G$6,JournalActions[Mi-temps],H$7)=0,"",COUNTIFS(JournalActions[Joueur],$B27,JournalActions[Action],$G$6,JournalActions[Mi-temps],H$7))</f>
        <v/>
      </c>
      <c r="I27" t="str">
        <f>IF(COUNTIFS(JournalActions[Joueur],$B27,JournalActions[Action],$I$6,JournalActions[Mi-temps],I$7)=0,"",COUNTIFS(JournalActions[Joueur],$B27,JournalActions[Action],$I$6,JournalActions[Mi-temps],I$7))</f>
        <v/>
      </c>
      <c r="J27" t="str">
        <f>IF(COUNTIFS(JournalActions[Joueur],$B27,JournalActions[Action],$I$6,JournalActions[Mi-temps],J$7)=0,"",COUNTIFS(JournalActions[Joueur],$B27,JournalActions[Action],$I$6,JournalActions[Mi-temps],J$7))</f>
        <v/>
      </c>
      <c r="K27" s="28" t="str">
        <f>IF(COUNTIFS(JournalActions[Joueur],$B27,JournalActions[Action],$K$6,JournalActions[Mi-temps],K$7)=0,"",COUNTIFS(JournalActions[Joueur],$B27,JournalActions[Action],$K$6,JournalActions[Mi-temps],K$7))</f>
        <v/>
      </c>
      <c r="L27" t="str">
        <f>IF(COUNTIFS(JournalActions[Joueur],$B27,JournalActions[Action],$K$6,JournalActions[Mi-temps],L$7)=0,"",COUNTIFS(JournalActions[Joueur],$B27,JournalActions[Action],$K$6,JournalActions[Mi-temps],L$7))</f>
        <v/>
      </c>
      <c r="M27" s="28" t="str">
        <f>IF(COUNTIFS(JournalActions[Joueur],$B27,JournalActions[Action],ACT_GRATTAGE_NS,JournalActions[Mi-temps],M$7)=0,"",COUNTIFS(JournalActions[Joueur],$B27,JournalActions[Action],ACT_GRATTAGE_NS,JournalActions[Mi-temps],M$7))</f>
        <v/>
      </c>
      <c r="N27" s="29" t="str">
        <f>IF(COUNTIFS(JournalActions[Joueur],$B27,JournalActions[Action],ACT_GRATTAGE_NS,JournalActions[Mi-temps],N$7)=0,"",COUNTIFS(JournalActions[Joueur],$B27,JournalActions[Action],ACT_GRATTAGE_NS,JournalActions[Mi-temps],N$7))</f>
        <v/>
      </c>
      <c r="O27" s="28" t="str">
        <f>IF(COUNTIFS(JournalActions[Joueur],$B27,JournalActions[Action],$O$6,JournalActions[Mi-temps],O$7)=0,"",COUNTIFS(JournalActions[Joueur],$B27,JournalActions[Action],$O$6,JournalActions[Mi-temps],O$7))</f>
        <v/>
      </c>
      <c r="P27" s="29" t="str">
        <f>IF(COUNTIFS(JournalActions[Joueur],$B27,JournalActions[Action],$O$6,JournalActions[Mi-temps],P$7)=0,"",COUNTIFS(JournalActions[Joueur],$B27,JournalActions[Action],$O$6,JournalActions[Mi-temps],P$7))</f>
        <v/>
      </c>
      <c r="Q27" s="28" t="str">
        <f>IF(COUNTIFS(JournalActions[Joueur],$B27,JournalActions[Action],$Q$6,JournalActions[Mi-temps],Q$7)=0,"",COUNTIFS(JournalActions[Joueur],$B27,JournalActions[Action],$Q$6,JournalActions[Mi-temps],Q$7))</f>
        <v/>
      </c>
      <c r="R27" s="29" t="str">
        <f>IF(COUNTIFS(JournalActions[Joueur],$B27,JournalActions[Action],$Q$6,JournalActions[Mi-temps],R$7)=0,"",COUNTIFS(JournalActions[Joueur],$B27,JournalActions[Action],$Q$6,JournalActions[Mi-temps],R$7))</f>
        <v/>
      </c>
      <c r="S27" s="28" t="str">
        <f>IF(COUNTIFS(JournalActions[Joueur],$B27,JournalActions[Action],$S$6,JournalActions[Mi-temps],S$7)=0,"",COUNTIFS(JournalActions[Joueur],$B27,JournalActions[Action],$S$6,JournalActions[Mi-temps],S$7))</f>
        <v/>
      </c>
      <c r="T27" s="29" t="str">
        <f>IF(COUNTIFS(JournalActions[Joueur],$B27,JournalActions[Action],$S$6,JournalActions[Mi-temps],T$7)=0,"",COUNTIFS(JournalActions[Joueur],$B27,JournalActions[Action],$S$6,JournalActions[Mi-temps],T$7))</f>
        <v/>
      </c>
      <c r="U27" s="68" t="str">
        <f>IF(COUNTIFS(JournalActions[Joueur],$B27,JournalActions[Action],ACT_PEN_CONTRE_NOUS,JournalActions[Motif penalite],U$7)=0,"",COUNTIFS(JournalActions[Joueur],$B27,JournalActions[Action],ACT_PEN_CONTRE_NOUS,JournalActions[Motif penalite],U$7))</f>
        <v/>
      </c>
      <c r="V27" s="68" t="str">
        <f>IF(COUNTIFS(JournalActions[[Joueur]:[Joueur]],$B27,JournalActions[[Action]:[Action]],ACT_PEN_CONTRE_NOUS,JournalActions[[Motif penalite]:[Motif penalite]],ACT_PEN_HORS_JEU)=0,"",COUNTIFS(JournalActions[[Joueur]:[Joueur]],$B27,JournalActions[[Action]:[Action]],ACT_PEN_CONTRE_NOUS,JournalActions[[Motif penalite]:[Motif penalite]],ACT_PEN_HORS_JEU))</f>
        <v/>
      </c>
      <c r="W27" s="68" t="str">
        <f>IF(COUNTIFS(JournalActions[[Joueur]:[Joueur]],$B27,JournalActions[[Action]:[Action]],ACT_PEN_CONTRE_NOUS,JournalActions[[Motif penalite]:[Motif penalite]],ACT_PEN_PL_A_2)=0,"",COUNTIFS(JournalActions[[Joueur]:[Joueur]],$B27,JournalActions[[Action]:[Action]],ACT_PEN_CONTRE_NOUS,JournalActions[[Motif penalite]:[Motif penalite]],ACT_PEN_PL_A_2))</f>
        <v/>
      </c>
      <c r="X27" s="68" t="str">
        <f>IF(COUNTIFS(JournalActions[[Joueur]:[Joueur]],$B27,JournalActions[[Action]:[Action]],ACT_PEN_CONTRE_NOUS,JournalActions[[Motif penalite]:[Motif penalite]],ACT_PEN_PL_HAUT)=0,"",COUNTIFS(JournalActions[[Joueur]:[Joueur]],$B27,JournalActions[[Action]:[Action]],ACT_PEN_CONTRE_NOUS,JournalActions[[Motif penalite]:[Motif penalite]],ACT_PEN_PL_HAUT))</f>
        <v/>
      </c>
      <c r="Y27" s="68" t="str">
        <f>IF(COUNTIFS(JournalActions[[Joueur]:[Joueur]],$B27,JournalActions[[Action]:[Action]],ACT_PEN_CONTRE_NOUS,JournalActions[[Motif penalite]:[Motif penalite]],ACT_PEN_RUCK)=0,"",COUNTIFS(JournalActions[[Joueur]:[Joueur]],$B27,JournalActions[[Action]:[Action]],ACT_PEN_CONTRE_NOUS,JournalActions[[Motif penalite]:[Motif penalite]],ACT_PEN_RUCK))</f>
        <v/>
      </c>
      <c r="Z27" s="68" t="str">
        <f>IF(COUNTIFS(JournalActions[[Joueur]:[Joueur]],$B27,JournalActions[[Action]:[Action]],ACT_PEN_CONTRE_NOUS,JournalActions[[Motif penalite]:[Motif penalite]],"?")=0,"",COUNTIFS(JournalActions[[Joueur]:[Joueur]],$B27,JournalActions[[Action]:[Action]],ACT_PEN_CONTRE_NOUS,JournalActions[[Motif penalite]:[Motif penalite]],"?"))</f>
        <v/>
      </c>
    </row>
    <row r="28" spans="2:37">
      <c r="B28" s="28" t="str">
        <v>SOUVILLE Quentin</v>
      </c>
      <c r="C28" s="28" t="str">
        <f>IF(COUNTIFS(JournalActions[Joueur],$B28,JournalActions[Action],$C$6,JournalActions[Mi-temps],C$7)=0,"",COUNTIFS(JournalActions[Joueur],$B28,JournalActions[Action],$C$6,JournalActions[Mi-temps],C$7))</f>
        <v/>
      </c>
      <c r="D28" s="29" t="str">
        <f>IF(COUNTIFS(JournalActions[Joueur],$B28,JournalActions[Action],$C$6,JournalActions[Mi-temps],D$7)=0,"",COUNTIFS(JournalActions[Joueur],$B28,JournalActions[Action],$C$6,JournalActions[Mi-temps],D$7))</f>
        <v/>
      </c>
      <c r="E28" t="str">
        <f>IF(COUNTIFS(JournalActions[Joueur],$B28,JournalActions[Action],$E$6,JournalActions[Mi-temps],E$7)=0,"",COUNTIFS(JournalActions[Joueur],$B28,JournalActions[Action],$E$6,JournalActions[Mi-temps],E$7))</f>
        <v/>
      </c>
      <c r="F28" t="str">
        <f>IF(COUNTIFS(JournalActions[Joueur],$B28,JournalActions[Action],$E$6,JournalActions[Mi-temps],F$7)=0,"",COUNTIFS(JournalActions[Joueur],$B28,JournalActions[Action],$E$6,JournalActions[Mi-temps],F$7))</f>
        <v/>
      </c>
      <c r="G28" s="28" t="str">
        <f>IF(COUNTIFS(JournalActions[Joueur],$B28,JournalActions[Action],$G$6,JournalActions[Mi-temps],G$7)=0,"",COUNTIFS(JournalActions[Joueur],$B28,JournalActions[Action],$G$6,JournalActions[Mi-temps],G$7))</f>
        <v/>
      </c>
      <c r="H28" s="29" t="str">
        <f>IF(COUNTIFS(JournalActions[Joueur],$B28,JournalActions[Action],$G$6,JournalActions[Mi-temps],H$7)=0,"",COUNTIFS(JournalActions[Joueur],$B28,JournalActions[Action],$G$6,JournalActions[Mi-temps],H$7))</f>
        <v/>
      </c>
      <c r="I28" t="str">
        <f>IF(COUNTIFS(JournalActions[Joueur],$B28,JournalActions[Action],$I$6,JournalActions[Mi-temps],I$7)=0,"",COUNTIFS(JournalActions[Joueur],$B28,JournalActions[Action],$I$6,JournalActions[Mi-temps],I$7))</f>
        <v/>
      </c>
      <c r="J28" t="str">
        <f>IF(COUNTIFS(JournalActions[Joueur],$B28,JournalActions[Action],$I$6,JournalActions[Mi-temps],J$7)=0,"",COUNTIFS(JournalActions[Joueur],$B28,JournalActions[Action],$I$6,JournalActions[Mi-temps],J$7))</f>
        <v/>
      </c>
      <c r="K28" s="28" t="str">
        <f>IF(COUNTIFS(JournalActions[Joueur],$B28,JournalActions[Action],$K$6,JournalActions[Mi-temps],K$7)=0,"",COUNTIFS(JournalActions[Joueur],$B28,JournalActions[Action],$K$6,JournalActions[Mi-temps],K$7))</f>
        <v/>
      </c>
      <c r="L28" t="str">
        <f>IF(COUNTIFS(JournalActions[Joueur],$B28,JournalActions[Action],$K$6,JournalActions[Mi-temps],L$7)=0,"",COUNTIFS(JournalActions[Joueur],$B28,JournalActions[Action],$K$6,JournalActions[Mi-temps],L$7))</f>
        <v/>
      </c>
      <c r="M28" s="28" t="str">
        <f>IF(COUNTIFS(JournalActions[Joueur],$B28,JournalActions[Action],ACT_GRATTAGE_NS,JournalActions[Mi-temps],M$7)=0,"",COUNTIFS(JournalActions[Joueur],$B28,JournalActions[Action],ACT_GRATTAGE_NS,JournalActions[Mi-temps],M$7))</f>
        <v/>
      </c>
      <c r="N28" s="29" t="str">
        <f>IF(COUNTIFS(JournalActions[Joueur],$B28,JournalActions[Action],ACT_GRATTAGE_NS,JournalActions[Mi-temps],N$7)=0,"",COUNTIFS(JournalActions[Joueur],$B28,JournalActions[Action],ACT_GRATTAGE_NS,JournalActions[Mi-temps],N$7))</f>
        <v/>
      </c>
      <c r="O28" s="28" t="str">
        <f>IF(COUNTIFS(JournalActions[Joueur],$B28,JournalActions[Action],$O$6,JournalActions[Mi-temps],O$7)=0,"",COUNTIFS(JournalActions[Joueur],$B28,JournalActions[Action],$O$6,JournalActions[Mi-temps],O$7))</f>
        <v/>
      </c>
      <c r="P28" s="29" t="str">
        <f>IF(COUNTIFS(JournalActions[Joueur],$B28,JournalActions[Action],$O$6,JournalActions[Mi-temps],P$7)=0,"",COUNTIFS(JournalActions[Joueur],$B28,JournalActions[Action],$O$6,JournalActions[Mi-temps],P$7))</f>
        <v/>
      </c>
      <c r="Q28" s="28" t="str">
        <f>IF(COUNTIFS(JournalActions[Joueur],$B28,JournalActions[Action],$Q$6,JournalActions[Mi-temps],Q$7)=0,"",COUNTIFS(JournalActions[Joueur],$B28,JournalActions[Action],$Q$6,JournalActions[Mi-temps],Q$7))</f>
        <v/>
      </c>
      <c r="R28" s="29" t="str">
        <f>IF(COUNTIFS(JournalActions[Joueur],$B28,JournalActions[Action],$Q$6,JournalActions[Mi-temps],R$7)=0,"",COUNTIFS(JournalActions[Joueur],$B28,JournalActions[Action],$Q$6,JournalActions[Mi-temps],R$7))</f>
        <v/>
      </c>
      <c r="S28" s="28" t="str">
        <f>IF(COUNTIFS(JournalActions[Joueur],$B28,JournalActions[Action],$S$6,JournalActions[Mi-temps],S$7)=0,"",COUNTIFS(JournalActions[Joueur],$B28,JournalActions[Action],$S$6,JournalActions[Mi-temps],S$7))</f>
        <v/>
      </c>
      <c r="T28" s="29" t="str">
        <f>IF(COUNTIFS(JournalActions[Joueur],$B28,JournalActions[Action],$S$6,JournalActions[Mi-temps],T$7)=0,"",COUNTIFS(JournalActions[Joueur],$B28,JournalActions[Action],$S$6,JournalActions[Mi-temps],T$7))</f>
        <v/>
      </c>
      <c r="U28" s="68" t="str">
        <f>IF(COUNTIFS(JournalActions[Joueur],$B28,JournalActions[Action],ACT_PEN_CONTRE_NOUS,JournalActions[Motif penalite],U$7)=0,"",COUNTIFS(JournalActions[Joueur],$B28,JournalActions[Action],ACT_PEN_CONTRE_NOUS,JournalActions[Motif penalite],U$7))</f>
        <v/>
      </c>
      <c r="V28" s="68" t="str">
        <f>IF(COUNTIFS(JournalActions[[Joueur]:[Joueur]],$B28,JournalActions[[Action]:[Action]],ACT_PEN_CONTRE_NOUS,JournalActions[[Motif penalite]:[Motif penalite]],ACT_PEN_HORS_JEU)=0,"",COUNTIFS(JournalActions[[Joueur]:[Joueur]],$B28,JournalActions[[Action]:[Action]],ACT_PEN_CONTRE_NOUS,JournalActions[[Motif penalite]:[Motif penalite]],ACT_PEN_HORS_JEU))</f>
        <v/>
      </c>
      <c r="W28" s="68" t="str">
        <f>IF(COUNTIFS(JournalActions[[Joueur]:[Joueur]],$B28,JournalActions[[Action]:[Action]],ACT_PEN_CONTRE_NOUS,JournalActions[[Motif penalite]:[Motif penalite]],ACT_PEN_PL_A_2)=0,"",COUNTIFS(JournalActions[[Joueur]:[Joueur]],$B28,JournalActions[[Action]:[Action]],ACT_PEN_CONTRE_NOUS,JournalActions[[Motif penalite]:[Motif penalite]],ACT_PEN_PL_A_2))</f>
        <v/>
      </c>
      <c r="X28" s="68" t="str">
        <f>IF(COUNTIFS(JournalActions[[Joueur]:[Joueur]],$B28,JournalActions[[Action]:[Action]],ACT_PEN_CONTRE_NOUS,JournalActions[[Motif penalite]:[Motif penalite]],ACT_PEN_PL_HAUT)=0,"",COUNTIFS(JournalActions[[Joueur]:[Joueur]],$B28,JournalActions[[Action]:[Action]],ACT_PEN_CONTRE_NOUS,JournalActions[[Motif penalite]:[Motif penalite]],ACT_PEN_PL_HAUT))</f>
        <v/>
      </c>
      <c r="Y28" s="68" t="str">
        <f>IF(COUNTIFS(JournalActions[[Joueur]:[Joueur]],$B28,JournalActions[[Action]:[Action]],ACT_PEN_CONTRE_NOUS,JournalActions[[Motif penalite]:[Motif penalite]],ACT_PEN_RUCK)=0,"",COUNTIFS(JournalActions[[Joueur]:[Joueur]],$B28,JournalActions[[Action]:[Action]],ACT_PEN_CONTRE_NOUS,JournalActions[[Motif penalite]:[Motif penalite]],ACT_PEN_RUCK))</f>
        <v/>
      </c>
      <c r="Z28" s="68" t="str">
        <f>IF(COUNTIFS(JournalActions[[Joueur]:[Joueur]],$B28,JournalActions[[Action]:[Action]],ACT_PEN_CONTRE_NOUS,JournalActions[[Motif penalite]:[Motif penalite]],"?")=0,"",COUNTIFS(JournalActions[[Joueur]:[Joueur]],$B28,JournalActions[[Action]:[Action]],ACT_PEN_CONTRE_NOUS,JournalActions[[Motif penalite]:[Motif penalite]],"?"))</f>
        <v/>
      </c>
    </row>
    <row r="29" spans="2:37">
      <c r="B29" s="28" t="str">
        <v>STEFANI Titouan</v>
      </c>
      <c r="C29" s="28" t="str">
        <f>IF(COUNTIFS(JournalActions[Joueur],$B29,JournalActions[Action],$C$6,JournalActions[Mi-temps],C$7)=0,"",COUNTIFS(JournalActions[Joueur],$B29,JournalActions[Action],$C$6,JournalActions[Mi-temps],C$7))</f>
        <v/>
      </c>
      <c r="D29" s="29" t="str">
        <f>IF(COUNTIFS(JournalActions[Joueur],$B29,JournalActions[Action],$C$6,JournalActions[Mi-temps],D$7)=0,"",COUNTIFS(JournalActions[Joueur],$B29,JournalActions[Action],$C$6,JournalActions[Mi-temps],D$7))</f>
        <v/>
      </c>
      <c r="E29" t="str">
        <f>IF(COUNTIFS(JournalActions[Joueur],$B29,JournalActions[Action],$E$6,JournalActions[Mi-temps],E$7)=0,"",COUNTIFS(JournalActions[Joueur],$B29,JournalActions[Action],$E$6,JournalActions[Mi-temps],E$7))</f>
        <v/>
      </c>
      <c r="F29" t="str">
        <f>IF(COUNTIFS(JournalActions[Joueur],$B29,JournalActions[Action],$E$6,JournalActions[Mi-temps],F$7)=0,"",COUNTIFS(JournalActions[Joueur],$B29,JournalActions[Action],$E$6,JournalActions[Mi-temps],F$7))</f>
        <v/>
      </c>
      <c r="G29" s="28" t="str">
        <f>IF(COUNTIFS(JournalActions[Joueur],$B29,JournalActions[Action],$G$6,JournalActions[Mi-temps],G$7)=0,"",COUNTIFS(JournalActions[Joueur],$B29,JournalActions[Action],$G$6,JournalActions[Mi-temps],G$7))</f>
        <v/>
      </c>
      <c r="H29" s="29" t="str">
        <f>IF(COUNTIFS(JournalActions[Joueur],$B29,JournalActions[Action],$G$6,JournalActions[Mi-temps],H$7)=0,"",COUNTIFS(JournalActions[Joueur],$B29,JournalActions[Action],$G$6,JournalActions[Mi-temps],H$7))</f>
        <v/>
      </c>
      <c r="I29" t="str">
        <f>IF(COUNTIFS(JournalActions[Joueur],$B29,JournalActions[Action],$I$6,JournalActions[Mi-temps],I$7)=0,"",COUNTIFS(JournalActions[Joueur],$B29,JournalActions[Action],$I$6,JournalActions[Mi-temps],I$7))</f>
        <v/>
      </c>
      <c r="J29" t="str">
        <f>IF(COUNTIFS(JournalActions[Joueur],$B29,JournalActions[Action],$I$6,JournalActions[Mi-temps],J$7)=0,"",COUNTIFS(JournalActions[Joueur],$B29,JournalActions[Action],$I$6,JournalActions[Mi-temps],J$7))</f>
        <v/>
      </c>
      <c r="K29" s="28" t="str">
        <f>IF(COUNTIFS(JournalActions[Joueur],$B29,JournalActions[Action],$K$6,JournalActions[Mi-temps],K$7)=0,"",COUNTIFS(JournalActions[Joueur],$B29,JournalActions[Action],$K$6,JournalActions[Mi-temps],K$7))</f>
        <v/>
      </c>
      <c r="L29" t="str">
        <f>IF(COUNTIFS(JournalActions[Joueur],$B29,JournalActions[Action],$K$6,JournalActions[Mi-temps],L$7)=0,"",COUNTIFS(JournalActions[Joueur],$B29,JournalActions[Action],$K$6,JournalActions[Mi-temps],L$7))</f>
        <v/>
      </c>
      <c r="M29" s="28" t="str">
        <f>IF(COUNTIFS(JournalActions[Joueur],$B29,JournalActions[Action],ACT_GRATTAGE_NS,JournalActions[Mi-temps],M$7)=0,"",COUNTIFS(JournalActions[Joueur],$B29,JournalActions[Action],ACT_GRATTAGE_NS,JournalActions[Mi-temps],M$7))</f>
        <v/>
      </c>
      <c r="N29" s="29" t="str">
        <f>IF(COUNTIFS(JournalActions[Joueur],$B29,JournalActions[Action],ACT_GRATTAGE_NS,JournalActions[Mi-temps],N$7)=0,"",COUNTIFS(JournalActions[Joueur],$B29,JournalActions[Action],ACT_GRATTAGE_NS,JournalActions[Mi-temps],N$7))</f>
        <v/>
      </c>
      <c r="O29" s="28" t="str">
        <f>IF(COUNTIFS(JournalActions[Joueur],$B29,JournalActions[Action],$O$6,JournalActions[Mi-temps],O$7)=0,"",COUNTIFS(JournalActions[Joueur],$B29,JournalActions[Action],$O$6,JournalActions[Mi-temps],O$7))</f>
        <v/>
      </c>
      <c r="P29" s="29" t="str">
        <f>IF(COUNTIFS(JournalActions[Joueur],$B29,JournalActions[Action],$O$6,JournalActions[Mi-temps],P$7)=0,"",COUNTIFS(JournalActions[Joueur],$B29,JournalActions[Action],$O$6,JournalActions[Mi-temps],P$7))</f>
        <v/>
      </c>
      <c r="Q29" s="28" t="str">
        <f>IF(COUNTIFS(JournalActions[Joueur],$B29,JournalActions[Action],$Q$6,JournalActions[Mi-temps],Q$7)=0,"",COUNTIFS(JournalActions[Joueur],$B29,JournalActions[Action],$Q$6,JournalActions[Mi-temps],Q$7))</f>
        <v/>
      </c>
      <c r="R29" s="29" t="str">
        <f>IF(COUNTIFS(JournalActions[Joueur],$B29,JournalActions[Action],$Q$6,JournalActions[Mi-temps],R$7)=0,"",COUNTIFS(JournalActions[Joueur],$B29,JournalActions[Action],$Q$6,JournalActions[Mi-temps],R$7))</f>
        <v/>
      </c>
      <c r="S29" s="28" t="str">
        <f>IF(COUNTIFS(JournalActions[Joueur],$B29,JournalActions[Action],$S$6,JournalActions[Mi-temps],S$7)=0,"",COUNTIFS(JournalActions[Joueur],$B29,JournalActions[Action],$S$6,JournalActions[Mi-temps],S$7))</f>
        <v/>
      </c>
      <c r="T29" s="29" t="str">
        <f>IF(COUNTIFS(JournalActions[Joueur],$B29,JournalActions[Action],$S$6,JournalActions[Mi-temps],T$7)=0,"",COUNTIFS(JournalActions[Joueur],$B29,JournalActions[Action],$S$6,JournalActions[Mi-temps],T$7))</f>
        <v/>
      </c>
      <c r="U29" s="68" t="str">
        <f>IF(COUNTIFS(JournalActions[Joueur],$B29,JournalActions[Action],ACT_PEN_CONTRE_NOUS,JournalActions[Motif penalite],U$7)=0,"",COUNTIFS(JournalActions[Joueur],$B29,JournalActions[Action],ACT_PEN_CONTRE_NOUS,JournalActions[Motif penalite],U$7))</f>
        <v/>
      </c>
      <c r="V29" s="68" t="str">
        <f>IF(COUNTIFS(JournalActions[[Joueur]:[Joueur]],$B29,JournalActions[[Action]:[Action]],ACT_PEN_CONTRE_NOUS,JournalActions[[Motif penalite]:[Motif penalite]],ACT_PEN_HORS_JEU)=0,"",COUNTIFS(JournalActions[[Joueur]:[Joueur]],$B29,JournalActions[[Action]:[Action]],ACT_PEN_CONTRE_NOUS,JournalActions[[Motif penalite]:[Motif penalite]],ACT_PEN_HORS_JEU))</f>
        <v/>
      </c>
      <c r="W29" s="68" t="str">
        <f>IF(COUNTIFS(JournalActions[[Joueur]:[Joueur]],$B29,JournalActions[[Action]:[Action]],ACT_PEN_CONTRE_NOUS,JournalActions[[Motif penalite]:[Motif penalite]],ACT_PEN_PL_A_2)=0,"",COUNTIFS(JournalActions[[Joueur]:[Joueur]],$B29,JournalActions[[Action]:[Action]],ACT_PEN_CONTRE_NOUS,JournalActions[[Motif penalite]:[Motif penalite]],ACT_PEN_PL_A_2))</f>
        <v/>
      </c>
      <c r="X29" s="68" t="str">
        <f>IF(COUNTIFS(JournalActions[[Joueur]:[Joueur]],$B29,JournalActions[[Action]:[Action]],ACT_PEN_CONTRE_NOUS,JournalActions[[Motif penalite]:[Motif penalite]],ACT_PEN_PL_HAUT)=0,"",COUNTIFS(JournalActions[[Joueur]:[Joueur]],$B29,JournalActions[[Action]:[Action]],ACT_PEN_CONTRE_NOUS,JournalActions[[Motif penalite]:[Motif penalite]],ACT_PEN_PL_HAUT))</f>
        <v/>
      </c>
      <c r="Y29" s="68" t="str">
        <f>IF(COUNTIFS(JournalActions[[Joueur]:[Joueur]],$B29,JournalActions[[Action]:[Action]],ACT_PEN_CONTRE_NOUS,JournalActions[[Motif penalite]:[Motif penalite]],ACT_PEN_RUCK)=0,"",COUNTIFS(JournalActions[[Joueur]:[Joueur]],$B29,JournalActions[[Action]:[Action]],ACT_PEN_CONTRE_NOUS,JournalActions[[Motif penalite]:[Motif penalite]],ACT_PEN_RUCK))</f>
        <v/>
      </c>
      <c r="Z29" s="68" t="str">
        <f>IF(COUNTIFS(JournalActions[[Joueur]:[Joueur]],$B29,JournalActions[[Action]:[Action]],ACT_PEN_CONTRE_NOUS,JournalActions[[Motif penalite]:[Motif penalite]],"?")=0,"",COUNTIFS(JournalActions[[Joueur]:[Joueur]],$B29,JournalActions[[Action]:[Action]],ACT_PEN_CONTRE_NOUS,JournalActions[[Motif penalite]:[Motif penalite]],"?"))</f>
        <v/>
      </c>
    </row>
    <row r="30" spans="2:37">
      <c r="B30" s="26" t="s">
        <v>42</v>
      </c>
      <c r="C30" s="28" t="str">
        <f>IF(COUNTIFS(JournalActions[Joueur],$B30,JournalActions[Action],$C$6,JournalActions[Mi-temps],C$7)=0,"",COUNTIFS(JournalActions[Joueur],$B30,JournalActions[Action],$C$6,JournalActions[Mi-temps],C$7))</f>
        <v/>
      </c>
      <c r="D30" s="29" t="str">
        <f>IF(COUNTIFS(JournalActions[Joueur],$B30,JournalActions[Action],$C$6,JournalActions[Mi-temps],D$7)=0,"",COUNTIFS(JournalActions[Joueur],$B30,JournalActions[Action],$C$6,JournalActions[Mi-temps],D$7))</f>
        <v/>
      </c>
      <c r="E30" t="str">
        <f>IF(COUNTIFS(JournalActions[Joueur],$B30,JournalActions[Action],$E$6,JournalActions[Mi-temps],E$7)=0,"",COUNTIFS(JournalActions[Joueur],$B30,JournalActions[Action],$E$6,JournalActions[Mi-temps],E$7))</f>
        <v/>
      </c>
      <c r="F30" t="str">
        <f>IF(COUNTIFS(JournalActions[Joueur],$B30,JournalActions[Action],$E$6,JournalActions[Mi-temps],F$7)=0,"",COUNTIFS(JournalActions[Joueur],$B30,JournalActions[Action],$E$6,JournalActions[Mi-temps],F$7))</f>
        <v/>
      </c>
      <c r="G30" s="28" t="str">
        <f>IF(COUNTIFS(JournalActions[Joueur],$B30,JournalActions[Action],$G$6,JournalActions[Mi-temps],G$7)=0,"",COUNTIFS(JournalActions[Joueur],$B30,JournalActions[Action],$G$6,JournalActions[Mi-temps],G$7))</f>
        <v/>
      </c>
      <c r="H30" s="29" t="str">
        <f>IF(COUNTIFS(JournalActions[Joueur],$B30,JournalActions[Action],$G$6,JournalActions[Mi-temps],H$7)=0,"",COUNTIFS(JournalActions[Joueur],$B30,JournalActions[Action],$G$6,JournalActions[Mi-temps],H$7))</f>
        <v/>
      </c>
      <c r="I30" t="str">
        <f>IF(COUNTIFS(JournalActions[Joueur],$B30,JournalActions[Action],$I$6,JournalActions[Mi-temps],I$7)=0,"",COUNTIFS(JournalActions[Joueur],$B30,JournalActions[Action],$I$6,JournalActions[Mi-temps],I$7))</f>
        <v/>
      </c>
      <c r="J30" t="str">
        <f>IF(COUNTIFS(JournalActions[Joueur],$B30,JournalActions[Action],$I$6,JournalActions[Mi-temps],J$7)=0,"",COUNTIFS(JournalActions[Joueur],$B30,JournalActions[Action],$I$6,JournalActions[Mi-temps],J$7))</f>
        <v/>
      </c>
      <c r="K30" s="28" t="str">
        <f>IF(COUNTIFS(JournalActions[Joueur],$B30,JournalActions[Action],$K$6,JournalActions[Mi-temps],K$7)=0,"",COUNTIFS(JournalActions[Joueur],$B30,JournalActions[Action],$K$6,JournalActions[Mi-temps],K$7))</f>
        <v/>
      </c>
      <c r="L30" t="str">
        <f>IF(COUNTIFS(JournalActions[Joueur],$B30,JournalActions[Action],$K$6,JournalActions[Mi-temps],L$7)=0,"",COUNTIFS(JournalActions[Joueur],$B30,JournalActions[Action],$K$6,JournalActions[Mi-temps],L$7))</f>
        <v/>
      </c>
      <c r="M30" s="28" t="str">
        <f>IF(COUNTIFS(JournalActions[Joueur],$B30,JournalActions[Action],ACT_GRATTAGE_NS,JournalActions[Mi-temps],M$7)=0,"",COUNTIFS(JournalActions[Joueur],$B30,JournalActions[Action],ACT_GRATTAGE_NS,JournalActions[Mi-temps],M$7))</f>
        <v/>
      </c>
      <c r="N30" s="29" t="str">
        <f>IF(COUNTIFS(JournalActions[Joueur],$B30,JournalActions[Action],ACT_GRATTAGE_NS,JournalActions[Mi-temps],N$7)=0,"",COUNTIFS(JournalActions[Joueur],$B30,JournalActions[Action],ACT_GRATTAGE_NS,JournalActions[Mi-temps],N$7))</f>
        <v/>
      </c>
      <c r="O30" s="28" t="str">
        <f>IF(COUNTIFS(JournalActions[Joueur],$B30,JournalActions[Action],$O$6,JournalActions[Mi-temps],O$7)=0,"",COUNTIFS(JournalActions[Joueur],$B30,JournalActions[Action],$O$6,JournalActions[Mi-temps],O$7))</f>
        <v/>
      </c>
      <c r="P30" s="29" t="str">
        <f>IF(COUNTIFS(JournalActions[Joueur],$B30,JournalActions[Action],$O$6,JournalActions[Mi-temps],P$7)=0,"",COUNTIFS(JournalActions[Joueur],$B30,JournalActions[Action],$O$6,JournalActions[Mi-temps],P$7))</f>
        <v/>
      </c>
      <c r="Q30" s="28" t="str">
        <f>IF(COUNTIFS(JournalActions[Joueur],$B30,JournalActions[Action],$Q$6,JournalActions[Mi-temps],Q$7)=0,"",COUNTIFS(JournalActions[Joueur],$B30,JournalActions[Action],$Q$6,JournalActions[Mi-temps],Q$7))</f>
        <v/>
      </c>
      <c r="R30" s="29" t="str">
        <f>IF(COUNTIFS(JournalActions[Joueur],$B30,JournalActions[Action],$Q$6,JournalActions[Mi-temps],R$7)=0,"",COUNTIFS(JournalActions[Joueur],$B30,JournalActions[Action],$Q$6,JournalActions[Mi-temps],R$7))</f>
        <v/>
      </c>
      <c r="S30" s="28" t="str">
        <f>IF(COUNTIFS(JournalActions[Joueur],$B30,JournalActions[Action],$S$6,JournalActions[Mi-temps],S$7)=0,"",COUNTIFS(JournalActions[Joueur],$B30,JournalActions[Action],$S$6,JournalActions[Mi-temps],S$7))</f>
        <v/>
      </c>
      <c r="T30" s="29" t="str">
        <f>IF(COUNTIFS(JournalActions[Joueur],$B30,JournalActions[Action],$S$6,JournalActions[Mi-temps],T$7)=0,"",COUNTIFS(JournalActions[Joueur],$B30,JournalActions[Action],$S$6,JournalActions[Mi-temps],T$7))</f>
        <v/>
      </c>
      <c r="U30" s="68" t="str">
        <f>IF(COUNTIFS(JournalActions[Joueur],$B30,JournalActions[Action],ACT_PEN_CONTRE_NOUS,JournalActions[Motif penalite],U$7)=0,"",COUNTIFS(JournalActions[Joueur],$B30,JournalActions[Action],ACT_PEN_CONTRE_NOUS,JournalActions[Motif penalite],U$7))</f>
        <v/>
      </c>
      <c r="V30" s="68" t="str">
        <f>IF(COUNTIFS(JournalActions[[Joueur]:[Joueur]],$B30,JournalActions[[Action]:[Action]],ACT_PEN_CONTRE_NOUS,JournalActions[[Motif penalite]:[Motif penalite]],ACT_PEN_HORS_JEU)=0,"",COUNTIFS(JournalActions[[Joueur]:[Joueur]],$B30,JournalActions[[Action]:[Action]],ACT_PEN_CONTRE_NOUS,JournalActions[[Motif penalite]:[Motif penalite]],ACT_PEN_HORS_JEU))</f>
        <v/>
      </c>
      <c r="W30" s="68" t="str">
        <f>IF(COUNTIFS(JournalActions[[Joueur]:[Joueur]],$B30,JournalActions[[Action]:[Action]],ACT_PEN_CONTRE_NOUS,JournalActions[[Motif penalite]:[Motif penalite]],ACT_PEN_PL_A_2)=0,"",COUNTIFS(JournalActions[[Joueur]:[Joueur]],$B30,JournalActions[[Action]:[Action]],ACT_PEN_CONTRE_NOUS,JournalActions[[Motif penalite]:[Motif penalite]],ACT_PEN_PL_A_2))</f>
        <v/>
      </c>
      <c r="X30" s="68" t="str">
        <f>IF(COUNTIFS(JournalActions[[Joueur]:[Joueur]],$B30,JournalActions[[Action]:[Action]],ACT_PEN_CONTRE_NOUS,JournalActions[[Motif penalite]:[Motif penalite]],ACT_PEN_PL_HAUT)=0,"",COUNTIFS(JournalActions[[Joueur]:[Joueur]],$B30,JournalActions[[Action]:[Action]],ACT_PEN_CONTRE_NOUS,JournalActions[[Motif penalite]:[Motif penalite]],ACT_PEN_PL_HAUT))</f>
        <v/>
      </c>
      <c r="Y30" s="68" t="str">
        <f>IF(COUNTIFS(JournalActions[[Joueur]:[Joueur]],$B30,JournalActions[[Action]:[Action]],ACT_PEN_CONTRE_NOUS,JournalActions[[Motif penalite]:[Motif penalite]],ACT_PEN_RUCK)=0,"",COUNTIFS(JournalActions[[Joueur]:[Joueur]],$B30,JournalActions[[Action]:[Action]],ACT_PEN_CONTRE_NOUS,JournalActions[[Motif penalite]:[Motif penalite]],ACT_PEN_RUCK))</f>
        <v/>
      </c>
      <c r="Z30" s="68" t="str">
        <f>IF(COUNTIFS(JournalActions[[Joueur]:[Joueur]],$B30,JournalActions[[Action]:[Action]],ACT_PEN_CONTRE_NOUS,JournalActions[[Motif penalite]:[Motif penalite]],"?")=0,"",COUNTIFS(JournalActions[[Joueur]:[Joueur]],$B30,JournalActions[[Action]:[Action]],ACT_PEN_CONTRE_NOUS,JournalActions[[Motif penalite]:[Motif penalite]],"?"))</f>
        <v/>
      </c>
    </row>
    <row r="31" spans="2:37">
      <c r="B31" s="27" t="s">
        <v>32</v>
      </c>
      <c r="C31" s="32" t="str">
        <f>IF(COUNTIFS(JournalActions[Joueur],$B31,JournalActions[Action],$C$6,JournalActions[Mi-temps],C$7)=0,"",COUNTIFS(JournalActions[Joueur],$B31,JournalActions[Action],$C$6,JournalActions[Mi-temps],C$7))</f>
        <v/>
      </c>
      <c r="D31" s="31" t="str">
        <f>IF(COUNTIFS(JournalActions[Joueur],$B31,JournalActions[Action],$C$6,JournalActions[Mi-temps],D$7)=0,"",COUNTIFS(JournalActions[Joueur],$B31,JournalActions[Action],$C$6,JournalActions[Mi-temps],D$7))</f>
        <v/>
      </c>
      <c r="E31" s="30" t="str">
        <f>IF(COUNTIFS(JournalActions[Joueur],$B31,JournalActions[Action],$E$6,JournalActions[Mi-temps],E$7)=0,"",COUNTIFS(JournalActions[Joueur],$B31,JournalActions[Action],$E$6,JournalActions[Mi-temps],E$7))</f>
        <v/>
      </c>
      <c r="F31" s="30" t="str">
        <f>IF(COUNTIFS(JournalActions[Joueur],$B31,JournalActions[Action],$E$6,JournalActions[Mi-temps],F$7)=0,"",COUNTIFS(JournalActions[Joueur],$B31,JournalActions[Action],$E$6,JournalActions[Mi-temps],F$7))</f>
        <v/>
      </c>
      <c r="G31" s="32" t="str">
        <f>IF(COUNTIFS(JournalActions[Joueur],$B31,JournalActions[Action],$G$6,JournalActions[Mi-temps],G$7)=0,"",COUNTIFS(JournalActions[Joueur],$B31,JournalActions[Action],$G$6,JournalActions[Mi-temps],G$7))</f>
        <v/>
      </c>
      <c r="H31" s="31" t="str">
        <f>IF(COUNTIFS(JournalActions[Joueur],$B31,JournalActions[Action],$G$6,JournalActions[Mi-temps],H$7)=0,"",COUNTIFS(JournalActions[Joueur],$B31,JournalActions[Action],$G$6,JournalActions[Mi-temps],H$7))</f>
        <v/>
      </c>
      <c r="I31" s="30" t="str">
        <f>IF(COUNTIFS(JournalActions[Joueur],$B31,JournalActions[Action],$I$6,JournalActions[Mi-temps],I$7)=0,"",COUNTIFS(JournalActions[Joueur],$B31,JournalActions[Action],$I$6,JournalActions[Mi-temps],I$7))</f>
        <v/>
      </c>
      <c r="J31" s="30" t="str">
        <f>IF(COUNTIFS(JournalActions[Joueur],$B31,JournalActions[Action],$I$6,JournalActions[Mi-temps],J$7)=0,"",COUNTIFS(JournalActions[Joueur],$B31,JournalActions[Action],$I$6,JournalActions[Mi-temps],J$7))</f>
        <v/>
      </c>
      <c r="K31" s="32" t="str">
        <f>IF(COUNTIFS(JournalActions[Joueur],$B31,JournalActions[Action],$K$6,JournalActions[Mi-temps],K$7)=0,"",COUNTIFS(JournalActions[Joueur],$B31,JournalActions[Action],$K$6,JournalActions[Mi-temps],K$7))</f>
        <v/>
      </c>
      <c r="L31" s="30" t="str">
        <f>IF(COUNTIFS(JournalActions[Joueur],$B31,JournalActions[Action],$K$6,JournalActions[Mi-temps],L$7)=0,"",COUNTIFS(JournalActions[Joueur],$B31,JournalActions[Action],$K$6,JournalActions[Mi-temps],L$7))</f>
        <v/>
      </c>
      <c r="M31" s="32" t="str">
        <f>IF(COUNTIFS(JournalActions[Joueur],$B31,JournalActions[Action],ACT_GRATTAGE_NS,JournalActions[Mi-temps],M$7)=0,"",COUNTIFS(JournalActions[Joueur],$B31,JournalActions[Action],ACT_GRATTAGE_NS,JournalActions[Mi-temps],M$7))</f>
        <v/>
      </c>
      <c r="N31" s="31" t="str">
        <f>IF(COUNTIFS(JournalActions[Joueur],$B31,JournalActions[Action],ACT_GRATTAGE_NS,JournalActions[Mi-temps],N$7)=0,"",COUNTIFS(JournalActions[Joueur],$B31,JournalActions[Action],ACT_GRATTAGE_NS,JournalActions[Mi-temps],N$7))</f>
        <v/>
      </c>
      <c r="O31" s="32" t="str">
        <f>IF(COUNTIFS(JournalActions[Joueur],$B31,JournalActions[Action],$O$6,JournalActions[Mi-temps],O$7)=0,"",COUNTIFS(JournalActions[Joueur],$B31,JournalActions[Action],$O$6,JournalActions[Mi-temps],O$7))</f>
        <v/>
      </c>
      <c r="P31" s="31" t="str">
        <f>IF(COUNTIFS(JournalActions[Joueur],$B31,JournalActions[Action],$O$6,JournalActions[Mi-temps],P$7)=0,"",COUNTIFS(JournalActions[Joueur],$B31,JournalActions[Action],$O$6,JournalActions[Mi-temps],P$7))</f>
        <v/>
      </c>
      <c r="Q31" s="32" t="str">
        <f>IF(COUNTIFS(JournalActions[Joueur],$B31,JournalActions[Action],$Q$6,JournalActions[Mi-temps],Q$7)=0,"",COUNTIFS(JournalActions[Joueur],$B31,JournalActions[Action],$Q$6,JournalActions[Mi-temps],Q$7))</f>
        <v/>
      </c>
      <c r="R31" s="31" t="str">
        <f>IF(COUNTIFS(JournalActions[Joueur],$B31,JournalActions[Action],$Q$6,JournalActions[Mi-temps],R$7)=0,"",COUNTIFS(JournalActions[Joueur],$B31,JournalActions[Action],$Q$6,JournalActions[Mi-temps],R$7))</f>
        <v/>
      </c>
      <c r="S31" s="32" t="str">
        <f>IF(COUNTIFS(JournalActions[Joueur],$B31,JournalActions[Action],$S$6,JournalActions[Mi-temps],S$7)=0,"",COUNTIFS(JournalActions[Joueur],$B31,JournalActions[Action],$S$6,JournalActions[Mi-temps],S$7))</f>
        <v/>
      </c>
      <c r="T31" s="31" t="str">
        <f>IF(COUNTIFS(JournalActions[Joueur],$B31,JournalActions[Action],$S$6,JournalActions[Mi-temps],T$7)=0,"",COUNTIFS(JournalActions[Joueur],$B31,JournalActions[Action],$S$6,JournalActions[Mi-temps],T$7))</f>
        <v/>
      </c>
      <c r="U31" s="69" t="str">
        <f>IF(COUNTIFS(JournalActions[Joueur],$B31,JournalActions[Action],ACT_PEN_CONTRE_NOUS,JournalActions[Motif penalite],U$7)=0,"",COUNTIFS(JournalActions[Joueur],$B31,JournalActions[Action],ACT_PEN_CONTRE_NOUS,JournalActions[Motif penalite],U$7))</f>
        <v/>
      </c>
      <c r="V31" s="69" t="str">
        <f>IF(COUNTIFS(JournalActions[[Joueur]:[Joueur]],$B31,JournalActions[[Action]:[Action]],ACT_PEN_CONTRE_NOUS,JournalActions[[Motif penalite]:[Motif penalite]],ACT_PEN_HORS_JEU)=0,"",COUNTIFS(JournalActions[[Joueur]:[Joueur]],$B31,JournalActions[[Action]:[Action]],ACT_PEN_CONTRE_NOUS,JournalActions[[Motif penalite]:[Motif penalite]],ACT_PEN_HORS_JEU))</f>
        <v/>
      </c>
      <c r="W31" s="69" t="str">
        <f>IF(COUNTIFS(JournalActions[[Joueur]:[Joueur]],$B31,JournalActions[[Action]:[Action]],ACT_PEN_CONTRE_NOUS,JournalActions[[Motif penalite]:[Motif penalite]],ACT_PEN_PL_A_2)=0,"",COUNTIFS(JournalActions[[Joueur]:[Joueur]],$B31,JournalActions[[Action]:[Action]],ACT_PEN_CONTRE_NOUS,JournalActions[[Motif penalite]:[Motif penalite]],ACT_PEN_PL_A_2))</f>
        <v/>
      </c>
      <c r="X31" s="69" t="str">
        <f>IF(COUNTIFS(JournalActions[[Joueur]:[Joueur]],$B31,JournalActions[[Action]:[Action]],ACT_PEN_CONTRE_NOUS,JournalActions[[Motif penalite]:[Motif penalite]],ACT_PEN_PL_HAUT)=0,"",COUNTIFS(JournalActions[[Joueur]:[Joueur]],$B31,JournalActions[[Action]:[Action]],ACT_PEN_CONTRE_NOUS,JournalActions[[Motif penalite]:[Motif penalite]],ACT_PEN_PL_HAUT))</f>
        <v/>
      </c>
      <c r="Y31" s="69" t="str">
        <f>IF(COUNTIFS(JournalActions[[Joueur]:[Joueur]],$B31,JournalActions[[Action]:[Action]],ACT_PEN_CONTRE_NOUS,JournalActions[[Motif penalite]:[Motif penalite]],ACT_PEN_RUCK)=0,"",COUNTIFS(JournalActions[[Joueur]:[Joueur]],$B31,JournalActions[[Action]:[Action]],ACT_PEN_CONTRE_NOUS,JournalActions[[Motif penalite]:[Motif penalite]],ACT_PEN_RUCK))</f>
        <v/>
      </c>
      <c r="Z31" s="69" t="str">
        <f>IF(COUNTIFS(JournalActions[[Joueur]:[Joueur]],$B31,JournalActions[[Action]:[Action]],ACT_PEN_CONTRE_NOUS,JournalActions[[Motif penalite]:[Motif penalite]],"?")=0,"",COUNTIFS(JournalActions[[Joueur]:[Joueur]],$B31,JournalActions[[Action]:[Action]],ACT_PEN_CONTRE_NOUS,JournalActions[[Motif penalite]:[Motif penalite]],"?"))</f>
        <v/>
      </c>
    </row>
    <row r="32" spans="2:37" s="3" customFormat="1" ht="22" customHeight="1">
      <c r="B32" s="52" t="s">
        <v>176</v>
      </c>
      <c r="C32" s="53">
        <f>SUM(C8:C31)</f>
        <v>0</v>
      </c>
      <c r="D32" s="54">
        <f t="shared" ref="D32:Z32" si="0">SUM(D8:D31)</f>
        <v>0</v>
      </c>
      <c r="E32" s="53">
        <f t="shared" si="0"/>
        <v>0</v>
      </c>
      <c r="F32" s="54">
        <f t="shared" si="0"/>
        <v>0</v>
      </c>
      <c r="G32" s="53">
        <f t="shared" si="0"/>
        <v>0</v>
      </c>
      <c r="H32" s="54">
        <f t="shared" si="0"/>
        <v>0</v>
      </c>
      <c r="I32" s="53">
        <f t="shared" si="0"/>
        <v>0</v>
      </c>
      <c r="J32" s="54">
        <f t="shared" si="0"/>
        <v>0</v>
      </c>
      <c r="K32" s="53">
        <f t="shared" si="0"/>
        <v>0</v>
      </c>
      <c r="L32" s="54">
        <f t="shared" si="0"/>
        <v>0</v>
      </c>
      <c r="M32" s="53">
        <f t="shared" si="0"/>
        <v>0</v>
      </c>
      <c r="N32" s="54">
        <f t="shared" si="0"/>
        <v>0</v>
      </c>
      <c r="O32" s="53">
        <f t="shared" ref="O32:P32" si="1">SUM(O8:O31)</f>
        <v>0</v>
      </c>
      <c r="P32" s="54">
        <f t="shared" si="1"/>
        <v>0</v>
      </c>
      <c r="Q32" s="53">
        <f t="shared" ref="Q32:T32" si="2">SUM(Q8:Q31)</f>
        <v>0</v>
      </c>
      <c r="R32" s="54">
        <f t="shared" si="2"/>
        <v>0</v>
      </c>
      <c r="S32" s="53">
        <f t="shared" si="2"/>
        <v>0</v>
      </c>
      <c r="T32" s="54">
        <f t="shared" si="2"/>
        <v>0</v>
      </c>
      <c r="U32" s="233">
        <f t="shared" si="0"/>
        <v>0</v>
      </c>
      <c r="V32" s="233">
        <f t="shared" si="0"/>
        <v>0</v>
      </c>
      <c r="W32" s="233">
        <f t="shared" si="0"/>
        <v>0</v>
      </c>
      <c r="X32" s="233">
        <f t="shared" si="0"/>
        <v>0</v>
      </c>
      <c r="Y32" s="233">
        <f t="shared" si="0"/>
        <v>0</v>
      </c>
      <c r="Z32" s="233">
        <f t="shared" si="0"/>
        <v>0</v>
      </c>
    </row>
    <row r="33" spans="2:33" s="41" customFormat="1" ht="25" customHeight="1">
      <c r="B33" s="55" t="s">
        <v>175</v>
      </c>
      <c r="C33" s="237">
        <f>C32+D32</f>
        <v>0</v>
      </c>
      <c r="D33" s="238"/>
      <c r="E33" s="239">
        <f t="shared" ref="E33" si="3">E32+F32</f>
        <v>0</v>
      </c>
      <c r="F33" s="239"/>
      <c r="G33" s="237">
        <f t="shared" ref="G33" si="4">G32+H32</f>
        <v>0</v>
      </c>
      <c r="H33" s="238"/>
      <c r="I33" s="237">
        <f>I32+J32</f>
        <v>0</v>
      </c>
      <c r="J33" s="238"/>
      <c r="K33" s="237">
        <f t="shared" ref="K33" si="5">K32+L32</f>
        <v>0</v>
      </c>
      <c r="L33" s="238"/>
      <c r="M33" s="239">
        <f t="shared" ref="M33" si="6">M32+N32</f>
        <v>0</v>
      </c>
      <c r="N33" s="238"/>
      <c r="O33" s="239">
        <f t="shared" ref="O33" si="7">O32+P32</f>
        <v>0</v>
      </c>
      <c r="P33" s="238"/>
      <c r="Q33" s="239">
        <f t="shared" ref="Q33" si="8">Q32+R32</f>
        <v>0</v>
      </c>
      <c r="R33" s="238"/>
      <c r="S33" s="239">
        <f t="shared" ref="S33" si="9">S32+T32</f>
        <v>0</v>
      </c>
      <c r="T33" s="238"/>
      <c r="U33" s="234"/>
      <c r="V33" s="234"/>
      <c r="W33" s="234"/>
      <c r="X33" s="234"/>
      <c r="Y33" s="234"/>
      <c r="Z33" s="234"/>
    </row>
    <row r="34" spans="2:33" s="3" customFormat="1"/>
    <row r="35" spans="2:33" s="3" customFormat="1"/>
    <row r="36" spans="2:33" ht="14">
      <c r="B36" s="56" t="s">
        <v>145</v>
      </c>
      <c r="C36" s="56" t="s">
        <v>210</v>
      </c>
      <c r="D36" s="107" t="s">
        <v>144</v>
      </c>
      <c r="E36" s="57" t="s">
        <v>473</v>
      </c>
      <c r="F36" s="3"/>
      <c r="G36" s="56" t="s">
        <v>643</v>
      </c>
      <c r="H36" s="150" t="s">
        <v>46</v>
      </c>
      <c r="I36" s="48" t="s">
        <v>44</v>
      </c>
      <c r="J36" s="3"/>
      <c r="K36" s="3"/>
      <c r="L36" s="229" t="s">
        <v>28</v>
      </c>
      <c r="M36" s="229" t="s">
        <v>147</v>
      </c>
      <c r="N36" s="241"/>
      <c r="O36" s="227"/>
      <c r="P36" s="227" t="s">
        <v>171</v>
      </c>
      <c r="Q36" s="3"/>
      <c r="R36" s="3"/>
      <c r="S36" s="3"/>
      <c r="T36" s="3"/>
      <c r="AE36"/>
      <c r="AF36"/>
      <c r="AG36"/>
    </row>
    <row r="37" spans="2:33" ht="14">
      <c r="B37" s="36" t="s">
        <v>142</v>
      </c>
      <c r="C37" s="36">
        <f>COUNTIFS(JournalActions[Action],ACT_TO_NS_G,JournalActions[Mi-temps],"MT1")</f>
        <v>0</v>
      </c>
      <c r="D37" s="105">
        <f>COUNTIFS(JournalActions[Action],ACT_TO_NS_P,JournalActions[Mi-temps],"MT1")</f>
        <v>0</v>
      </c>
      <c r="E37" s="37">
        <f>COUNTIFS(JournalActions[Action],ACT_TO_NS_PAS_DROIT,JournalActions[Mi-temps],"MT1")</f>
        <v>0</v>
      </c>
      <c r="F37" s="3"/>
      <c r="G37" s="36" t="s">
        <v>147</v>
      </c>
      <c r="H37" s="168">
        <f>5*COUNTIFS(JournalActions[Action],ACT_PTS_ESSAI,JournalActions[Possession],"Nous",JournalActions[Mi-temps],"MT1")
+2*COUNTIFS(JournalActions[Action],ACT_PTS_TRANSFO,JournalActions[Possession],"Nous",JournalActions[Mi-temps],"MT1")
+3*COUNTIFS(JournalActions[Action],ACT_PTS_PENALITE,JournalActions[Possession],"Nous",JournalActions[Mi-temps],"MT1")
+3*COUNTIFS(JournalActions[Action],ACT_PTS_DROP,JournalActions[Possession],"Nous",JournalActions[Mi-temps],"MT1")
+7*COUNTIFS(JournalActions[Action],ACT_PTS_ESSAI_PEN,JournalActions[Possession],"Nous",JournalActions[Mi-temps],"MT1")</f>
        <v>0</v>
      </c>
      <c r="I37" s="169">
        <f>5*COUNTIFS(JournalActions[Action],ACT_PTS_ESSAI,JournalActions[Possession],"Nous",JournalActions[Mi-temps],"MT2")
+2*COUNTIFS(JournalActions[Action],ACT_PTS_TRANSFO,JournalActions[Possession],"Nous",JournalActions[Mi-temps],"MT2")
+3*COUNTIFS(JournalActions[Action],ACT_PTS_PENALITE,JournalActions[Possession],"Nous",JournalActions[Mi-temps],"MT2")
+3*COUNTIFS(JournalActions[Action],ACT_PTS_DROP,JournalActions[Possession],"Nous",JournalActions[Mi-temps],"MT2")
+7*COUNTIFS(JournalActions[Action],ACT_PTS_ESSAI_PEN,JournalActions[Possession],"Nous",JournalActions[Mi-temps],"MT2")</f>
        <v>0</v>
      </c>
      <c r="J37" s="3"/>
      <c r="K37" s="3"/>
      <c r="L37" s="240"/>
      <c r="M37" s="70" t="s">
        <v>153</v>
      </c>
      <c r="N37" s="66" t="s">
        <v>170</v>
      </c>
      <c r="O37" s="71" t="s">
        <v>32</v>
      </c>
      <c r="P37" s="228"/>
      <c r="Q37" s="3"/>
      <c r="R37" s="3"/>
      <c r="S37" s="3"/>
      <c r="T37" s="3"/>
      <c r="AE37"/>
      <c r="AF37"/>
      <c r="AG37"/>
    </row>
    <row r="38" spans="2:33">
      <c r="B38" s="11" t="s">
        <v>172</v>
      </c>
      <c r="C38" s="11">
        <f>COUNTIFS(JournalActions[Action],ACT_TO_ADV_PERDUE,JournalActions[Mi-temps],"MT1")</f>
        <v>0</v>
      </c>
      <c r="D38" s="106">
        <f>COUNTIFS(JournalActions[Action],ACT_TO_ADV_VOLEE,JournalActions[Mi-temps],"MT1")</f>
        <v>0</v>
      </c>
      <c r="E38" s="12">
        <f>COUNTIFS(JournalActions[Action],ACT_TO_ADV_PAS_DROIT,JournalActions[Mi-temps],"MT1")</f>
        <v>0</v>
      </c>
      <c r="F38" s="3"/>
      <c r="G38" s="11" t="s">
        <v>148</v>
      </c>
      <c r="H38" s="11">
        <f>5*COUNTIFS(JournalActions[Action],ACT_PTS_ESSAI,JournalActions[Possession],"Adv",JournalActions[Mi-temps],"MT1")
+2*COUNTIFS(JournalActions[Action],ACT_PTS_TRANSFO,JournalActions[Possession],"Adv",JournalActions[Mi-temps],"MT1")
+3*COUNTIFS(JournalActions[Action],ACT_PTS_PENALITE,JournalActions[Possession],"Adv",JournalActions[Mi-temps],"MT1")
+3*COUNTIFS(JournalActions[Action],ACT_PTS_DROP,JournalActions[Possession],"Adv",JournalActions[Mi-temps],"MT1")
+7*COUNTIFS(JournalActions[Action],ACT_PTS_ESSAI_PEN,JournalActions[Possession],"Adv",JournalActions[Mi-temps],"MT1")</f>
        <v>0</v>
      </c>
      <c r="I38" s="12">
        <f>5*COUNTIFS(JournalActions[Action],ACT_PTS_ESSAI,JournalActions[Possession],"Adv",JournalActions[Mi-temps],"MT2")
+2*COUNTIFS(JournalActions[Action],ACT_PTS_TRANSFO,JournalActions[Possession],"Adv",JournalActions[Mi-temps],"MT2")
+3*COUNTIFS(JournalActions[Action],ACT_PTS_PENALITE,JournalActions[Possession],"Adv",JournalActions[Mi-temps],"MT2")
+3*COUNTIFS(JournalActions[Action],ACT_PTS_DROP,JournalActions[Possession],"Adv",JournalActions[Mi-temps],"MT2")
+7*COUNTIFS(JournalActions[Action],ACT_PTS_ESSAI_PEN,JournalActions[Possession],"Adv",JournalActions[Mi-temps],"MT2")</f>
        <v>0</v>
      </c>
      <c r="J38" s="3"/>
      <c r="K38" s="3"/>
      <c r="L38" s="33" t="s">
        <v>46</v>
      </c>
      <c r="M38" s="68">
        <f>COUNTIFS(JournalActions[Action],ACT_PEN_CONTRE_NOUS,JournalActions[Mi-temps],"MT1",JournalActions[Groupe fautif],"Avant*")</f>
        <v>0</v>
      </c>
      <c r="N38" s="29">
        <f>COUNTIFS(JournalActions[Action],ACT_PEN_CONTRE_NOUS,JournalActions[Mi-temps],"MT1",JournalActions[Groupe fautif],"Trois-quarts*")</f>
        <v>0</v>
      </c>
      <c r="O38" s="29">
        <f>COUNTIFS(JournalActions[Action],ACT_PEN_CONTRE_NOUS,JournalActions[Mi-temps],"MT1",JournalActions[Groupe fautif],"")
+COUNTIFS(JournalActions[Action],ACT_PEN_CONTRE_NOUS,JournalActions[Mi-temps],"MT1",JournalActions[Groupe fautif],"?")</f>
        <v>0</v>
      </c>
      <c r="P38" s="34">
        <f>COUNTIFS(JournalActions[Action],ACT_PEN_CONTRE_ADV,JournalActions[Mi-temps],"MT1")</f>
        <v>0</v>
      </c>
      <c r="Q38" s="3"/>
      <c r="R38" s="3"/>
      <c r="S38" s="3"/>
      <c r="T38" s="3"/>
      <c r="AE38"/>
      <c r="AF38"/>
      <c r="AG38"/>
    </row>
    <row r="39" spans="2:33">
      <c r="B39" s="3"/>
      <c r="C39" s="3"/>
      <c r="D39" s="3"/>
      <c r="E39" s="3"/>
      <c r="F39" s="3"/>
      <c r="G39" s="3"/>
      <c r="H39" s="3"/>
      <c r="I39" s="3"/>
      <c r="J39" s="3"/>
      <c r="K39" s="3"/>
      <c r="L39" s="11" t="s">
        <v>44</v>
      </c>
      <c r="M39" s="62">
        <f>COUNTIFS(JournalActions[Action],ACT_PEN_CONTRE_NOUS,JournalActions[Mi-temps],"MT2",JournalActions[Groupe fautif],"Avant")</f>
        <v>0</v>
      </c>
      <c r="N39" s="12">
        <f>COUNTIFS(JournalActions[Action],ACT_PEN_CONTRE_NOUS,JournalActions[Mi-temps],"MT2",JournalActions[Groupe fautif],"Trois-quarts*")</f>
        <v>0</v>
      </c>
      <c r="O39" s="12">
        <f>COUNTIFS(JournalActions[Action],ACT_PEN_CONTRE_NOUS,JournalActions[Mi-temps],"MT2",JournalActions[Groupe fautif],"")
+COUNTIFS(JournalActions[Action],ACT_PEN_CONTRE_NOUS,JournalActions[Mi-temps],"MT2",JournalActions[Groupe fautif],"?")</f>
        <v>0</v>
      </c>
      <c r="P39" s="12">
        <f>COUNTIFS(JournalActions[Action],ACT_PEN_CONTRE_ADV,JournalActions[Mi-temps],"MT2")</f>
        <v>0</v>
      </c>
      <c r="Q39" s="3"/>
      <c r="R39" s="3"/>
      <c r="S39" s="3"/>
      <c r="T39" s="3"/>
      <c r="AE39"/>
      <c r="AF39"/>
      <c r="AG39"/>
    </row>
    <row r="40" spans="2:33" ht="14">
      <c r="B40" s="56" t="s">
        <v>146</v>
      </c>
      <c r="C40" s="56" t="s">
        <v>210</v>
      </c>
      <c r="D40" s="107" t="s">
        <v>144</v>
      </c>
      <c r="E40" s="57" t="s">
        <v>473</v>
      </c>
      <c r="F40" s="3"/>
      <c r="G40" s="229" t="s">
        <v>149</v>
      </c>
      <c r="H40" s="227"/>
      <c r="I40" s="3"/>
      <c r="J40" s="3"/>
      <c r="K40" s="3"/>
      <c r="L40" s="3"/>
      <c r="M40" s="3"/>
      <c r="N40" s="3"/>
      <c r="O40" s="3"/>
      <c r="P40" s="3"/>
      <c r="Q40" s="3"/>
      <c r="R40" s="3"/>
      <c r="S40" s="3"/>
      <c r="T40" s="3"/>
    </row>
    <row r="41" spans="2:33" ht="14">
      <c r="B41" s="36" t="s">
        <v>142</v>
      </c>
      <c r="C41" s="36">
        <f>COUNTIFS(JournalActions[Action],ACT_TO_NS_G,JournalActions[Mi-temps],"MT2")</f>
        <v>0</v>
      </c>
      <c r="D41" s="105">
        <f>COUNTIFS(JournalActions[Action],ACT_TO_NS_P,JournalActions[Mi-temps],"MT2")</f>
        <v>0</v>
      </c>
      <c r="E41" s="37">
        <f>COUNTIFS(JournalActions[Action],ACT_TO_NS_PAS_DROIT,JournalActions[Mi-temps],"MT2")</f>
        <v>0</v>
      </c>
      <c r="F41" s="3"/>
      <c r="G41" s="36" t="s">
        <v>147</v>
      </c>
      <c r="H41" s="37">
        <f>5*COUNTIFS(JournalActions[Action],ACT_PTS_ESSAI,JournalActions[Possession],"Nous")
+2*COUNTIFS(JournalActions[Action],ACT_PTS_TRANSFO,JournalActions[Possession],"Nous")
+3*COUNTIFS(JournalActions[Action],ACT_PTS_PENALITE,JournalActions[Possession],"Nous")
+3*COUNTIFS(JournalActions[Action],ACT_PTS_DROP,JournalActions[Possession],"Nous")
+7*COUNTIFS(JournalActions[Action],ACT_PTS_ESSAI_PEN,JournalActions[Possession],"Nous")</f>
        <v>0</v>
      </c>
      <c r="I41" s="3"/>
      <c r="J41" s="3"/>
      <c r="K41" s="3"/>
      <c r="L41" s="58" t="s">
        <v>0</v>
      </c>
      <c r="M41" s="59"/>
      <c r="N41" s="60" t="s">
        <v>147</v>
      </c>
      <c r="O41" s="48" t="s">
        <v>171</v>
      </c>
      <c r="P41" s="3"/>
      <c r="Q41" s="3"/>
      <c r="R41" s="3"/>
      <c r="S41" s="3"/>
      <c r="T41" s="3"/>
    </row>
    <row r="42" spans="2:33">
      <c r="B42" s="11" t="s">
        <v>172</v>
      </c>
      <c r="C42" s="11">
        <f>COUNTIFS(JournalActions[Action],ACT_TO_ADV_PERDUE,JournalActions[Mi-temps],"MT2")</f>
        <v>0</v>
      </c>
      <c r="D42" s="106">
        <f>COUNTIFS(JournalActions[Action],ACT_TO_ADV_VOLEE,JournalActions[Mi-temps],"MT2")</f>
        <v>0</v>
      </c>
      <c r="E42" s="12">
        <f>COUNTIFS(JournalActions[Action],ACT_TO_ADV_PAS_DROIT,JournalActions[Mi-temps],"MT2")</f>
        <v>0</v>
      </c>
      <c r="F42" s="3"/>
      <c r="G42" s="11" t="s">
        <v>148</v>
      </c>
      <c r="H42" s="12">
        <f>5*COUNTIFS(JournalActions[Action],ACT_PTS_ESSAI,JournalActions[Possession],"Adv")
+2*COUNTIFS(JournalActions[Action],ACT_PTS_TRANSFO,JournalActions[Possession],"Adv")
+3*COUNTIFS(JournalActions[Action],ACT_PTS_PENALITE,JournalActions[Possession],"Adv")
+3*COUNTIFS(JournalActions[Action],ACT_PTS_DROP,JournalActions[Possession],"Adv")
+7*COUNTIFS(JournalActions[Action],ACT_PTS_ESSAI_PEN,JournalActions[Possession],"Adv")</f>
        <v>0</v>
      </c>
      <c r="I42" s="3"/>
      <c r="J42" s="3"/>
      <c r="K42" s="3"/>
      <c r="L42" s="235" t="s">
        <v>1</v>
      </c>
      <c r="M42" s="236"/>
      <c r="N42" s="38">
        <f>COUNTIFS(JournalActions[Action],ACT_PEN_CONTRE_NOUS,JournalActions[Motif penalite],"Maul*")</f>
        <v>0</v>
      </c>
      <c r="O42" s="38">
        <f>COUNTIFS(JournalActions[Action],ACT_PEN_CONTRE_ADV,JournalActions[Motif penalite],"Maul*")</f>
        <v>0</v>
      </c>
      <c r="P42" s="3"/>
      <c r="Q42" s="3"/>
      <c r="R42" s="3"/>
      <c r="S42" s="3"/>
      <c r="T42" s="3"/>
    </row>
    <row r="43" spans="2:33">
      <c r="B43" s="3"/>
      <c r="C43" s="3"/>
      <c r="D43" s="3"/>
      <c r="E43" s="3"/>
      <c r="F43" s="3"/>
      <c r="G43" s="3"/>
      <c r="H43" s="3"/>
      <c r="I43" s="3"/>
      <c r="J43" s="3"/>
      <c r="K43" s="3"/>
      <c r="L43" s="244" t="s">
        <v>2</v>
      </c>
      <c r="M43" s="245"/>
      <c r="N43" s="13">
        <f>COUNTIFS(JournalActions[Action],ACT_PEN_CONTRE_NOUS,JournalActions[Motif penalite],"Ruck*")</f>
        <v>0</v>
      </c>
      <c r="O43" s="13">
        <f>COUNTIFS(JournalActions[Action],ACT_PEN_CONTRE_ADV,JournalActions[Motif penalite],"Ruck*")</f>
        <v>0</v>
      </c>
      <c r="P43" s="3"/>
      <c r="Q43" s="3"/>
      <c r="R43" s="3"/>
      <c r="S43" s="3"/>
      <c r="T43" s="3"/>
    </row>
    <row r="44" spans="2:33" ht="14">
      <c r="B44" s="56" t="s">
        <v>232</v>
      </c>
      <c r="C44" s="56" t="s">
        <v>210</v>
      </c>
      <c r="D44" s="57" t="s">
        <v>144</v>
      </c>
      <c r="E44" s="3"/>
      <c r="F44" s="3"/>
      <c r="G44" s="150" t="s">
        <v>591</v>
      </c>
      <c r="H44" s="154" t="s">
        <v>47</v>
      </c>
      <c r="I44" s="149" t="s">
        <v>592</v>
      </c>
      <c r="J44" s="156" t="s">
        <v>236</v>
      </c>
      <c r="K44" s="3"/>
      <c r="L44" s="235" t="s">
        <v>3</v>
      </c>
      <c r="M44" s="236"/>
      <c r="N44" s="38">
        <f>COUNTIFS(JournalActions[Action],ACT_PEN_CONTRE_NOUS,JournalActions[Motif penalite],"Hors-jeu")</f>
        <v>0</v>
      </c>
      <c r="O44" s="38">
        <f>COUNTIFS(JournalActions[Action],ACT_PEN_CONTRE_ADV,JournalActions[Motif penalite],"Hors-jeu")</f>
        <v>0</v>
      </c>
      <c r="P44" s="3"/>
      <c r="Q44" s="3"/>
      <c r="R44" s="3"/>
      <c r="S44" s="3"/>
      <c r="T44" s="3"/>
    </row>
    <row r="45" spans="2:33">
      <c r="B45" s="36" t="s">
        <v>142</v>
      </c>
      <c r="C45" s="36">
        <f>COUNTIFS(JournalActions[Action],ACT_ME_NS_G,JournalActions[Mi-temps],"MT1")</f>
        <v>0</v>
      </c>
      <c r="D45" s="37">
        <f>COUNTIFS(JournalActions[Action],ACT_ME_NS_P,JournalActions[Mi-temps],"MT1")</f>
        <v>0</v>
      </c>
      <c r="E45" s="3"/>
      <c r="F45" s="3"/>
      <c r="G45" s="36" t="s">
        <v>46</v>
      </c>
      <c r="H45" s="151">
        <v>0</v>
      </c>
      <c r="I45" s="77">
        <v>0</v>
      </c>
      <c r="J45" s="77">
        <v>0</v>
      </c>
      <c r="K45" s="3"/>
      <c r="L45" s="244" t="s">
        <v>4</v>
      </c>
      <c r="M45" s="245"/>
      <c r="N45" s="13">
        <f>COUNTIFS(JournalActions[Action],ACT_PEN_CONTRE_NOUS,JournalActions[Motif penalite],"Plaquage - à 2")</f>
        <v>0</v>
      </c>
      <c r="O45" s="13">
        <f>COUNTIFS(JournalActions[Action],ACT_PEN_CONTRE_ADV,JournalActions[Motif penalite],"Plaquage - à 2")</f>
        <v>0</v>
      </c>
      <c r="P45" s="3"/>
      <c r="Q45" s="3"/>
      <c r="R45" s="3"/>
      <c r="S45" s="3"/>
      <c r="T45" s="3"/>
    </row>
    <row r="46" spans="2:33">
      <c r="B46" s="11" t="s">
        <v>172</v>
      </c>
      <c r="C46" s="11">
        <f>COUNTIFS(JournalActions[Action],ACT_ME_ADV_P,JournalActions[Mi-temps],"MT1")</f>
        <v>0</v>
      </c>
      <c r="D46" s="12">
        <f>COUNTIFS(JournalActions[Action],ACT_ME_ADV_G,JournalActions[Mi-temps],"MT1")</f>
        <v>0</v>
      </c>
      <c r="E46" s="3"/>
      <c r="F46" s="3"/>
      <c r="G46" s="11" t="s">
        <v>44</v>
      </c>
      <c r="H46" s="152">
        <v>0</v>
      </c>
      <c r="I46" s="78">
        <v>0</v>
      </c>
      <c r="J46" s="78">
        <v>2.7671493055555531E-5</v>
      </c>
      <c r="K46" s="3"/>
      <c r="L46" s="235" t="s">
        <v>5</v>
      </c>
      <c r="M46" s="236"/>
      <c r="N46" s="38">
        <f>COUNTIFS(JournalActions[Action],ACT_PEN_CONTRE_NOUS,JournalActions[Motif penalite],"Plaquage - haut")</f>
        <v>0</v>
      </c>
      <c r="O46" s="38">
        <f>COUNTIFS(JournalActions[Action],ACT_PEN_CONTRE_ADV,JournalActions[Motif penalite],"Plaquage - haut")</f>
        <v>0</v>
      </c>
      <c r="P46" s="3"/>
      <c r="Q46" s="3"/>
      <c r="R46" s="3"/>
      <c r="S46" s="3"/>
      <c r="T46" s="3"/>
    </row>
    <row r="47" spans="2:33">
      <c r="B47" s="3"/>
      <c r="C47" s="3"/>
      <c r="D47" s="3"/>
      <c r="E47" s="3"/>
      <c r="F47" s="3"/>
      <c r="G47" s="155" t="s">
        <v>236</v>
      </c>
      <c r="H47" s="153">
        <v>0</v>
      </c>
      <c r="I47" s="79">
        <v>0</v>
      </c>
      <c r="J47" s="79">
        <v>2.7671493055555531E-5</v>
      </c>
      <c r="K47" s="3"/>
      <c r="L47" s="244" t="s">
        <v>167</v>
      </c>
      <c r="M47" s="245"/>
      <c r="N47" s="13">
        <f>COUNTIF(JournalActions[Action],ACT_PEN_CONTRE_NOUS)-SUM(N42:N46)</f>
        <v>0</v>
      </c>
      <c r="O47" s="13">
        <f>COUNTIF(JournalActions[Action],ACT_PEN_CONTRE_ADV)-SUM(O42:O46)</f>
        <v>0</v>
      </c>
      <c r="P47" s="3"/>
      <c r="Q47" s="3"/>
      <c r="R47" s="3"/>
      <c r="S47" s="3"/>
      <c r="T47" s="3"/>
    </row>
    <row r="48" spans="2:33" ht="14">
      <c r="B48" s="56" t="s">
        <v>233</v>
      </c>
      <c r="C48" s="56" t="s">
        <v>210</v>
      </c>
      <c r="D48" s="57" t="s">
        <v>144</v>
      </c>
      <c r="E48" s="3"/>
      <c r="F48" s="3"/>
      <c r="G48" s="3"/>
      <c r="H48" s="3"/>
      <c r="I48" s="3"/>
      <c r="J48" s="3"/>
      <c r="K48" s="3"/>
      <c r="L48" s="40" t="s">
        <v>6</v>
      </c>
      <c r="M48" s="3"/>
      <c r="N48" s="3"/>
      <c r="O48" s="3"/>
      <c r="P48" s="3"/>
      <c r="Q48" s="3"/>
      <c r="R48" s="3"/>
      <c r="S48" s="3"/>
      <c r="T48" s="3"/>
    </row>
    <row r="49" spans="2:20">
      <c r="B49" s="36" t="s">
        <v>142</v>
      </c>
      <c r="C49" s="36">
        <f>COUNTIFS(JournalActions[Action],ACT_ME_NS_G,JournalActions[Mi-temps],"MT2")</f>
        <v>0</v>
      </c>
      <c r="D49" s="37">
        <f>COUNTIFS(JournalActions[Action],ACT_ME_NS_P,JournalActions[Mi-temps],"MT2")</f>
        <v>0</v>
      </c>
      <c r="E49" s="3"/>
      <c r="F49" s="3"/>
      <c r="G49" s="3"/>
      <c r="H49" s="3"/>
      <c r="I49" s="3"/>
      <c r="J49" s="3"/>
      <c r="K49" s="3"/>
      <c r="L49" s="3"/>
      <c r="M49" s="39"/>
      <c r="N49" s="3"/>
      <c r="O49" s="3"/>
      <c r="P49" s="3"/>
      <c r="Q49" s="3"/>
      <c r="R49" s="3"/>
      <c r="S49" s="3"/>
      <c r="T49" s="3"/>
    </row>
    <row r="50" spans="2:20">
      <c r="B50" s="11" t="s">
        <v>172</v>
      </c>
      <c r="C50" s="11">
        <f>COUNTIFS(JournalActions[Action],ACT_ME_ADV_P,JournalActions[Mi-temps],"MT2")</f>
        <v>0</v>
      </c>
      <c r="D50" s="12">
        <f>COUNTIFS(JournalActions[Action],ACT_ME_ADV_G,JournalActions[Mi-temps],"MT2")</f>
        <v>0</v>
      </c>
      <c r="E50" s="3"/>
      <c r="F50" s="3"/>
      <c r="G50" s="3"/>
      <c r="H50" s="3"/>
      <c r="I50" s="3"/>
      <c r="J50" s="3"/>
      <c r="K50" s="3"/>
      <c r="L50" s="3"/>
      <c r="M50" s="3"/>
      <c r="N50" s="3"/>
      <c r="O50" s="3"/>
      <c r="P50" s="3"/>
      <c r="Q50" s="3"/>
      <c r="R50" s="3"/>
      <c r="S50" s="3"/>
      <c r="T50" s="3"/>
    </row>
    <row r="51" spans="2:20">
      <c r="B51" s="3"/>
      <c r="C51" s="3"/>
      <c r="D51" s="3"/>
      <c r="E51" s="3"/>
      <c r="F51" s="3"/>
      <c r="G51" s="3"/>
      <c r="H51" s="3"/>
      <c r="I51" s="3"/>
      <c r="J51" s="3"/>
      <c r="K51" s="3"/>
      <c r="L51" s="3"/>
      <c r="M51" s="3"/>
      <c r="N51" s="3"/>
      <c r="O51" s="3"/>
      <c r="P51" s="3"/>
      <c r="Q51" s="3"/>
      <c r="R51" s="3"/>
      <c r="S51" s="3"/>
      <c r="T51" s="3"/>
    </row>
    <row r="52" spans="2:20" s="3" customFormat="1"/>
    <row r="53" spans="2:20" s="3" customFormat="1"/>
    <row r="54" spans="2:20" s="3" customFormat="1"/>
    <row r="55" spans="2:20" s="3" customFormat="1"/>
    <row r="56" spans="2:20" s="3" customFormat="1" ht="13" customHeight="1">
      <c r="B56" s="259" t="str">
        <f>"Stats par joueur - Match "&amp;IF(MATCH_PHASE="Aller","A",IF(MATCH_PHASE="Retour","R","PF"))&amp;MATCH_JOURNEE&amp;IF(MATCH_LIEU="Extérieur"," : "&amp;MATCH_ADV&amp;" / "&amp;MATCH_NOUS," : "&amp;MATCH_NOUS&amp;" / "&amp;MATCH_ADV)&amp;" "&amp;MATCH_CAT&amp;" - Touches et possession"</f>
        <v>Stats par joueur - Match A4 : RC Muret / MXV Première - Touches et possession</v>
      </c>
      <c r="C56" s="260"/>
      <c r="D56" s="260"/>
      <c r="E56" s="260"/>
      <c r="F56" s="260"/>
      <c r="G56" s="260"/>
      <c r="H56" s="260"/>
      <c r="I56" s="260"/>
      <c r="J56" s="260"/>
      <c r="K56" s="261"/>
      <c r="L56" s="125"/>
      <c r="M56" s="125"/>
      <c r="N56" s="125"/>
      <c r="O56" s="125"/>
      <c r="P56" s="125"/>
      <c r="Q56" s="125"/>
      <c r="R56" s="125"/>
      <c r="S56" s="125"/>
      <c r="T56" s="125"/>
    </row>
    <row r="57" spans="2:20" s="3" customFormat="1" ht="13" customHeight="1">
      <c r="B57" s="262"/>
      <c r="C57" s="263"/>
      <c r="D57" s="263"/>
      <c r="E57" s="263"/>
      <c r="F57" s="263"/>
      <c r="G57" s="263"/>
      <c r="H57" s="263"/>
      <c r="I57" s="263"/>
      <c r="J57" s="263"/>
      <c r="K57" s="264"/>
      <c r="L57" s="125"/>
      <c r="M57" s="125"/>
      <c r="N57" s="125"/>
      <c r="O57" s="125"/>
      <c r="P57" s="125"/>
      <c r="Q57" s="125"/>
      <c r="R57" s="125"/>
      <c r="S57" s="125"/>
      <c r="T57" s="125"/>
    </row>
    <row r="58" spans="2:20" s="3" customFormat="1" ht="14" thickBot="1"/>
    <row r="59" spans="2:20" s="3" customFormat="1">
      <c r="B59" s="246" t="s">
        <v>234</v>
      </c>
      <c r="C59" s="247"/>
      <c r="D59" s="247"/>
      <c r="E59" s="247"/>
      <c r="F59" s="247"/>
      <c r="G59" s="247"/>
      <c r="H59" s="247"/>
      <c r="I59" s="247"/>
      <c r="J59" s="247"/>
      <c r="K59" s="248"/>
    </row>
    <row r="60" spans="2:20" s="3" customFormat="1">
      <c r="B60" s="249"/>
      <c r="C60" s="250"/>
      <c r="D60" s="250"/>
      <c r="E60" s="250"/>
      <c r="F60" s="250"/>
      <c r="G60" s="250"/>
      <c r="H60" s="250"/>
      <c r="I60" s="250"/>
      <c r="J60" s="250"/>
      <c r="K60" s="251"/>
    </row>
    <row r="61" spans="2:20" s="3" customFormat="1" ht="14" thickBot="1">
      <c r="B61" s="252"/>
      <c r="C61" s="253"/>
      <c r="D61" s="253"/>
      <c r="E61" s="253"/>
      <c r="F61" s="253"/>
      <c r="G61" s="253"/>
      <c r="H61" s="253"/>
      <c r="I61" s="253"/>
      <c r="J61" s="253"/>
      <c r="K61" s="254"/>
    </row>
    <row r="62" spans="2:20" s="3" customFormat="1"/>
    <row r="63" spans="2:20" s="3" customFormat="1" ht="14">
      <c r="B63" s="255" t="s">
        <v>14</v>
      </c>
      <c r="C63" s="229" t="str">
        <f>ACT_TO_NS_G</f>
        <v>Touche à nous conservée</v>
      </c>
      <c r="D63" s="227"/>
      <c r="E63" s="229" t="str">
        <f>ACT_TO_ADV_VOLEE</f>
        <v>Touche à eux volée</v>
      </c>
      <c r="F63" s="227"/>
      <c r="H63" s="257" t="str">
        <f>ACT_TO_NS_P</f>
        <v>Touche à nous perdue</v>
      </c>
      <c r="I63" s="258"/>
      <c r="J63" s="257" t="str">
        <f>ACT_TO_NS_PAS_DROIT</f>
        <v>Touche à nous pas droite</v>
      </c>
      <c r="K63" s="258"/>
    </row>
    <row r="64" spans="2:20" s="3" customFormat="1" ht="14">
      <c r="B64" s="256"/>
      <c r="C64" s="70" t="s">
        <v>46</v>
      </c>
      <c r="D64" s="71" t="s">
        <v>44</v>
      </c>
      <c r="E64" s="70" t="s">
        <v>46</v>
      </c>
      <c r="F64" s="71" t="s">
        <v>44</v>
      </c>
      <c r="H64" s="72" t="s">
        <v>46</v>
      </c>
      <c r="I64" s="73" t="s">
        <v>44</v>
      </c>
      <c r="J64" s="72" t="s">
        <v>46</v>
      </c>
      <c r="K64" s="73" t="s">
        <v>44</v>
      </c>
    </row>
    <row r="65" spans="2:11" s="3" customFormat="1">
      <c r="B65" s="28" t="str" cm="1">
        <f t="array" ref="B65:B86">IFERROR(_xlfn._xlws.SORT(_xlfn._xlws.FILTER(COMPO[Nom du joueur],(COMPO[Nom du joueur]&lt;&gt;"")*(COMPO[Nom du joueur]&lt;&gt;"Collectif")*(COMPO[Nom du joueur]&lt;&gt;"?"))),"")</f>
        <v>ABADIE Emeric</v>
      </c>
      <c r="C65" s="28" t="str">
        <f>IF(COUNTIFS(JournalActions[Joueur],$B65,JournalActions[Action],$C$63,JournalActions[Mi-temps],C$64)=0,"",COUNTIFS(JournalActions[Joueur],$B65,JournalActions[Action],$C$63,JournalActions[Mi-temps],C$64))</f>
        <v/>
      </c>
      <c r="D65" s="29" t="str">
        <f>IF(COUNTIFS(JournalActions[Joueur],$B65,JournalActions[Action],$C$63,JournalActions[Mi-temps],D$64)=0,"",COUNTIFS(JournalActions[Joueur],$B65,JournalActions[Action],$C$63,JournalActions[Mi-temps],D$64))</f>
        <v/>
      </c>
      <c r="E65" s="28" t="str">
        <f>IF(COUNTIFS(JournalActions[Joueur],$B65,JournalActions[Action],$E$63,JournalActions[Mi-temps],E$64)=0,"",COUNTIFS(JournalActions[Joueur],$B65,JournalActions[Action],$E$63,JournalActions[Mi-temps],E$64))</f>
        <v/>
      </c>
      <c r="F65" s="29" t="str">
        <f>IF(COUNTIFS(JournalActions[Joueur],$B65,JournalActions[Action],$E$63,JournalActions[Mi-temps],F$64)=0,"",COUNTIFS(JournalActions[Joueur],$B65,JournalActions[Action],$E$63,JournalActions[Mi-temps],F$64))</f>
        <v/>
      </c>
      <c r="H65" s="28" t="str">
        <f>IF(COUNTIFS(JournalActions[Joueur],$B65,JournalActions[Action],$H$63,JournalActions[Mi-temps],H$64)=0,"",COUNTIFS(JournalActions[Joueur],$B65,JournalActions[Action],$H$63,JournalActions[Mi-temps],H$64))</f>
        <v/>
      </c>
      <c r="I65" s="29" t="str">
        <f>IF(COUNTIFS(JournalActions[Joueur],$B65,JournalActions[Action],$H$63,JournalActions[Mi-temps],I$64)=0,"",COUNTIFS(JournalActions[Joueur],$B65,JournalActions[Action],$H$63,JournalActions[Mi-temps],I$64))</f>
        <v/>
      </c>
      <c r="J65" s="28" t="str">
        <f>IF(COUNTIFS(JournalActions[Joueur],$B65,JournalActions[Action],$J$63,JournalActions[Mi-temps],J$64)=0,"",COUNTIFS(JournalActions[Joueur],$B65,JournalActions[Action],$J$63,JournalActions[Mi-temps],J$64))</f>
        <v/>
      </c>
      <c r="K65" s="29" t="str">
        <f>IF(COUNTIFS(JournalActions[Joueur],$B65,JournalActions[Action],$J$63,JournalActions[Mi-temps],K$64)=0,"",COUNTIFS(JournalActions[Joueur],$B65,JournalActions[Action],$J$63,JournalActions[Mi-temps],K$64))</f>
        <v/>
      </c>
    </row>
    <row r="66" spans="2:11" s="3" customFormat="1">
      <c r="B66" s="28" t="str">
        <v>ABADIE Quentin</v>
      </c>
      <c r="C66" s="28" t="str">
        <f>IF(COUNTIFS(JournalActions[Joueur],$B66,JournalActions[Action],$C$63,JournalActions[Mi-temps],C$64)=0,"",COUNTIFS(JournalActions[Joueur],$B66,JournalActions[Action],$C$63,JournalActions[Mi-temps],C$64))</f>
        <v/>
      </c>
      <c r="D66" s="29" t="str">
        <f>IF(COUNTIFS(JournalActions[Joueur],$B66,JournalActions[Action],$C$63,JournalActions[Mi-temps],D$64)=0,"",COUNTIFS(JournalActions[Joueur],$B66,JournalActions[Action],$C$63,JournalActions[Mi-temps],D$64))</f>
        <v/>
      </c>
      <c r="E66" s="28" t="str">
        <f>IF(COUNTIFS(JournalActions[Joueur],$B66,JournalActions[Action],$E$63,JournalActions[Mi-temps],E$64)=0,"",COUNTIFS(JournalActions[Joueur],$B66,JournalActions[Action],$E$63,JournalActions[Mi-temps],E$64))</f>
        <v/>
      </c>
      <c r="F66" s="29" t="str">
        <f>IF(COUNTIFS(JournalActions[Joueur],$B66,JournalActions[Action],$E$63,JournalActions[Mi-temps],F$64)=0,"",COUNTIFS(JournalActions[Joueur],$B66,JournalActions[Action],$E$63,JournalActions[Mi-temps],F$64))</f>
        <v/>
      </c>
      <c r="H66" s="28" t="str">
        <f>IF(COUNTIFS(JournalActions[Joueur],$B66,JournalActions[Action],$H$63,JournalActions[Mi-temps],H$64)=0,"",COUNTIFS(JournalActions[Joueur],$B66,JournalActions[Action],$H$63,JournalActions[Mi-temps],H$64))</f>
        <v/>
      </c>
      <c r="I66" s="29" t="str">
        <f>IF(COUNTIFS(JournalActions[Joueur],$B66,JournalActions[Action],$H$63,JournalActions[Mi-temps],I$64)=0,"",COUNTIFS(JournalActions[Joueur],$B66,JournalActions[Action],$H$63,JournalActions[Mi-temps],I$64))</f>
        <v/>
      </c>
      <c r="J66" s="28" t="str">
        <f>IF(COUNTIFS(JournalActions[Joueur],$B66,JournalActions[Action],$J$63,JournalActions[Mi-temps],J$64)=0,"",COUNTIFS(JournalActions[Joueur],$B66,JournalActions[Action],$J$63,JournalActions[Mi-temps],J$64))</f>
        <v/>
      </c>
      <c r="K66" s="29" t="str">
        <f>IF(COUNTIFS(JournalActions[Joueur],$B66,JournalActions[Action],$J$63,JournalActions[Mi-temps],K$64)=0,"",COUNTIFS(JournalActions[Joueur],$B66,JournalActions[Action],$J$63,JournalActions[Mi-temps],K$64))</f>
        <v/>
      </c>
    </row>
    <row r="67" spans="2:11" s="3" customFormat="1">
      <c r="B67" s="28" t="str">
        <v>ABADIE Thomas</v>
      </c>
      <c r="C67" s="28" t="str">
        <f>IF(COUNTIFS(JournalActions[Joueur],$B67,JournalActions[Action],$C$63,JournalActions[Mi-temps],C$64)=0,"",COUNTIFS(JournalActions[Joueur],$B67,JournalActions[Action],$C$63,JournalActions[Mi-temps],C$64))</f>
        <v/>
      </c>
      <c r="D67" s="29" t="str">
        <f>IF(COUNTIFS(JournalActions[Joueur],$B67,JournalActions[Action],$C$63,JournalActions[Mi-temps],D$64)=0,"",COUNTIFS(JournalActions[Joueur],$B67,JournalActions[Action],$C$63,JournalActions[Mi-temps],D$64))</f>
        <v/>
      </c>
      <c r="E67" s="28" t="str">
        <f>IF(COUNTIFS(JournalActions[Joueur],$B67,JournalActions[Action],$E$63,JournalActions[Mi-temps],E$64)=0,"",COUNTIFS(JournalActions[Joueur],$B67,JournalActions[Action],$E$63,JournalActions[Mi-temps],E$64))</f>
        <v/>
      </c>
      <c r="F67" s="29" t="str">
        <f>IF(COUNTIFS(JournalActions[Joueur],$B67,JournalActions[Action],$E$63,JournalActions[Mi-temps],F$64)=0,"",COUNTIFS(JournalActions[Joueur],$B67,JournalActions[Action],$E$63,JournalActions[Mi-temps],F$64))</f>
        <v/>
      </c>
      <c r="H67" s="28" t="str">
        <f>IF(COUNTIFS(JournalActions[Joueur],$B67,JournalActions[Action],$H$63,JournalActions[Mi-temps],H$64)=0,"",COUNTIFS(JournalActions[Joueur],$B67,JournalActions[Action],$H$63,JournalActions[Mi-temps],H$64))</f>
        <v/>
      </c>
      <c r="I67" s="29" t="str">
        <f>IF(COUNTIFS(JournalActions[Joueur],$B67,JournalActions[Action],$H$63,JournalActions[Mi-temps],I$64)=0,"",COUNTIFS(JournalActions[Joueur],$B67,JournalActions[Action],$H$63,JournalActions[Mi-temps],I$64))</f>
        <v/>
      </c>
      <c r="J67" s="28" t="str">
        <f>IF(COUNTIFS(JournalActions[Joueur],$B67,JournalActions[Action],$J$63,JournalActions[Mi-temps],J$64)=0,"",COUNTIFS(JournalActions[Joueur],$B67,JournalActions[Action],$J$63,JournalActions[Mi-temps],J$64))</f>
        <v/>
      </c>
      <c r="K67" s="29" t="str">
        <f>IF(COUNTIFS(JournalActions[Joueur],$B67,JournalActions[Action],$J$63,JournalActions[Mi-temps],K$64)=0,"",COUNTIFS(JournalActions[Joueur],$B67,JournalActions[Action],$J$63,JournalActions[Mi-temps],K$64))</f>
        <v/>
      </c>
    </row>
    <row r="68" spans="2:11" s="3" customFormat="1">
      <c r="B68" s="28" t="str">
        <v>BARATGIN Julian</v>
      </c>
      <c r="C68" s="28" t="str">
        <f>IF(COUNTIFS(JournalActions[Joueur],$B68,JournalActions[Action],$C$63,JournalActions[Mi-temps],C$64)=0,"",COUNTIFS(JournalActions[Joueur],$B68,JournalActions[Action],$C$63,JournalActions[Mi-temps],C$64))</f>
        <v/>
      </c>
      <c r="D68" s="29" t="str">
        <f>IF(COUNTIFS(JournalActions[Joueur],$B68,JournalActions[Action],$C$63,JournalActions[Mi-temps],D$64)=0,"",COUNTIFS(JournalActions[Joueur],$B68,JournalActions[Action],$C$63,JournalActions[Mi-temps],D$64))</f>
        <v/>
      </c>
      <c r="E68" s="28" t="str">
        <f>IF(COUNTIFS(JournalActions[Joueur],$B68,JournalActions[Action],$E$63,JournalActions[Mi-temps],E$64)=0,"",COUNTIFS(JournalActions[Joueur],$B68,JournalActions[Action],$E$63,JournalActions[Mi-temps],E$64))</f>
        <v/>
      </c>
      <c r="F68" s="29" t="str">
        <f>IF(COUNTIFS(JournalActions[Joueur],$B68,JournalActions[Action],$E$63,JournalActions[Mi-temps],F$64)=0,"",COUNTIFS(JournalActions[Joueur],$B68,JournalActions[Action],$E$63,JournalActions[Mi-temps],F$64))</f>
        <v/>
      </c>
      <c r="H68" s="28" t="str">
        <f>IF(COUNTIFS(JournalActions[Joueur],$B68,JournalActions[Action],$H$63,JournalActions[Mi-temps],H$64)=0,"",COUNTIFS(JournalActions[Joueur],$B68,JournalActions[Action],$H$63,JournalActions[Mi-temps],H$64))</f>
        <v/>
      </c>
      <c r="I68" s="29" t="str">
        <f>IF(COUNTIFS(JournalActions[Joueur],$B68,JournalActions[Action],$H$63,JournalActions[Mi-temps],I$64)=0,"",COUNTIFS(JournalActions[Joueur],$B68,JournalActions[Action],$H$63,JournalActions[Mi-temps],I$64))</f>
        <v/>
      </c>
      <c r="J68" s="28" t="str">
        <f>IF(COUNTIFS(JournalActions[Joueur],$B68,JournalActions[Action],$J$63,JournalActions[Mi-temps],J$64)=0,"",COUNTIFS(JournalActions[Joueur],$B68,JournalActions[Action],$J$63,JournalActions[Mi-temps],J$64))</f>
        <v/>
      </c>
      <c r="K68" s="29" t="str">
        <f>IF(COUNTIFS(JournalActions[Joueur],$B68,JournalActions[Action],$J$63,JournalActions[Mi-temps],K$64)=0,"",COUNTIFS(JournalActions[Joueur],$B68,JournalActions[Action],$J$63,JournalActions[Mi-temps],K$64))</f>
        <v/>
      </c>
    </row>
    <row r="69" spans="2:11" s="3" customFormat="1">
      <c r="B69" s="28" t="str">
        <v>BAUP Bastien</v>
      </c>
      <c r="C69" s="28" t="str">
        <f>IF(COUNTIFS(JournalActions[Joueur],$B69,JournalActions[Action],$C$63,JournalActions[Mi-temps],C$64)=0,"",COUNTIFS(JournalActions[Joueur],$B69,JournalActions[Action],$C$63,JournalActions[Mi-temps],C$64))</f>
        <v/>
      </c>
      <c r="D69" s="29" t="str">
        <f>IF(COUNTIFS(JournalActions[Joueur],$B69,JournalActions[Action],$C$63,JournalActions[Mi-temps],D$64)=0,"",COUNTIFS(JournalActions[Joueur],$B69,JournalActions[Action],$C$63,JournalActions[Mi-temps],D$64))</f>
        <v/>
      </c>
      <c r="E69" s="28" t="str">
        <f>IF(COUNTIFS(JournalActions[Joueur],$B69,JournalActions[Action],$E$63,JournalActions[Mi-temps],E$64)=0,"",COUNTIFS(JournalActions[Joueur],$B69,JournalActions[Action],$E$63,JournalActions[Mi-temps],E$64))</f>
        <v/>
      </c>
      <c r="F69" s="29" t="str">
        <f>IF(COUNTIFS(JournalActions[Joueur],$B69,JournalActions[Action],$E$63,JournalActions[Mi-temps],F$64)=0,"",COUNTIFS(JournalActions[Joueur],$B69,JournalActions[Action],$E$63,JournalActions[Mi-temps],F$64))</f>
        <v/>
      </c>
      <c r="H69" s="28" t="str">
        <f>IF(COUNTIFS(JournalActions[Joueur],$B69,JournalActions[Action],$H$63,JournalActions[Mi-temps],H$64)=0,"",COUNTIFS(JournalActions[Joueur],$B69,JournalActions[Action],$H$63,JournalActions[Mi-temps],H$64))</f>
        <v/>
      </c>
      <c r="I69" s="29" t="str">
        <f>IF(COUNTIFS(JournalActions[Joueur],$B69,JournalActions[Action],$H$63,JournalActions[Mi-temps],I$64)=0,"",COUNTIFS(JournalActions[Joueur],$B69,JournalActions[Action],$H$63,JournalActions[Mi-temps],I$64))</f>
        <v/>
      </c>
      <c r="J69" s="28" t="str">
        <f>IF(COUNTIFS(JournalActions[Joueur],$B69,JournalActions[Action],$J$63,JournalActions[Mi-temps],J$64)=0,"",COUNTIFS(JournalActions[Joueur],$B69,JournalActions[Action],$J$63,JournalActions[Mi-temps],J$64))</f>
        <v/>
      </c>
      <c r="K69" s="29" t="str">
        <f>IF(COUNTIFS(JournalActions[Joueur],$B69,JournalActions[Action],$J$63,JournalActions[Mi-temps],K$64)=0,"",COUNTIFS(JournalActions[Joueur],$B69,JournalActions[Action],$J$63,JournalActions[Mi-temps],K$64))</f>
        <v/>
      </c>
    </row>
    <row r="70" spans="2:11" s="3" customFormat="1">
      <c r="B70" s="28" t="str">
        <v>BIFFI Pierre</v>
      </c>
      <c r="C70" s="28" t="str">
        <f>IF(COUNTIFS(JournalActions[Joueur],$B70,JournalActions[Action],$C$63,JournalActions[Mi-temps],C$64)=0,"",COUNTIFS(JournalActions[Joueur],$B70,JournalActions[Action],$C$63,JournalActions[Mi-temps],C$64))</f>
        <v/>
      </c>
      <c r="D70" s="29" t="str">
        <f>IF(COUNTIFS(JournalActions[Joueur],$B70,JournalActions[Action],$C$63,JournalActions[Mi-temps],D$64)=0,"",COUNTIFS(JournalActions[Joueur],$B70,JournalActions[Action],$C$63,JournalActions[Mi-temps],D$64))</f>
        <v/>
      </c>
      <c r="E70" s="28" t="str">
        <f>IF(COUNTIFS(JournalActions[Joueur],$B70,JournalActions[Action],$E$63,JournalActions[Mi-temps],E$64)=0,"",COUNTIFS(JournalActions[Joueur],$B70,JournalActions[Action],$E$63,JournalActions[Mi-temps],E$64))</f>
        <v/>
      </c>
      <c r="F70" s="29" t="str">
        <f>IF(COUNTIFS(JournalActions[Joueur],$B70,JournalActions[Action],$E$63,JournalActions[Mi-temps],F$64)=0,"",COUNTIFS(JournalActions[Joueur],$B70,JournalActions[Action],$E$63,JournalActions[Mi-temps],F$64))</f>
        <v/>
      </c>
      <c r="H70" s="28" t="str">
        <f>IF(COUNTIFS(JournalActions[Joueur],$B70,JournalActions[Action],$H$63,JournalActions[Mi-temps],H$64)=0,"",COUNTIFS(JournalActions[Joueur],$B70,JournalActions[Action],$H$63,JournalActions[Mi-temps],H$64))</f>
        <v/>
      </c>
      <c r="I70" s="29" t="str">
        <f>IF(COUNTIFS(JournalActions[Joueur],$B70,JournalActions[Action],$H$63,JournalActions[Mi-temps],I$64)=0,"",COUNTIFS(JournalActions[Joueur],$B70,JournalActions[Action],$H$63,JournalActions[Mi-temps],I$64))</f>
        <v/>
      </c>
      <c r="J70" s="28" t="str">
        <f>IF(COUNTIFS(JournalActions[Joueur],$B70,JournalActions[Action],$J$63,JournalActions[Mi-temps],J$64)=0,"",COUNTIFS(JournalActions[Joueur],$B70,JournalActions[Action],$J$63,JournalActions[Mi-temps],J$64))</f>
        <v/>
      </c>
      <c r="K70" s="29" t="str">
        <f>IF(COUNTIFS(JournalActions[Joueur],$B70,JournalActions[Action],$J$63,JournalActions[Mi-temps],K$64)=0,"",COUNTIFS(JournalActions[Joueur],$B70,JournalActions[Action],$J$63,JournalActions[Mi-temps],K$64))</f>
        <v/>
      </c>
    </row>
    <row r="71" spans="2:11" s="3" customFormat="1">
      <c r="B71" s="28" t="str">
        <v>BOURREC Anthony</v>
      </c>
      <c r="C71" s="28" t="str">
        <f>IF(COUNTIFS(JournalActions[Joueur],$B71,JournalActions[Action],$C$63,JournalActions[Mi-temps],C$64)=0,"",COUNTIFS(JournalActions[Joueur],$B71,JournalActions[Action],$C$63,JournalActions[Mi-temps],C$64))</f>
        <v/>
      </c>
      <c r="D71" s="29" t="str">
        <f>IF(COUNTIFS(JournalActions[Joueur],$B71,JournalActions[Action],$C$63,JournalActions[Mi-temps],D$64)=0,"",COUNTIFS(JournalActions[Joueur],$B71,JournalActions[Action],$C$63,JournalActions[Mi-temps],D$64))</f>
        <v/>
      </c>
      <c r="E71" s="28" t="str">
        <f>IF(COUNTIFS(JournalActions[Joueur],$B71,JournalActions[Action],$E$63,JournalActions[Mi-temps],E$64)=0,"",COUNTIFS(JournalActions[Joueur],$B71,JournalActions[Action],$E$63,JournalActions[Mi-temps],E$64))</f>
        <v/>
      </c>
      <c r="F71" s="29" t="str">
        <f>IF(COUNTIFS(JournalActions[Joueur],$B71,JournalActions[Action],$E$63,JournalActions[Mi-temps],F$64)=0,"",COUNTIFS(JournalActions[Joueur],$B71,JournalActions[Action],$E$63,JournalActions[Mi-temps],F$64))</f>
        <v/>
      </c>
      <c r="H71" s="28" t="str">
        <f>IF(COUNTIFS(JournalActions[Joueur],$B71,JournalActions[Action],$H$63,JournalActions[Mi-temps],H$64)=0,"",COUNTIFS(JournalActions[Joueur],$B71,JournalActions[Action],$H$63,JournalActions[Mi-temps],H$64))</f>
        <v/>
      </c>
      <c r="I71" s="29" t="str">
        <f>IF(COUNTIFS(JournalActions[Joueur],$B71,JournalActions[Action],$H$63,JournalActions[Mi-temps],I$64)=0,"",COUNTIFS(JournalActions[Joueur],$B71,JournalActions[Action],$H$63,JournalActions[Mi-temps],I$64))</f>
        <v/>
      </c>
      <c r="J71" s="28" t="str">
        <f>IF(COUNTIFS(JournalActions[Joueur],$B71,JournalActions[Action],$J$63,JournalActions[Mi-temps],J$64)=0,"",COUNTIFS(JournalActions[Joueur],$B71,JournalActions[Action],$J$63,JournalActions[Mi-temps],J$64))</f>
        <v/>
      </c>
      <c r="K71" s="29" t="str">
        <f>IF(COUNTIFS(JournalActions[Joueur],$B71,JournalActions[Action],$J$63,JournalActions[Mi-temps],K$64)=0,"",COUNTIFS(JournalActions[Joueur],$B71,JournalActions[Action],$J$63,JournalActions[Mi-temps],K$64))</f>
        <v/>
      </c>
    </row>
    <row r="72" spans="2:11" s="3" customFormat="1">
      <c r="B72" s="28" t="str">
        <v>CESCA Sacha</v>
      </c>
      <c r="C72" s="28" t="str">
        <f>IF(COUNTIFS(JournalActions[Joueur],$B72,JournalActions[Action],$C$63,JournalActions[Mi-temps],C$64)=0,"",COUNTIFS(JournalActions[Joueur],$B72,JournalActions[Action],$C$63,JournalActions[Mi-temps],C$64))</f>
        <v/>
      </c>
      <c r="D72" s="29" t="str">
        <f>IF(COUNTIFS(JournalActions[Joueur],$B72,JournalActions[Action],$C$63,JournalActions[Mi-temps],D$64)=0,"",COUNTIFS(JournalActions[Joueur],$B72,JournalActions[Action],$C$63,JournalActions[Mi-temps],D$64))</f>
        <v/>
      </c>
      <c r="E72" s="28" t="str">
        <f>IF(COUNTIFS(JournalActions[Joueur],$B72,JournalActions[Action],$E$63,JournalActions[Mi-temps],E$64)=0,"",COUNTIFS(JournalActions[Joueur],$B72,JournalActions[Action],$E$63,JournalActions[Mi-temps],E$64))</f>
        <v/>
      </c>
      <c r="F72" s="29" t="str">
        <f>IF(COUNTIFS(JournalActions[Joueur],$B72,JournalActions[Action],$E$63,JournalActions[Mi-temps],F$64)=0,"",COUNTIFS(JournalActions[Joueur],$B72,JournalActions[Action],$E$63,JournalActions[Mi-temps],F$64))</f>
        <v/>
      </c>
      <c r="H72" s="28" t="str">
        <f>IF(COUNTIFS(JournalActions[Joueur],$B72,JournalActions[Action],$H$63,JournalActions[Mi-temps],H$64)=0,"",COUNTIFS(JournalActions[Joueur],$B72,JournalActions[Action],$H$63,JournalActions[Mi-temps],H$64))</f>
        <v/>
      </c>
      <c r="I72" s="29" t="str">
        <f>IF(COUNTIFS(JournalActions[Joueur],$B72,JournalActions[Action],$H$63,JournalActions[Mi-temps],I$64)=0,"",COUNTIFS(JournalActions[Joueur],$B72,JournalActions[Action],$H$63,JournalActions[Mi-temps],I$64))</f>
        <v/>
      </c>
      <c r="J72" s="28" t="str">
        <f>IF(COUNTIFS(JournalActions[Joueur],$B72,JournalActions[Action],$J$63,JournalActions[Mi-temps],J$64)=0,"",COUNTIFS(JournalActions[Joueur],$B72,JournalActions[Action],$J$63,JournalActions[Mi-temps],J$64))</f>
        <v/>
      </c>
      <c r="K72" s="29" t="str">
        <f>IF(COUNTIFS(JournalActions[Joueur],$B72,JournalActions[Action],$J$63,JournalActions[Mi-temps],K$64)=0,"",COUNTIFS(JournalActions[Joueur],$B72,JournalActions[Action],$J$63,JournalActions[Mi-temps],K$64))</f>
        <v/>
      </c>
    </row>
    <row r="73" spans="2:11" s="3" customFormat="1">
      <c r="B73" s="28" t="str">
        <v>COURREGES Romain</v>
      </c>
      <c r="C73" s="28" t="str">
        <f>IF(COUNTIFS(JournalActions[Joueur],$B73,JournalActions[Action],$C$63,JournalActions[Mi-temps],C$64)=0,"",COUNTIFS(JournalActions[Joueur],$B73,JournalActions[Action],$C$63,JournalActions[Mi-temps],C$64))</f>
        <v/>
      </c>
      <c r="D73" s="29" t="str">
        <f>IF(COUNTIFS(JournalActions[Joueur],$B73,JournalActions[Action],$C$63,JournalActions[Mi-temps],D$64)=0,"",COUNTIFS(JournalActions[Joueur],$B73,JournalActions[Action],$C$63,JournalActions[Mi-temps],D$64))</f>
        <v/>
      </c>
      <c r="E73" s="28" t="str">
        <f>IF(COUNTIFS(JournalActions[Joueur],$B73,JournalActions[Action],$E$63,JournalActions[Mi-temps],E$64)=0,"",COUNTIFS(JournalActions[Joueur],$B73,JournalActions[Action],$E$63,JournalActions[Mi-temps],E$64))</f>
        <v/>
      </c>
      <c r="F73" s="29" t="str">
        <f>IF(COUNTIFS(JournalActions[Joueur],$B73,JournalActions[Action],$E$63,JournalActions[Mi-temps],F$64)=0,"",COUNTIFS(JournalActions[Joueur],$B73,JournalActions[Action],$E$63,JournalActions[Mi-temps],F$64))</f>
        <v/>
      </c>
      <c r="H73" s="28" t="str">
        <f>IF(COUNTIFS(JournalActions[Joueur],$B73,JournalActions[Action],$H$63,JournalActions[Mi-temps],H$64)=0,"",COUNTIFS(JournalActions[Joueur],$B73,JournalActions[Action],$H$63,JournalActions[Mi-temps],H$64))</f>
        <v/>
      </c>
      <c r="I73" s="29" t="str">
        <f>IF(COUNTIFS(JournalActions[Joueur],$B73,JournalActions[Action],$H$63,JournalActions[Mi-temps],I$64)=0,"",COUNTIFS(JournalActions[Joueur],$B73,JournalActions[Action],$H$63,JournalActions[Mi-temps],I$64))</f>
        <v/>
      </c>
      <c r="J73" s="28" t="str">
        <f>IF(COUNTIFS(JournalActions[Joueur],$B73,JournalActions[Action],$J$63,JournalActions[Mi-temps],J$64)=0,"",COUNTIFS(JournalActions[Joueur],$B73,JournalActions[Action],$J$63,JournalActions[Mi-temps],J$64))</f>
        <v/>
      </c>
      <c r="K73" s="29" t="str">
        <f>IF(COUNTIFS(JournalActions[Joueur],$B73,JournalActions[Action],$J$63,JournalActions[Mi-temps],K$64)=0,"",COUNTIFS(JournalActions[Joueur],$B73,JournalActions[Action],$J$63,JournalActions[Mi-temps],K$64))</f>
        <v/>
      </c>
    </row>
    <row r="74" spans="2:11" s="3" customFormat="1">
      <c r="B74" s="28" t="str">
        <v>DALLA ROSA Jonah</v>
      </c>
      <c r="C74" s="28" t="str">
        <f>IF(COUNTIFS(JournalActions[Joueur],$B74,JournalActions[Action],$C$63,JournalActions[Mi-temps],C$64)=0,"",COUNTIFS(JournalActions[Joueur],$B74,JournalActions[Action],$C$63,JournalActions[Mi-temps],C$64))</f>
        <v/>
      </c>
      <c r="D74" s="29" t="str">
        <f>IF(COUNTIFS(JournalActions[Joueur],$B74,JournalActions[Action],$C$63,JournalActions[Mi-temps],D$64)=0,"",COUNTIFS(JournalActions[Joueur],$B74,JournalActions[Action],$C$63,JournalActions[Mi-temps],D$64))</f>
        <v/>
      </c>
      <c r="E74" s="28" t="str">
        <f>IF(COUNTIFS(JournalActions[Joueur],$B74,JournalActions[Action],$E$63,JournalActions[Mi-temps],E$64)=0,"",COUNTIFS(JournalActions[Joueur],$B74,JournalActions[Action],$E$63,JournalActions[Mi-temps],E$64))</f>
        <v/>
      </c>
      <c r="F74" s="29" t="str">
        <f>IF(COUNTIFS(JournalActions[Joueur],$B74,JournalActions[Action],$E$63,JournalActions[Mi-temps],F$64)=0,"",COUNTIFS(JournalActions[Joueur],$B74,JournalActions[Action],$E$63,JournalActions[Mi-temps],F$64))</f>
        <v/>
      </c>
      <c r="H74" s="28" t="str">
        <f>IF(COUNTIFS(JournalActions[Joueur],$B74,JournalActions[Action],$H$63,JournalActions[Mi-temps],H$64)=0,"",COUNTIFS(JournalActions[Joueur],$B74,JournalActions[Action],$H$63,JournalActions[Mi-temps],H$64))</f>
        <v/>
      </c>
      <c r="I74" s="29" t="str">
        <f>IF(COUNTIFS(JournalActions[Joueur],$B74,JournalActions[Action],$H$63,JournalActions[Mi-temps],I$64)=0,"",COUNTIFS(JournalActions[Joueur],$B74,JournalActions[Action],$H$63,JournalActions[Mi-temps],I$64))</f>
        <v/>
      </c>
      <c r="J74" s="28" t="str">
        <f>IF(COUNTIFS(JournalActions[Joueur],$B74,JournalActions[Action],$J$63,JournalActions[Mi-temps],J$64)=0,"",COUNTIFS(JournalActions[Joueur],$B74,JournalActions[Action],$J$63,JournalActions[Mi-temps],J$64))</f>
        <v/>
      </c>
      <c r="K74" s="29" t="str">
        <f>IF(COUNTIFS(JournalActions[Joueur],$B74,JournalActions[Action],$J$63,JournalActions[Mi-temps],K$64)=0,"",COUNTIFS(JournalActions[Joueur],$B74,JournalActions[Action],$J$63,JournalActions[Mi-temps],K$64))</f>
        <v/>
      </c>
    </row>
    <row r="75" spans="2:11" s="3" customFormat="1">
      <c r="B75" s="28" t="str">
        <v>DUTREY Thomas</v>
      </c>
      <c r="C75" s="28" t="str">
        <f>IF(COUNTIFS(JournalActions[Joueur],$B75,JournalActions[Action],$C$63,JournalActions[Mi-temps],C$64)=0,"",COUNTIFS(JournalActions[Joueur],$B75,JournalActions[Action],$C$63,JournalActions[Mi-temps],C$64))</f>
        <v/>
      </c>
      <c r="D75" s="29" t="str">
        <f>IF(COUNTIFS(JournalActions[Joueur],$B75,JournalActions[Action],$C$63,JournalActions[Mi-temps],D$64)=0,"",COUNTIFS(JournalActions[Joueur],$B75,JournalActions[Action],$C$63,JournalActions[Mi-temps],D$64))</f>
        <v/>
      </c>
      <c r="E75" s="28" t="str">
        <f>IF(COUNTIFS(JournalActions[Joueur],$B75,JournalActions[Action],$E$63,JournalActions[Mi-temps],E$64)=0,"",COUNTIFS(JournalActions[Joueur],$B75,JournalActions[Action],$E$63,JournalActions[Mi-temps],E$64))</f>
        <v/>
      </c>
      <c r="F75" s="29" t="str">
        <f>IF(COUNTIFS(JournalActions[Joueur],$B75,JournalActions[Action],$E$63,JournalActions[Mi-temps],F$64)=0,"",COUNTIFS(JournalActions[Joueur],$B75,JournalActions[Action],$E$63,JournalActions[Mi-temps],F$64))</f>
        <v/>
      </c>
      <c r="H75" s="28" t="str">
        <f>IF(COUNTIFS(JournalActions[Joueur],$B75,JournalActions[Action],$H$63,JournalActions[Mi-temps],H$64)=0,"",COUNTIFS(JournalActions[Joueur],$B75,JournalActions[Action],$H$63,JournalActions[Mi-temps],H$64))</f>
        <v/>
      </c>
      <c r="I75" s="29" t="str">
        <f>IF(COUNTIFS(JournalActions[Joueur],$B75,JournalActions[Action],$H$63,JournalActions[Mi-temps],I$64)=0,"",COUNTIFS(JournalActions[Joueur],$B75,JournalActions[Action],$H$63,JournalActions[Mi-temps],I$64))</f>
        <v/>
      </c>
      <c r="J75" s="28" t="str">
        <f>IF(COUNTIFS(JournalActions[Joueur],$B75,JournalActions[Action],$J$63,JournalActions[Mi-temps],J$64)=0,"",COUNTIFS(JournalActions[Joueur],$B75,JournalActions[Action],$J$63,JournalActions[Mi-temps],J$64))</f>
        <v/>
      </c>
      <c r="K75" s="29" t="str">
        <f>IF(COUNTIFS(JournalActions[Joueur],$B75,JournalActions[Action],$J$63,JournalActions[Mi-temps],K$64)=0,"",COUNTIFS(JournalActions[Joueur],$B75,JournalActions[Action],$J$63,JournalActions[Mi-temps],K$64))</f>
        <v/>
      </c>
    </row>
    <row r="76" spans="2:11" s="3" customFormat="1">
      <c r="B76" s="28" t="str">
        <v>GALLINARO Pierrick</v>
      </c>
      <c r="C76" s="28" t="str">
        <f>IF(COUNTIFS(JournalActions[Joueur],$B76,JournalActions[Action],$C$63,JournalActions[Mi-temps],C$64)=0,"",COUNTIFS(JournalActions[Joueur],$B76,JournalActions[Action],$C$63,JournalActions[Mi-temps],C$64))</f>
        <v/>
      </c>
      <c r="D76" s="29" t="str">
        <f>IF(COUNTIFS(JournalActions[Joueur],$B76,JournalActions[Action],$C$63,JournalActions[Mi-temps],D$64)=0,"",COUNTIFS(JournalActions[Joueur],$B76,JournalActions[Action],$C$63,JournalActions[Mi-temps],D$64))</f>
        <v/>
      </c>
      <c r="E76" s="28" t="str">
        <f>IF(COUNTIFS(JournalActions[Joueur],$B76,JournalActions[Action],$E$63,JournalActions[Mi-temps],E$64)=0,"",COUNTIFS(JournalActions[Joueur],$B76,JournalActions[Action],$E$63,JournalActions[Mi-temps],E$64))</f>
        <v/>
      </c>
      <c r="F76" s="29" t="str">
        <f>IF(COUNTIFS(JournalActions[Joueur],$B76,JournalActions[Action],$E$63,JournalActions[Mi-temps],F$64)=0,"",COUNTIFS(JournalActions[Joueur],$B76,JournalActions[Action],$E$63,JournalActions[Mi-temps],F$64))</f>
        <v/>
      </c>
      <c r="H76" s="28" t="str">
        <f>IF(COUNTIFS(JournalActions[Joueur],$B76,JournalActions[Action],$H$63,JournalActions[Mi-temps],H$64)=0,"",COUNTIFS(JournalActions[Joueur],$B76,JournalActions[Action],$H$63,JournalActions[Mi-temps],H$64))</f>
        <v/>
      </c>
      <c r="I76" s="29" t="str">
        <f>IF(COUNTIFS(JournalActions[Joueur],$B76,JournalActions[Action],$H$63,JournalActions[Mi-temps],I$64)=0,"",COUNTIFS(JournalActions[Joueur],$B76,JournalActions[Action],$H$63,JournalActions[Mi-temps],I$64))</f>
        <v/>
      </c>
      <c r="J76" s="28" t="str">
        <f>IF(COUNTIFS(JournalActions[Joueur],$B76,JournalActions[Action],$J$63,JournalActions[Mi-temps],J$64)=0,"",COUNTIFS(JournalActions[Joueur],$B76,JournalActions[Action],$J$63,JournalActions[Mi-temps],J$64))</f>
        <v/>
      </c>
      <c r="K76" s="29" t="str">
        <f>IF(COUNTIFS(JournalActions[Joueur],$B76,JournalActions[Action],$J$63,JournalActions[Mi-temps],K$64)=0,"",COUNTIFS(JournalActions[Joueur],$B76,JournalActions[Action],$J$63,JournalActions[Mi-temps],K$64))</f>
        <v/>
      </c>
    </row>
    <row r="77" spans="2:11" s="3" customFormat="1">
      <c r="B77" s="28" t="str">
        <v>JOUNAUX Joris</v>
      </c>
      <c r="C77" s="28" t="str">
        <f>IF(COUNTIFS(JournalActions[Joueur],$B77,JournalActions[Action],$C$63,JournalActions[Mi-temps],C$64)=0,"",COUNTIFS(JournalActions[Joueur],$B77,JournalActions[Action],$C$63,JournalActions[Mi-temps],C$64))</f>
        <v/>
      </c>
      <c r="D77" s="29" t="str">
        <f>IF(COUNTIFS(JournalActions[Joueur],$B77,JournalActions[Action],$C$63,JournalActions[Mi-temps],D$64)=0,"",COUNTIFS(JournalActions[Joueur],$B77,JournalActions[Action],$C$63,JournalActions[Mi-temps],D$64))</f>
        <v/>
      </c>
      <c r="E77" s="28" t="str">
        <f>IF(COUNTIFS(JournalActions[Joueur],$B77,JournalActions[Action],$E$63,JournalActions[Mi-temps],E$64)=0,"",COUNTIFS(JournalActions[Joueur],$B77,JournalActions[Action],$E$63,JournalActions[Mi-temps],E$64))</f>
        <v/>
      </c>
      <c r="F77" s="29" t="str">
        <f>IF(COUNTIFS(JournalActions[Joueur],$B77,JournalActions[Action],$E$63,JournalActions[Mi-temps],F$64)=0,"",COUNTIFS(JournalActions[Joueur],$B77,JournalActions[Action],$E$63,JournalActions[Mi-temps],F$64))</f>
        <v/>
      </c>
      <c r="H77" s="28" t="str">
        <f>IF(COUNTIFS(JournalActions[Joueur],$B77,JournalActions[Action],$H$63,JournalActions[Mi-temps],H$64)=0,"",COUNTIFS(JournalActions[Joueur],$B77,JournalActions[Action],$H$63,JournalActions[Mi-temps],H$64))</f>
        <v/>
      </c>
      <c r="I77" s="29" t="str">
        <f>IF(COUNTIFS(JournalActions[Joueur],$B77,JournalActions[Action],$H$63,JournalActions[Mi-temps],I$64)=0,"",COUNTIFS(JournalActions[Joueur],$B77,JournalActions[Action],$H$63,JournalActions[Mi-temps],I$64))</f>
        <v/>
      </c>
      <c r="J77" s="28" t="str">
        <f>IF(COUNTIFS(JournalActions[Joueur],$B77,JournalActions[Action],$J$63,JournalActions[Mi-temps],J$64)=0,"",COUNTIFS(JournalActions[Joueur],$B77,JournalActions[Action],$J$63,JournalActions[Mi-temps],J$64))</f>
        <v/>
      </c>
      <c r="K77" s="29" t="str">
        <f>IF(COUNTIFS(JournalActions[Joueur],$B77,JournalActions[Action],$J$63,JournalActions[Mi-temps],K$64)=0,"",COUNTIFS(JournalActions[Joueur],$B77,JournalActions[Action],$J$63,JournalActions[Mi-temps],K$64))</f>
        <v/>
      </c>
    </row>
    <row r="78" spans="2:11" s="3" customFormat="1">
      <c r="B78" s="28" t="str">
        <v>KAPFER Bastien</v>
      </c>
      <c r="C78" s="28" t="str">
        <f>IF(COUNTIFS(JournalActions[Joueur],$B78,JournalActions[Action],$C$63,JournalActions[Mi-temps],C$64)=0,"",COUNTIFS(JournalActions[Joueur],$B78,JournalActions[Action],$C$63,JournalActions[Mi-temps],C$64))</f>
        <v/>
      </c>
      <c r="D78" s="29" t="str">
        <f>IF(COUNTIFS(JournalActions[Joueur],$B78,JournalActions[Action],$C$63,JournalActions[Mi-temps],D$64)=0,"",COUNTIFS(JournalActions[Joueur],$B78,JournalActions[Action],$C$63,JournalActions[Mi-temps],D$64))</f>
        <v/>
      </c>
      <c r="E78" s="28" t="str">
        <f>IF(COUNTIFS(JournalActions[Joueur],$B78,JournalActions[Action],$E$63,JournalActions[Mi-temps],E$64)=0,"",COUNTIFS(JournalActions[Joueur],$B78,JournalActions[Action],$E$63,JournalActions[Mi-temps],E$64))</f>
        <v/>
      </c>
      <c r="F78" s="29" t="str">
        <f>IF(COUNTIFS(JournalActions[Joueur],$B78,JournalActions[Action],$E$63,JournalActions[Mi-temps],F$64)=0,"",COUNTIFS(JournalActions[Joueur],$B78,JournalActions[Action],$E$63,JournalActions[Mi-temps],F$64))</f>
        <v/>
      </c>
      <c r="H78" s="28" t="str">
        <f>IF(COUNTIFS(JournalActions[Joueur],$B78,JournalActions[Action],$H$63,JournalActions[Mi-temps],H$64)=0,"",COUNTIFS(JournalActions[Joueur],$B78,JournalActions[Action],$H$63,JournalActions[Mi-temps],H$64))</f>
        <v/>
      </c>
      <c r="I78" s="29" t="str">
        <f>IF(COUNTIFS(JournalActions[Joueur],$B78,JournalActions[Action],$H$63,JournalActions[Mi-temps],I$64)=0,"",COUNTIFS(JournalActions[Joueur],$B78,JournalActions[Action],$H$63,JournalActions[Mi-temps],I$64))</f>
        <v/>
      </c>
      <c r="J78" s="28" t="str">
        <f>IF(COUNTIFS(JournalActions[Joueur],$B78,JournalActions[Action],$J$63,JournalActions[Mi-temps],J$64)=0,"",COUNTIFS(JournalActions[Joueur],$B78,JournalActions[Action],$J$63,JournalActions[Mi-temps],J$64))</f>
        <v/>
      </c>
      <c r="K78" s="29" t="str">
        <f>IF(COUNTIFS(JournalActions[Joueur],$B78,JournalActions[Action],$J$63,JournalActions[Mi-temps],K$64)=0,"",COUNTIFS(JournalActions[Joueur],$B78,JournalActions[Action],$J$63,JournalActions[Mi-temps],K$64))</f>
        <v/>
      </c>
    </row>
    <row r="79" spans="2:11" s="3" customFormat="1">
      <c r="B79" s="28" t="str">
        <v>LAUDET Jean Baptiste</v>
      </c>
      <c r="C79" s="28" t="str">
        <f>IF(COUNTIFS(JournalActions[Joueur],$B79,JournalActions[Action],$C$63,JournalActions[Mi-temps],C$64)=0,"",COUNTIFS(JournalActions[Joueur],$B79,JournalActions[Action],$C$63,JournalActions[Mi-temps],C$64))</f>
        <v/>
      </c>
      <c r="D79" s="29" t="str">
        <f>IF(COUNTIFS(JournalActions[Joueur],$B79,JournalActions[Action],$C$63,JournalActions[Mi-temps],D$64)=0,"",COUNTIFS(JournalActions[Joueur],$B79,JournalActions[Action],$C$63,JournalActions[Mi-temps],D$64))</f>
        <v/>
      </c>
      <c r="E79" s="28" t="str">
        <f>IF(COUNTIFS(JournalActions[Joueur],$B79,JournalActions[Action],$E$63,JournalActions[Mi-temps],E$64)=0,"",COUNTIFS(JournalActions[Joueur],$B79,JournalActions[Action],$E$63,JournalActions[Mi-temps],E$64))</f>
        <v/>
      </c>
      <c r="F79" s="29" t="str">
        <f>IF(COUNTIFS(JournalActions[Joueur],$B79,JournalActions[Action],$E$63,JournalActions[Mi-temps],F$64)=0,"",COUNTIFS(JournalActions[Joueur],$B79,JournalActions[Action],$E$63,JournalActions[Mi-temps],F$64))</f>
        <v/>
      </c>
      <c r="H79" s="28" t="str">
        <f>IF(COUNTIFS(JournalActions[Joueur],$B79,JournalActions[Action],$H$63,JournalActions[Mi-temps],H$64)=0,"",COUNTIFS(JournalActions[Joueur],$B79,JournalActions[Action],$H$63,JournalActions[Mi-temps],H$64))</f>
        <v/>
      </c>
      <c r="I79" s="29" t="str">
        <f>IF(COUNTIFS(JournalActions[Joueur],$B79,JournalActions[Action],$H$63,JournalActions[Mi-temps],I$64)=0,"",COUNTIFS(JournalActions[Joueur],$B79,JournalActions[Action],$H$63,JournalActions[Mi-temps],I$64))</f>
        <v/>
      </c>
      <c r="J79" s="28" t="str">
        <f>IF(COUNTIFS(JournalActions[Joueur],$B79,JournalActions[Action],$J$63,JournalActions[Mi-temps],J$64)=0,"",COUNTIFS(JournalActions[Joueur],$B79,JournalActions[Action],$J$63,JournalActions[Mi-temps],J$64))</f>
        <v/>
      </c>
      <c r="K79" s="29" t="str">
        <f>IF(COUNTIFS(JournalActions[Joueur],$B79,JournalActions[Action],$J$63,JournalActions[Mi-temps],K$64)=0,"",COUNTIFS(JournalActions[Joueur],$B79,JournalActions[Action],$J$63,JournalActions[Mi-temps],K$64))</f>
        <v/>
      </c>
    </row>
    <row r="80" spans="2:11" s="3" customFormat="1">
      <c r="B80" s="28" t="str">
        <v>LOUREIRO LABAZUY Antonio</v>
      </c>
      <c r="C80" s="28" t="str">
        <f>IF(COUNTIFS(JournalActions[Joueur],$B80,JournalActions[Action],$C$63,JournalActions[Mi-temps],C$64)=0,"",COUNTIFS(JournalActions[Joueur],$B80,JournalActions[Action],$C$63,JournalActions[Mi-temps],C$64))</f>
        <v/>
      </c>
      <c r="D80" s="29" t="str">
        <f>IF(COUNTIFS(JournalActions[Joueur],$B80,JournalActions[Action],$C$63,JournalActions[Mi-temps],D$64)=0,"",COUNTIFS(JournalActions[Joueur],$B80,JournalActions[Action],$C$63,JournalActions[Mi-temps],D$64))</f>
        <v/>
      </c>
      <c r="E80" s="28" t="str">
        <f>IF(COUNTIFS(JournalActions[Joueur],$B80,JournalActions[Action],$E$63,JournalActions[Mi-temps],E$64)=0,"",COUNTIFS(JournalActions[Joueur],$B80,JournalActions[Action],$E$63,JournalActions[Mi-temps],E$64))</f>
        <v/>
      </c>
      <c r="F80" s="29" t="str">
        <f>IF(COUNTIFS(JournalActions[Joueur],$B80,JournalActions[Action],$E$63,JournalActions[Mi-temps],F$64)=0,"",COUNTIFS(JournalActions[Joueur],$B80,JournalActions[Action],$E$63,JournalActions[Mi-temps],F$64))</f>
        <v/>
      </c>
      <c r="H80" s="28" t="str">
        <f>IF(COUNTIFS(JournalActions[Joueur],$B80,JournalActions[Action],$H$63,JournalActions[Mi-temps],H$64)=0,"",COUNTIFS(JournalActions[Joueur],$B80,JournalActions[Action],$H$63,JournalActions[Mi-temps],H$64))</f>
        <v/>
      </c>
      <c r="I80" s="29" t="str">
        <f>IF(COUNTIFS(JournalActions[Joueur],$B80,JournalActions[Action],$H$63,JournalActions[Mi-temps],I$64)=0,"",COUNTIFS(JournalActions[Joueur],$B80,JournalActions[Action],$H$63,JournalActions[Mi-temps],I$64))</f>
        <v/>
      </c>
      <c r="J80" s="28" t="str">
        <f>IF(COUNTIFS(JournalActions[Joueur],$B80,JournalActions[Action],$J$63,JournalActions[Mi-temps],J$64)=0,"",COUNTIFS(JournalActions[Joueur],$B80,JournalActions[Action],$J$63,JournalActions[Mi-temps],J$64))</f>
        <v/>
      </c>
      <c r="K80" s="29" t="str">
        <f>IF(COUNTIFS(JournalActions[Joueur],$B80,JournalActions[Action],$J$63,JournalActions[Mi-temps],K$64)=0,"",COUNTIFS(JournalActions[Joueur],$B80,JournalActions[Action],$J$63,JournalActions[Mi-temps],K$64))</f>
        <v/>
      </c>
    </row>
    <row r="81" spans="2:11" s="3" customFormat="1">
      <c r="B81" s="28" t="str">
        <v>MOUDENS Alexis</v>
      </c>
      <c r="C81" s="28" t="str">
        <f>IF(COUNTIFS(JournalActions[Joueur],$B81,JournalActions[Action],$C$63,JournalActions[Mi-temps],C$64)=0,"",COUNTIFS(JournalActions[Joueur],$B81,JournalActions[Action],$C$63,JournalActions[Mi-temps],C$64))</f>
        <v/>
      </c>
      <c r="D81" s="29" t="str">
        <f>IF(COUNTIFS(JournalActions[Joueur],$B81,JournalActions[Action],$C$63,JournalActions[Mi-temps],D$64)=0,"",COUNTIFS(JournalActions[Joueur],$B81,JournalActions[Action],$C$63,JournalActions[Mi-temps],D$64))</f>
        <v/>
      </c>
      <c r="E81" s="28" t="str">
        <f>IF(COUNTIFS(JournalActions[Joueur],$B81,JournalActions[Action],$E$63,JournalActions[Mi-temps],E$64)=0,"",COUNTIFS(JournalActions[Joueur],$B81,JournalActions[Action],$E$63,JournalActions[Mi-temps],E$64))</f>
        <v/>
      </c>
      <c r="F81" s="29" t="str">
        <f>IF(COUNTIFS(JournalActions[Joueur],$B81,JournalActions[Action],$E$63,JournalActions[Mi-temps],F$64)=0,"",COUNTIFS(JournalActions[Joueur],$B81,JournalActions[Action],$E$63,JournalActions[Mi-temps],F$64))</f>
        <v/>
      </c>
      <c r="H81" s="28" t="str">
        <f>IF(COUNTIFS(JournalActions[Joueur],$B81,JournalActions[Action],$H$63,JournalActions[Mi-temps],H$64)=0,"",COUNTIFS(JournalActions[Joueur],$B81,JournalActions[Action],$H$63,JournalActions[Mi-temps],H$64))</f>
        <v/>
      </c>
      <c r="I81" s="29" t="str">
        <f>IF(COUNTIFS(JournalActions[Joueur],$B81,JournalActions[Action],$H$63,JournalActions[Mi-temps],I$64)=0,"",COUNTIFS(JournalActions[Joueur],$B81,JournalActions[Action],$H$63,JournalActions[Mi-temps],I$64))</f>
        <v/>
      </c>
      <c r="J81" s="28" t="str">
        <f>IF(COUNTIFS(JournalActions[Joueur],$B81,JournalActions[Action],$J$63,JournalActions[Mi-temps],J$64)=0,"",COUNTIFS(JournalActions[Joueur],$B81,JournalActions[Action],$J$63,JournalActions[Mi-temps],J$64))</f>
        <v/>
      </c>
      <c r="K81" s="29" t="str">
        <f>IF(COUNTIFS(JournalActions[Joueur],$B81,JournalActions[Action],$J$63,JournalActions[Mi-temps],K$64)=0,"",COUNTIFS(JournalActions[Joueur],$B81,JournalActions[Action],$J$63,JournalActions[Mi-temps],K$64))</f>
        <v/>
      </c>
    </row>
    <row r="82" spans="2:11" s="3" customFormat="1">
      <c r="B82" s="28" t="str">
        <v>MULLIER Victor</v>
      </c>
      <c r="C82" s="28" t="str">
        <f>IF(COUNTIFS(JournalActions[Joueur],$B82,JournalActions[Action],$C$63,JournalActions[Mi-temps],C$64)=0,"",COUNTIFS(JournalActions[Joueur],$B82,JournalActions[Action],$C$63,JournalActions[Mi-temps],C$64))</f>
        <v/>
      </c>
      <c r="D82" s="29" t="str">
        <f>IF(COUNTIFS(JournalActions[Joueur],$B82,JournalActions[Action],$C$63,JournalActions[Mi-temps],D$64)=0,"",COUNTIFS(JournalActions[Joueur],$B82,JournalActions[Action],$C$63,JournalActions[Mi-temps],D$64))</f>
        <v/>
      </c>
      <c r="E82" s="28" t="str">
        <f>IF(COUNTIFS(JournalActions[Joueur],$B82,JournalActions[Action],$E$63,JournalActions[Mi-temps],E$64)=0,"",COUNTIFS(JournalActions[Joueur],$B82,JournalActions[Action],$E$63,JournalActions[Mi-temps],E$64))</f>
        <v/>
      </c>
      <c r="F82" s="29" t="str">
        <f>IF(COUNTIFS(JournalActions[Joueur],$B82,JournalActions[Action],$E$63,JournalActions[Mi-temps],F$64)=0,"",COUNTIFS(JournalActions[Joueur],$B82,JournalActions[Action],$E$63,JournalActions[Mi-temps],F$64))</f>
        <v/>
      </c>
      <c r="H82" s="28" t="str">
        <f>IF(COUNTIFS(JournalActions[Joueur],$B82,JournalActions[Action],$H$63,JournalActions[Mi-temps],H$64)=0,"",COUNTIFS(JournalActions[Joueur],$B82,JournalActions[Action],$H$63,JournalActions[Mi-temps],H$64))</f>
        <v/>
      </c>
      <c r="I82" s="29" t="str">
        <f>IF(COUNTIFS(JournalActions[Joueur],$B82,JournalActions[Action],$H$63,JournalActions[Mi-temps],I$64)=0,"",COUNTIFS(JournalActions[Joueur],$B82,JournalActions[Action],$H$63,JournalActions[Mi-temps],I$64))</f>
        <v/>
      </c>
      <c r="J82" s="28" t="str">
        <f>IF(COUNTIFS(JournalActions[Joueur],$B82,JournalActions[Action],$J$63,JournalActions[Mi-temps],J$64)=0,"",COUNTIFS(JournalActions[Joueur],$B82,JournalActions[Action],$J$63,JournalActions[Mi-temps],J$64))</f>
        <v/>
      </c>
      <c r="K82" s="29" t="str">
        <f>IF(COUNTIFS(JournalActions[Joueur],$B82,JournalActions[Action],$J$63,JournalActions[Mi-temps],K$64)=0,"",COUNTIFS(JournalActions[Joueur],$B82,JournalActions[Action],$J$63,JournalActions[Mi-temps],K$64))</f>
        <v/>
      </c>
    </row>
    <row r="83" spans="2:11" s="3" customFormat="1">
      <c r="B83" s="28" t="str">
        <v>RICHIARDONNE Gregory</v>
      </c>
      <c r="C83" s="28" t="str">
        <f>IF(COUNTIFS(JournalActions[Joueur],$B83,JournalActions[Action],$C$63,JournalActions[Mi-temps],C$64)=0,"",COUNTIFS(JournalActions[Joueur],$B83,JournalActions[Action],$C$63,JournalActions[Mi-temps],C$64))</f>
        <v/>
      </c>
      <c r="D83" s="29" t="str">
        <f>IF(COUNTIFS(JournalActions[Joueur],$B83,JournalActions[Action],$C$63,JournalActions[Mi-temps],D$64)=0,"",COUNTIFS(JournalActions[Joueur],$B83,JournalActions[Action],$C$63,JournalActions[Mi-temps],D$64))</f>
        <v/>
      </c>
      <c r="E83" s="28" t="str">
        <f>IF(COUNTIFS(JournalActions[Joueur],$B83,JournalActions[Action],$E$63,JournalActions[Mi-temps],E$64)=0,"",COUNTIFS(JournalActions[Joueur],$B83,JournalActions[Action],$E$63,JournalActions[Mi-temps],E$64))</f>
        <v/>
      </c>
      <c r="F83" s="29" t="str">
        <f>IF(COUNTIFS(JournalActions[Joueur],$B83,JournalActions[Action],$E$63,JournalActions[Mi-temps],F$64)=0,"",COUNTIFS(JournalActions[Joueur],$B83,JournalActions[Action],$E$63,JournalActions[Mi-temps],F$64))</f>
        <v/>
      </c>
      <c r="H83" s="28" t="str">
        <f>IF(COUNTIFS(JournalActions[Joueur],$B83,JournalActions[Action],$H$63,JournalActions[Mi-temps],H$64)=0,"",COUNTIFS(JournalActions[Joueur],$B83,JournalActions[Action],$H$63,JournalActions[Mi-temps],H$64))</f>
        <v/>
      </c>
      <c r="I83" s="29" t="str">
        <f>IF(COUNTIFS(JournalActions[Joueur],$B83,JournalActions[Action],$H$63,JournalActions[Mi-temps],I$64)=0,"",COUNTIFS(JournalActions[Joueur],$B83,JournalActions[Action],$H$63,JournalActions[Mi-temps],I$64))</f>
        <v/>
      </c>
      <c r="J83" s="28" t="str">
        <f>IF(COUNTIFS(JournalActions[Joueur],$B83,JournalActions[Action],$J$63,JournalActions[Mi-temps],J$64)=0,"",COUNTIFS(JournalActions[Joueur],$B83,JournalActions[Action],$J$63,JournalActions[Mi-temps],J$64))</f>
        <v/>
      </c>
      <c r="K83" s="29" t="str">
        <f>IF(COUNTIFS(JournalActions[Joueur],$B83,JournalActions[Action],$J$63,JournalActions[Mi-temps],K$64)=0,"",COUNTIFS(JournalActions[Joueur],$B83,JournalActions[Action],$J$63,JournalActions[Mi-temps],K$64))</f>
        <v/>
      </c>
    </row>
    <row r="84" spans="2:11" s="3" customFormat="1">
      <c r="B84" s="28" t="str">
        <v>SALLES Fabien</v>
      </c>
      <c r="C84" s="28" t="str">
        <f>IF(COUNTIFS(JournalActions[Joueur],$B84,JournalActions[Action],$C$63,JournalActions[Mi-temps],C$64)=0,"",COUNTIFS(JournalActions[Joueur],$B84,JournalActions[Action],$C$63,JournalActions[Mi-temps],C$64))</f>
        <v/>
      </c>
      <c r="D84" s="29" t="str">
        <f>IF(COUNTIFS(JournalActions[Joueur],$B84,JournalActions[Action],$C$63,JournalActions[Mi-temps],D$64)=0,"",COUNTIFS(JournalActions[Joueur],$B84,JournalActions[Action],$C$63,JournalActions[Mi-temps],D$64))</f>
        <v/>
      </c>
      <c r="E84" s="28" t="str">
        <f>IF(COUNTIFS(JournalActions[Joueur],$B84,JournalActions[Action],$E$63,JournalActions[Mi-temps],E$64)=0,"",COUNTIFS(JournalActions[Joueur],$B84,JournalActions[Action],$E$63,JournalActions[Mi-temps],E$64))</f>
        <v/>
      </c>
      <c r="F84" s="29" t="str">
        <f>IF(COUNTIFS(JournalActions[Joueur],$B84,JournalActions[Action],$E$63,JournalActions[Mi-temps],F$64)=0,"",COUNTIFS(JournalActions[Joueur],$B84,JournalActions[Action],$E$63,JournalActions[Mi-temps],F$64))</f>
        <v/>
      </c>
      <c r="H84" s="28" t="str">
        <f>IF(COUNTIFS(JournalActions[Joueur],$B84,JournalActions[Action],$H$63,JournalActions[Mi-temps],H$64)=0,"",COUNTIFS(JournalActions[Joueur],$B84,JournalActions[Action],$H$63,JournalActions[Mi-temps],H$64))</f>
        <v/>
      </c>
      <c r="I84" s="29" t="str">
        <f>IF(COUNTIFS(JournalActions[Joueur],$B84,JournalActions[Action],$H$63,JournalActions[Mi-temps],I$64)=0,"",COUNTIFS(JournalActions[Joueur],$B84,JournalActions[Action],$H$63,JournalActions[Mi-temps],I$64))</f>
        <v/>
      </c>
      <c r="J84" s="28" t="str">
        <f>IF(COUNTIFS(JournalActions[Joueur],$B84,JournalActions[Action],$J$63,JournalActions[Mi-temps],J$64)=0,"",COUNTIFS(JournalActions[Joueur],$B84,JournalActions[Action],$J$63,JournalActions[Mi-temps],J$64))</f>
        <v/>
      </c>
      <c r="K84" s="29" t="str">
        <f>IF(COUNTIFS(JournalActions[Joueur],$B84,JournalActions[Action],$J$63,JournalActions[Mi-temps],K$64)=0,"",COUNTIFS(JournalActions[Joueur],$B84,JournalActions[Action],$J$63,JournalActions[Mi-temps],K$64))</f>
        <v/>
      </c>
    </row>
    <row r="85" spans="2:11" s="3" customFormat="1">
      <c r="B85" s="28" t="str">
        <v>SOUVILLE Quentin</v>
      </c>
      <c r="C85" s="28" t="str">
        <f>IF(COUNTIFS(JournalActions[Joueur],$B85,JournalActions[Action],$C$63,JournalActions[Mi-temps],C$64)=0,"",COUNTIFS(JournalActions[Joueur],$B85,JournalActions[Action],$C$63,JournalActions[Mi-temps],C$64))</f>
        <v/>
      </c>
      <c r="D85" s="29" t="str">
        <f>IF(COUNTIFS(JournalActions[Joueur],$B85,JournalActions[Action],$C$63,JournalActions[Mi-temps],D$64)=0,"",COUNTIFS(JournalActions[Joueur],$B85,JournalActions[Action],$C$63,JournalActions[Mi-temps],D$64))</f>
        <v/>
      </c>
      <c r="E85" s="28" t="str">
        <f>IF(COUNTIFS(JournalActions[Joueur],$B85,JournalActions[Action],$E$63,JournalActions[Mi-temps],E$64)=0,"",COUNTIFS(JournalActions[Joueur],$B85,JournalActions[Action],$E$63,JournalActions[Mi-temps],E$64))</f>
        <v/>
      </c>
      <c r="F85" s="29" t="str">
        <f>IF(COUNTIFS(JournalActions[Joueur],$B85,JournalActions[Action],$E$63,JournalActions[Mi-temps],F$64)=0,"",COUNTIFS(JournalActions[Joueur],$B85,JournalActions[Action],$E$63,JournalActions[Mi-temps],F$64))</f>
        <v/>
      </c>
      <c r="H85" s="28" t="str">
        <f>IF(COUNTIFS(JournalActions[Joueur],$B85,JournalActions[Action],$H$63,JournalActions[Mi-temps],H$64)=0,"",COUNTIFS(JournalActions[Joueur],$B85,JournalActions[Action],$H$63,JournalActions[Mi-temps],H$64))</f>
        <v/>
      </c>
      <c r="I85" s="29" t="str">
        <f>IF(COUNTIFS(JournalActions[Joueur],$B85,JournalActions[Action],$H$63,JournalActions[Mi-temps],I$64)=0,"",COUNTIFS(JournalActions[Joueur],$B85,JournalActions[Action],$H$63,JournalActions[Mi-temps],I$64))</f>
        <v/>
      </c>
      <c r="J85" s="28" t="str">
        <f>IF(COUNTIFS(JournalActions[Joueur],$B85,JournalActions[Action],$J$63,JournalActions[Mi-temps],J$64)=0,"",COUNTIFS(JournalActions[Joueur],$B85,JournalActions[Action],$J$63,JournalActions[Mi-temps],J$64))</f>
        <v/>
      </c>
      <c r="K85" s="29" t="str">
        <f>IF(COUNTIFS(JournalActions[Joueur],$B85,JournalActions[Action],$J$63,JournalActions[Mi-temps],K$64)=0,"",COUNTIFS(JournalActions[Joueur],$B85,JournalActions[Action],$J$63,JournalActions[Mi-temps],K$64))</f>
        <v/>
      </c>
    </row>
    <row r="86" spans="2:11" s="3" customFormat="1">
      <c r="B86" s="28" t="str">
        <v>STEFANI Titouan</v>
      </c>
      <c r="C86" s="28" t="str">
        <f>IF(COUNTIFS(JournalActions[Joueur],$B86,JournalActions[Action],$C$63,JournalActions[Mi-temps],C$64)=0,"",COUNTIFS(JournalActions[Joueur],$B86,JournalActions[Action],$C$63,JournalActions[Mi-temps],C$64))</f>
        <v/>
      </c>
      <c r="D86" s="29" t="str">
        <f>IF(COUNTIFS(JournalActions[Joueur],$B86,JournalActions[Action],$C$63,JournalActions[Mi-temps],D$64)=0,"",COUNTIFS(JournalActions[Joueur],$B86,JournalActions[Action],$C$63,JournalActions[Mi-temps],D$64))</f>
        <v/>
      </c>
      <c r="E86" s="80" t="str">
        <f>IF(COUNTIFS(JournalActions[Joueur],$B86,JournalActions[Action],$E$63,JournalActions[Mi-temps],E$64)=0,"",COUNTIFS(JournalActions[Joueur],$B86,JournalActions[Action],$E$63,JournalActions[Mi-temps],E$64))</f>
        <v/>
      </c>
      <c r="F86" s="29" t="str">
        <f>IF(COUNTIFS(JournalActions[Joueur],$B86,JournalActions[Action],$E$63,JournalActions[Mi-temps],F$64)=0,"",COUNTIFS(JournalActions[Joueur],$B86,JournalActions[Action],$E$63,JournalActions[Mi-temps],F$64))</f>
        <v/>
      </c>
      <c r="H86" s="28" t="str">
        <f>IF(COUNTIFS(JournalActions[Joueur],$B86,JournalActions[Action],$H$63,JournalActions[Mi-temps],H$64)=0,"",COUNTIFS(JournalActions[Joueur],$B86,JournalActions[Action],$H$63,JournalActions[Mi-temps],H$64))</f>
        <v/>
      </c>
      <c r="I86" s="29" t="str">
        <f>IF(COUNTIFS(JournalActions[Joueur],$B86,JournalActions[Action],$H$63,JournalActions[Mi-temps],I$64)=0,"",COUNTIFS(JournalActions[Joueur],$B86,JournalActions[Action],$H$63,JournalActions[Mi-temps],I$64))</f>
        <v/>
      </c>
      <c r="J86" s="28" t="str">
        <f>IF(COUNTIFS(JournalActions[Joueur],$B86,JournalActions[Action],$J$63,JournalActions[Mi-temps],J$64)=0,"",COUNTIFS(JournalActions[Joueur],$B86,JournalActions[Action],$J$63,JournalActions[Mi-temps],J$64))</f>
        <v/>
      </c>
      <c r="K86" s="29" t="str">
        <f>IF(COUNTIFS(JournalActions[Joueur],$B86,JournalActions[Action],$J$63,JournalActions[Mi-temps],K$64)=0,"",COUNTIFS(JournalActions[Joueur],$B86,JournalActions[Action],$J$63,JournalActions[Mi-temps],K$64))</f>
        <v/>
      </c>
    </row>
    <row r="87" spans="2:11" s="3" customFormat="1">
      <c r="B87" s="26" t="s">
        <v>42</v>
      </c>
      <c r="C87" s="28" t="str">
        <f>IF(COUNTIFS(JournalActions[Joueur],$B87,JournalActions[Action],$C$63,JournalActions[Mi-temps],C$64)=0,"",COUNTIFS(JournalActions[Joueur],$B87,JournalActions[Action],$C$63,JournalActions[Mi-temps],C$64))</f>
        <v/>
      </c>
      <c r="D87" s="29" t="str">
        <f>IF(COUNTIFS(JournalActions[Joueur],$B87,JournalActions[Action],$C$63,JournalActions[Mi-temps],D$64)=0,"",COUNTIFS(JournalActions[Joueur],$B87,JournalActions[Action],$C$63,JournalActions[Mi-temps],D$64))</f>
        <v/>
      </c>
      <c r="E87" s="28" t="str">
        <f>IF(COUNTIFS(JournalActions[Joueur],$B87,JournalActions[Action],$E$63,JournalActions[Mi-temps],E$64)=0,"",COUNTIFS(JournalActions[Joueur],$B87,JournalActions[Action],$E$63,JournalActions[Mi-temps],E$64))</f>
        <v/>
      </c>
      <c r="F87" s="29" t="str">
        <f>IF(COUNTIFS(JournalActions[Joueur],$B87,JournalActions[Action],$E$63,JournalActions[Mi-temps],F$64)=0,"",COUNTIFS(JournalActions[Joueur],$B87,JournalActions[Action],$E$63,JournalActions[Mi-temps],F$64))</f>
        <v/>
      </c>
      <c r="H87" s="28" t="str">
        <f>IF(COUNTIFS(JournalActions[Joueur],$B87,JournalActions[Action],$H$63,JournalActions[Mi-temps],H$64)=0,"",COUNTIFS(JournalActions[Joueur],$B87,JournalActions[Action],$H$63,JournalActions[Mi-temps],H$64))</f>
        <v/>
      </c>
      <c r="I87" s="29" t="str">
        <f>IF(COUNTIFS(JournalActions[Joueur],$B87,JournalActions[Action],$H$63,JournalActions[Mi-temps],I$64)=0,"",COUNTIFS(JournalActions[Joueur],$B87,JournalActions[Action],$H$63,JournalActions[Mi-temps],I$64))</f>
        <v/>
      </c>
      <c r="J87" s="28" t="str">
        <f>IF(COUNTIFS(JournalActions[Joueur],$B87,JournalActions[Action],$J$63,JournalActions[Mi-temps],J$64)=0,"",COUNTIFS(JournalActions[Joueur],$B87,JournalActions[Action],$J$63,JournalActions[Mi-temps],J$64))</f>
        <v/>
      </c>
      <c r="K87" s="29" t="str">
        <f>IF(COUNTIFS(JournalActions[Joueur],$B87,JournalActions[Action],$J$63,JournalActions[Mi-temps],K$64)=0,"",COUNTIFS(JournalActions[Joueur],$B87,JournalActions[Action],$J$63,JournalActions[Mi-temps],K$64))</f>
        <v/>
      </c>
    </row>
    <row r="88" spans="2:11" s="3" customFormat="1">
      <c r="B88" s="27" t="s">
        <v>32</v>
      </c>
      <c r="C88" s="28" t="str">
        <f>IF(COUNTIFS(JournalActions[Joueur],$B88,JournalActions[Action],$C$63,JournalActions[Mi-temps],C$64)=0,"",COUNTIFS(JournalActions[Joueur],$B88,JournalActions[Action],$C$63,JournalActions[Mi-temps],C$64))</f>
        <v/>
      </c>
      <c r="D88" s="29" t="str">
        <f>IF(COUNTIFS(JournalActions[Joueur],$B88,JournalActions[Action],$C$63,JournalActions[Mi-temps],D$64)=0,"",COUNTIFS(JournalActions[Joueur],$B88,JournalActions[Action],$C$63,JournalActions[Mi-temps],D$64))</f>
        <v/>
      </c>
      <c r="E88" s="28" t="str">
        <f>IF(COUNTIFS(JournalActions[Joueur],$B88,JournalActions[Action],$E$63,JournalActions[Mi-temps],E$64)=0,"",COUNTIFS(JournalActions[Joueur],$B88,JournalActions[Action],$E$63,JournalActions[Mi-temps],E$64))</f>
        <v/>
      </c>
      <c r="F88" s="29" t="str">
        <f>IF(COUNTIFS(JournalActions[Joueur],$B88,JournalActions[Action],$E$63,JournalActions[Mi-temps],F$64)=0,"",COUNTIFS(JournalActions[Joueur],$B88,JournalActions[Action],$E$63,JournalActions[Mi-temps],F$64))</f>
        <v/>
      </c>
      <c r="H88" s="28" t="str">
        <f>IF(COUNTIFS(JournalActions[Joueur],$B88,JournalActions[Action],$H$63,JournalActions[Mi-temps],H$64)=0,"",COUNTIFS(JournalActions[Joueur],$B88,JournalActions[Action],$H$63,JournalActions[Mi-temps],H$64))</f>
        <v/>
      </c>
      <c r="I88" s="29" t="str">
        <f>IF(COUNTIFS(JournalActions[Joueur],$B88,JournalActions[Action],$H$63,JournalActions[Mi-temps],I$64)=0,"",COUNTIFS(JournalActions[Joueur],$B88,JournalActions[Action],$H$63,JournalActions[Mi-temps],I$64))</f>
        <v/>
      </c>
      <c r="J88" s="28" t="str">
        <f>IF(COUNTIFS(JournalActions[Joueur],$B88,JournalActions[Action],$J$63,JournalActions[Mi-temps],J$64)=0,"",COUNTIFS(JournalActions[Joueur],$B88,JournalActions[Action],$J$63,JournalActions[Mi-temps],J$64))</f>
        <v/>
      </c>
      <c r="K88" s="29" t="str">
        <f>IF(COUNTIFS(JournalActions[Joueur],$B88,JournalActions[Action],$J$63,JournalActions[Mi-temps],K$64)=0,"",COUNTIFS(JournalActions[Joueur],$B88,JournalActions[Action],$J$63,JournalActions[Mi-temps],K$64))</f>
        <v/>
      </c>
    </row>
    <row r="89" spans="2:11" s="3" customFormat="1" ht="14">
      <c r="B89" s="52" t="s">
        <v>176</v>
      </c>
      <c r="C89" s="53">
        <f>SUM(C65:C88)</f>
        <v>0</v>
      </c>
      <c r="D89" s="54">
        <f t="shared" ref="D89" si="10">SUM(D65:D88)</f>
        <v>0</v>
      </c>
      <c r="E89" s="53">
        <f>SUM(E65:E88)</f>
        <v>0</v>
      </c>
      <c r="F89" s="54">
        <f t="shared" ref="F89" si="11">SUM(F65:F88)</f>
        <v>0</v>
      </c>
      <c r="H89" s="74">
        <f>SUM(H65:H88)</f>
        <v>0</v>
      </c>
      <c r="I89" s="75">
        <f>SUM(I65:I88)</f>
        <v>0</v>
      </c>
      <c r="J89" s="74">
        <f>SUM(J65:J88)</f>
        <v>0</v>
      </c>
      <c r="K89" s="75">
        <f t="shared" ref="K89" si="12">SUM(K65:K88)</f>
        <v>0</v>
      </c>
    </row>
    <row r="90" spans="2:11" s="3" customFormat="1" ht="16">
      <c r="B90" s="55" t="s">
        <v>175</v>
      </c>
      <c r="C90" s="237">
        <f>C89+D89</f>
        <v>0</v>
      </c>
      <c r="D90" s="238"/>
      <c r="E90" s="237">
        <f>E89+F89</f>
        <v>0</v>
      </c>
      <c r="F90" s="238"/>
      <c r="H90" s="242">
        <f>H89+I89</f>
        <v>0</v>
      </c>
      <c r="I90" s="243"/>
      <c r="J90" s="242">
        <f>J89+K89</f>
        <v>0</v>
      </c>
      <c r="K90" s="243"/>
    </row>
    <row r="91" spans="2:11" s="3" customFormat="1"/>
    <row r="92" spans="2:11" s="3" customFormat="1"/>
    <row r="93" spans="2:11" s="3" customFormat="1" ht="14" thickBot="1"/>
    <row r="94" spans="2:11" s="3" customFormat="1" ht="17">
      <c r="B94" s="126" t="s">
        <v>389</v>
      </c>
      <c r="C94" s="127" t="s">
        <v>47</v>
      </c>
      <c r="D94" s="128" t="s">
        <v>113</v>
      </c>
      <c r="F94" s="267" t="s">
        <v>390</v>
      </c>
      <c r="G94" s="268"/>
      <c r="H94" s="127" t="s">
        <v>46</v>
      </c>
      <c r="I94" s="127" t="s">
        <v>44</v>
      </c>
      <c r="J94" s="134" t="s">
        <v>236</v>
      </c>
    </row>
    <row r="95" spans="2:11" s="3" customFormat="1" ht="16">
      <c r="B95" s="129" t="s">
        <v>237</v>
      </c>
      <c r="C95" s="81">
        <v>0</v>
      </c>
      <c r="D95" s="130">
        <v>0</v>
      </c>
      <c r="F95" s="265" t="s">
        <v>237</v>
      </c>
      <c r="G95" s="266"/>
      <c r="H95" s="81">
        <v>0</v>
      </c>
      <c r="I95" s="81">
        <v>0</v>
      </c>
      <c r="J95" s="135">
        <v>0</v>
      </c>
    </row>
    <row r="96" spans="2:11" s="3" customFormat="1" ht="16">
      <c r="B96" s="129" t="s">
        <v>238</v>
      </c>
      <c r="C96" s="81">
        <v>0</v>
      </c>
      <c r="D96" s="130">
        <v>0</v>
      </c>
      <c r="F96" s="265" t="s">
        <v>238</v>
      </c>
      <c r="G96" s="266"/>
      <c r="H96" s="81">
        <v>0</v>
      </c>
      <c r="I96" s="81">
        <v>0</v>
      </c>
      <c r="J96" s="135">
        <v>0</v>
      </c>
    </row>
    <row r="97" spans="2:10" s="3" customFormat="1" ht="16">
      <c r="B97" s="129" t="s">
        <v>239</v>
      </c>
      <c r="C97" s="81">
        <v>0</v>
      </c>
      <c r="D97" s="130">
        <v>0</v>
      </c>
      <c r="F97" s="265" t="s">
        <v>239</v>
      </c>
      <c r="G97" s="266"/>
      <c r="H97" s="81">
        <v>0</v>
      </c>
      <c r="I97" s="81">
        <v>0</v>
      </c>
      <c r="J97" s="135">
        <v>0</v>
      </c>
    </row>
    <row r="98" spans="2:10" s="3" customFormat="1" ht="16">
      <c r="B98" s="129" t="s">
        <v>240</v>
      </c>
      <c r="C98" s="81">
        <v>0</v>
      </c>
      <c r="D98" s="130">
        <v>0</v>
      </c>
      <c r="F98" s="265" t="s">
        <v>240</v>
      </c>
      <c r="G98" s="266"/>
      <c r="H98" s="81">
        <v>0</v>
      </c>
      <c r="I98" s="81">
        <v>0</v>
      </c>
      <c r="J98" s="135">
        <v>0</v>
      </c>
    </row>
    <row r="99" spans="2:10" s="3" customFormat="1" ht="17" thickBot="1">
      <c r="B99" s="131" t="s">
        <v>241</v>
      </c>
      <c r="C99" s="132">
        <v>0</v>
      </c>
      <c r="D99" s="133">
        <v>0</v>
      </c>
      <c r="F99" s="265" t="s">
        <v>391</v>
      </c>
      <c r="G99" s="266"/>
      <c r="H99" s="81">
        <v>0</v>
      </c>
      <c r="I99" s="81">
        <v>0</v>
      </c>
      <c r="J99" s="135">
        <v>0</v>
      </c>
    </row>
    <row r="100" spans="2:10" s="3" customFormat="1" ht="16">
      <c r="F100" s="265" t="s">
        <v>392</v>
      </c>
      <c r="G100" s="266"/>
      <c r="H100" s="81">
        <v>0</v>
      </c>
      <c r="I100" s="81">
        <v>0</v>
      </c>
      <c r="J100" s="135">
        <v>0</v>
      </c>
    </row>
    <row r="101" spans="2:10" s="3" customFormat="1" ht="16">
      <c r="F101" s="265" t="s">
        <v>393</v>
      </c>
      <c r="G101" s="266"/>
      <c r="H101" s="81">
        <v>0</v>
      </c>
      <c r="I101" s="81">
        <v>0</v>
      </c>
      <c r="J101" s="135">
        <v>0</v>
      </c>
    </row>
    <row r="102" spans="2:10" s="3" customFormat="1" ht="17" thickBot="1">
      <c r="F102" s="269" t="s">
        <v>394</v>
      </c>
      <c r="G102" s="270"/>
      <c r="H102" s="132">
        <v>0</v>
      </c>
      <c r="I102" s="132">
        <v>0</v>
      </c>
      <c r="J102" s="136">
        <v>0</v>
      </c>
    </row>
    <row r="103" spans="2:10" s="3" customFormat="1"/>
    <row r="104" spans="2:10" s="3" customFormat="1"/>
    <row r="105" spans="2:10" s="3" customFormat="1"/>
    <row r="106" spans="2:10" s="3" customFormat="1"/>
    <row r="107" spans="2:10" s="3" customFormat="1"/>
    <row r="108" spans="2:10" s="3" customFormat="1"/>
    <row r="109" spans="2:10" s="3" customFormat="1"/>
    <row r="110" spans="2:10" s="3" customFormat="1"/>
    <row r="111" spans="2:10" s="3" customFormat="1"/>
    <row r="112" spans="2:10" s="3" customFormat="1"/>
    <row r="113" s="3" customFormat="1"/>
    <row r="114" s="3" customFormat="1"/>
    <row r="115" s="3" customFormat="1"/>
    <row r="116" s="3" customFormat="1"/>
    <row r="117" s="3" customFormat="1"/>
    <row r="118" s="3" customFormat="1"/>
    <row r="119" s="3" customFormat="1"/>
    <row r="120" s="3" customFormat="1"/>
    <row r="121" s="3" customFormat="1"/>
    <row r="122" s="3" customFormat="1"/>
    <row r="123" s="3" customFormat="1"/>
    <row r="124" s="3" customFormat="1"/>
    <row r="125" s="3" customFormat="1"/>
    <row r="126" s="3" customFormat="1"/>
    <row r="127" s="3" customFormat="1"/>
    <row r="128" s="3" customFormat="1"/>
    <row r="129" s="3" customFormat="1"/>
    <row r="130" s="3" customFormat="1"/>
    <row r="131" s="3" customFormat="1"/>
    <row r="132" s="3" customFormat="1"/>
    <row r="133" s="3" customFormat="1"/>
    <row r="134" s="3" customFormat="1"/>
    <row r="135" s="3" customFormat="1"/>
    <row r="136" s="3" customFormat="1"/>
    <row r="137" s="3" customFormat="1"/>
    <row r="138" s="3" customFormat="1"/>
    <row r="139" s="3" customFormat="1"/>
    <row r="140" s="3" customFormat="1"/>
    <row r="141" s="3" customFormat="1"/>
    <row r="142" s="3" customFormat="1"/>
    <row r="143" s="3" customFormat="1"/>
    <row r="144" s="3" customFormat="1"/>
    <row r="145" s="3" customFormat="1"/>
    <row r="146" s="3" customFormat="1"/>
    <row r="147" s="3" customFormat="1"/>
    <row r="148" s="3" customFormat="1"/>
    <row r="149" s="3" customFormat="1"/>
    <row r="150" s="3" customFormat="1"/>
    <row r="151" s="3" customFormat="1"/>
    <row r="152" s="3" customFormat="1"/>
    <row r="153" s="3" customFormat="1"/>
    <row r="154" s="3" customFormat="1"/>
    <row r="155" s="3" customFormat="1"/>
    <row r="156" s="3" customFormat="1"/>
    <row r="157" s="3" customFormat="1"/>
    <row r="158" s="3" customFormat="1"/>
    <row r="159" s="3" customFormat="1"/>
    <row r="160" s="3" customFormat="1"/>
    <row r="161" s="3" customFormat="1"/>
    <row r="162" s="3" customFormat="1"/>
    <row r="163" s="3" customFormat="1"/>
    <row r="164" s="3" customFormat="1"/>
    <row r="165" s="3" customFormat="1"/>
    <row r="166" s="3" customFormat="1"/>
    <row r="167" s="3" customFormat="1"/>
    <row r="168" s="3" customFormat="1"/>
    <row r="169" s="3" customFormat="1"/>
    <row r="170" s="3" customFormat="1"/>
    <row r="171" s="3" customFormat="1"/>
    <row r="172" s="3" customFormat="1"/>
    <row r="173" s="3" customFormat="1"/>
    <row r="174" s="3" customFormat="1"/>
    <row r="175" s="3" customFormat="1"/>
    <row r="176" s="3" customFormat="1"/>
    <row r="177" s="3" customFormat="1"/>
    <row r="178" s="3" customFormat="1"/>
    <row r="179" s="3" customFormat="1"/>
    <row r="180" s="3" customFormat="1"/>
    <row r="181" s="3" customFormat="1"/>
    <row r="182" s="3" customFormat="1"/>
    <row r="183" s="3" customFormat="1"/>
    <row r="184" s="3" customFormat="1"/>
    <row r="185" s="3" customFormat="1"/>
    <row r="186" s="3" customFormat="1"/>
    <row r="187" s="3" customFormat="1"/>
    <row r="188" s="3" customFormat="1"/>
    <row r="189" s="3" customFormat="1"/>
    <row r="190" s="3" customFormat="1"/>
    <row r="191" s="3" customFormat="1"/>
    <row r="192" s="3" customFormat="1"/>
    <row r="193" s="3" customFormat="1"/>
    <row r="194" s="3" customFormat="1"/>
    <row r="195" s="3" customFormat="1"/>
    <row r="196" s="3" customFormat="1"/>
    <row r="197" s="3" customFormat="1"/>
    <row r="198" s="3" customFormat="1"/>
    <row r="199" s="3" customFormat="1"/>
    <row r="200" s="3" customFormat="1"/>
    <row r="201" s="3" customFormat="1"/>
    <row r="202" s="3" customFormat="1"/>
    <row r="203" s="3" customFormat="1"/>
    <row r="204" s="3" customFormat="1"/>
    <row r="205" s="3" customFormat="1"/>
    <row r="206" s="3" customFormat="1"/>
    <row r="207" s="3" customFormat="1"/>
    <row r="208" s="3" customFormat="1"/>
    <row r="209" s="3" customFormat="1"/>
    <row r="210" s="3" customFormat="1"/>
    <row r="211" s="3" customFormat="1"/>
    <row r="212" s="3" customFormat="1"/>
    <row r="213" s="3" customFormat="1"/>
    <row r="214" s="3" customFormat="1"/>
    <row r="215" s="3" customFormat="1"/>
    <row r="216" s="3" customFormat="1"/>
    <row r="217" s="3" customFormat="1"/>
    <row r="218" s="3" customFormat="1"/>
    <row r="219" s="3" customFormat="1"/>
    <row r="220" s="3" customFormat="1"/>
    <row r="221" s="3" customFormat="1"/>
    <row r="222" s="3" customFormat="1"/>
    <row r="223" s="3" customFormat="1"/>
    <row r="224" s="3" customFormat="1"/>
    <row r="225" s="3" customFormat="1"/>
    <row r="226" s="3" customFormat="1"/>
    <row r="227" s="3" customFormat="1"/>
    <row r="228" s="3" customFormat="1"/>
    <row r="229" s="3" customFormat="1"/>
    <row r="230" s="3" customFormat="1"/>
    <row r="231" s="3" customFormat="1"/>
    <row r="232" s="3" customFormat="1"/>
    <row r="233" s="3" customFormat="1"/>
    <row r="234" s="3" customFormat="1"/>
    <row r="235" s="3" customFormat="1"/>
    <row r="236" s="3" customFormat="1"/>
    <row r="237" s="3" customFormat="1"/>
    <row r="238" s="3" customFormat="1"/>
    <row r="239" s="3" customFormat="1"/>
    <row r="240" s="3" customFormat="1"/>
    <row r="241" s="3" customFormat="1"/>
    <row r="242" s="3" customFormat="1"/>
    <row r="243" s="3" customFormat="1"/>
    <row r="244" s="3" customFormat="1"/>
    <row r="245" s="3" customFormat="1"/>
    <row r="246" s="3" customFormat="1"/>
    <row r="247" s="3" customFormat="1"/>
    <row r="248" s="3" customFormat="1"/>
    <row r="249" s="3" customFormat="1"/>
    <row r="250" s="3" customFormat="1"/>
    <row r="251" s="3" customFormat="1"/>
    <row r="252" s="3" customFormat="1"/>
    <row r="253" s="3" customFormat="1"/>
    <row r="254" s="3" customFormat="1"/>
    <row r="255" s="3" customFormat="1"/>
    <row r="256" s="3" customFormat="1"/>
    <row r="257" s="3" customFormat="1"/>
    <row r="258" s="3" customFormat="1"/>
    <row r="259" s="3" customFormat="1"/>
    <row r="260" s="3" customFormat="1"/>
    <row r="261" s="3" customFormat="1"/>
    <row r="262" s="3" customFormat="1"/>
    <row r="263" s="3" customFormat="1"/>
    <row r="264" s="3" customFormat="1"/>
    <row r="265" s="3" customFormat="1"/>
    <row r="266" s="3" customFormat="1"/>
    <row r="267" s="3" customFormat="1"/>
    <row r="268" s="3" customFormat="1"/>
    <row r="269" s="3" customFormat="1"/>
    <row r="270" s="3" customFormat="1"/>
    <row r="271" s="3" customFormat="1"/>
    <row r="272" s="3" customFormat="1"/>
    <row r="273" s="3" customFormat="1"/>
    <row r="274" s="3" customFormat="1"/>
    <row r="275" s="3" customFormat="1"/>
    <row r="276" s="3" customFormat="1"/>
    <row r="277" s="3" customFormat="1"/>
    <row r="278" s="3" customFormat="1"/>
    <row r="279" s="3" customFormat="1"/>
    <row r="280" s="3" customFormat="1"/>
    <row r="281" s="3" customFormat="1"/>
    <row r="282" s="3" customFormat="1"/>
    <row r="283" s="3" customFormat="1"/>
    <row r="284" s="3" customFormat="1"/>
    <row r="285" s="3" customFormat="1"/>
    <row r="286" s="3" customFormat="1"/>
    <row r="287" s="3" customFormat="1"/>
    <row r="288" s="3" customFormat="1"/>
    <row r="289" s="3" customFormat="1"/>
    <row r="290" s="3" customFormat="1"/>
    <row r="291" s="3" customFormat="1"/>
    <row r="292" s="3" customFormat="1"/>
    <row r="293" s="3" customFormat="1"/>
    <row r="294" s="3" customFormat="1"/>
    <row r="295" s="3" customFormat="1"/>
    <row r="296" s="3" customFormat="1"/>
    <row r="297" s="3" customFormat="1"/>
    <row r="298" s="3" customFormat="1"/>
    <row r="299" s="3" customFormat="1"/>
    <row r="300" s="3" customFormat="1"/>
    <row r="301" s="3" customFormat="1"/>
    <row r="302" s="3" customFormat="1"/>
    <row r="303" s="3" customFormat="1"/>
    <row r="304" s="3" customFormat="1"/>
    <row r="305" s="3" customFormat="1"/>
    <row r="306" s="3" customFormat="1"/>
    <row r="307" s="3" customFormat="1"/>
    <row r="308" s="3" customFormat="1"/>
    <row r="309" s="3" customFormat="1"/>
    <row r="310" s="3" customFormat="1"/>
    <row r="311" s="3" customFormat="1"/>
    <row r="312" s="3" customFormat="1"/>
    <row r="313" s="3" customFormat="1"/>
    <row r="314" s="3" customFormat="1"/>
    <row r="315" s="3" customFormat="1"/>
    <row r="316" s="3" customFormat="1"/>
    <row r="317" s="3" customFormat="1"/>
    <row r="318" s="3" customFormat="1"/>
    <row r="319" s="3" customFormat="1"/>
    <row r="320" s="3" customFormat="1"/>
    <row r="321" s="3" customFormat="1"/>
    <row r="322" s="3" customFormat="1"/>
    <row r="323" s="3" customFormat="1"/>
    <row r="324" s="3" customFormat="1"/>
    <row r="325" s="3" customFormat="1"/>
    <row r="326" s="3" customFormat="1"/>
    <row r="327" s="3" customFormat="1"/>
    <row r="328" s="3" customFormat="1"/>
    <row r="329" s="3" customFormat="1"/>
    <row r="330" s="3" customFormat="1"/>
    <row r="331" s="3" customFormat="1"/>
    <row r="332" s="3" customFormat="1"/>
    <row r="333" s="3" customFormat="1"/>
    <row r="334" s="3" customFormat="1"/>
    <row r="335" s="3" customFormat="1"/>
    <row r="336" s="3" customFormat="1"/>
    <row r="337" s="3" customFormat="1"/>
    <row r="338" s="3" customFormat="1"/>
    <row r="339" s="3" customFormat="1"/>
    <row r="340" s="3" customFormat="1"/>
    <row r="341" s="3" customFormat="1"/>
    <row r="342" s="3" customFormat="1"/>
    <row r="343" s="3" customFormat="1"/>
    <row r="344" s="3" customFormat="1"/>
    <row r="345" s="3" customFormat="1"/>
    <row r="346" s="3" customFormat="1"/>
    <row r="347" s="3" customFormat="1"/>
    <row r="348" s="3" customFormat="1"/>
    <row r="349" s="3" customFormat="1"/>
    <row r="350" s="3" customFormat="1"/>
    <row r="351" s="3" customFormat="1"/>
    <row r="352" s="3" customFormat="1"/>
    <row r="353" s="3" customFormat="1"/>
    <row r="354" s="3" customFormat="1"/>
    <row r="355" s="3" customFormat="1"/>
    <row r="356" s="3" customFormat="1"/>
    <row r="357" s="3" customFormat="1"/>
    <row r="358" s="3" customFormat="1"/>
    <row r="359" s="3" customFormat="1"/>
    <row r="360" s="3" customFormat="1"/>
    <row r="361" s="3" customFormat="1"/>
    <row r="362" s="3" customFormat="1"/>
    <row r="363" s="3" customFormat="1"/>
    <row r="364" s="3" customFormat="1"/>
    <row r="365" s="3" customFormat="1"/>
    <row r="366" s="3" customFormat="1"/>
    <row r="367" s="3" customFormat="1"/>
    <row r="368" s="3" customFormat="1"/>
    <row r="369" s="3" customFormat="1"/>
    <row r="370" s="3" customFormat="1"/>
    <row r="371" s="3" customFormat="1"/>
    <row r="372" s="3" customFormat="1"/>
    <row r="373" s="3" customFormat="1"/>
    <row r="374" s="3" customFormat="1"/>
    <row r="375" s="3" customFormat="1"/>
    <row r="376" s="3" customFormat="1"/>
    <row r="377" s="3" customFormat="1"/>
    <row r="378" s="3" customFormat="1"/>
    <row r="379" s="3" customFormat="1"/>
    <row r="380" s="3" customFormat="1"/>
    <row r="381" s="3" customFormat="1"/>
    <row r="382" s="3" customFormat="1"/>
    <row r="383" s="3" customFormat="1"/>
    <row r="384" s="3" customFormat="1"/>
    <row r="385" s="3" customFormat="1"/>
    <row r="386" s="3" customFormat="1"/>
    <row r="387" s="3" customFormat="1"/>
    <row r="388" s="3" customFormat="1"/>
    <row r="389" s="3" customFormat="1"/>
    <row r="390" s="3" customFormat="1"/>
    <row r="391" s="3" customFormat="1"/>
    <row r="392" s="3" customFormat="1"/>
    <row r="393" s="3" customFormat="1"/>
    <row r="394" s="3" customFormat="1"/>
    <row r="395" s="3" customFormat="1"/>
    <row r="396" s="3" customFormat="1"/>
    <row r="397" s="3" customFormat="1"/>
    <row r="398" s="3" customFormat="1"/>
    <row r="399" s="3" customFormat="1"/>
    <row r="400" s="3" customFormat="1"/>
    <row r="401" s="3" customFormat="1"/>
    <row r="402" s="3" customFormat="1"/>
    <row r="403" s="3" customFormat="1"/>
    <row r="404" s="3" customFormat="1"/>
    <row r="405" s="3" customFormat="1"/>
    <row r="406" s="3" customFormat="1"/>
    <row r="407" s="3" customFormat="1"/>
    <row r="408" s="3" customFormat="1"/>
    <row r="409" s="3" customFormat="1"/>
    <row r="410" s="3" customFormat="1"/>
    <row r="411" s="3" customFormat="1"/>
    <row r="412" s="3" customFormat="1"/>
    <row r="413" s="3" customFormat="1"/>
    <row r="414" s="3" customFormat="1"/>
    <row r="415" s="3" customFormat="1"/>
    <row r="416" s="3" customFormat="1"/>
    <row r="417" s="3" customFormat="1"/>
    <row r="418" s="3" customFormat="1"/>
    <row r="419" s="3" customFormat="1"/>
    <row r="420" s="3" customFormat="1"/>
    <row r="421" s="3" customFormat="1"/>
    <row r="422" s="3" customFormat="1"/>
    <row r="423" s="3" customFormat="1"/>
    <row r="424" s="3" customFormat="1"/>
    <row r="425" s="3" customFormat="1"/>
    <row r="426" s="3" customFormat="1"/>
    <row r="427" s="3" customFormat="1"/>
    <row r="428" s="3" customFormat="1"/>
    <row r="429" s="3" customFormat="1"/>
    <row r="430" s="3" customFormat="1"/>
    <row r="431" s="3" customFormat="1"/>
    <row r="432" s="3" customFormat="1"/>
    <row r="433" s="3" customFormat="1"/>
    <row r="434" s="3" customFormat="1"/>
    <row r="435" s="3" customFormat="1"/>
    <row r="436" s="3" customFormat="1"/>
    <row r="437" s="3" customFormat="1"/>
    <row r="438" s="3" customFormat="1"/>
    <row r="439" s="3" customFormat="1"/>
    <row r="440" s="3" customFormat="1"/>
    <row r="441" s="3" customFormat="1"/>
    <row r="442" s="3" customFormat="1"/>
    <row r="443" s="3" customFormat="1"/>
    <row r="444" s="3" customFormat="1"/>
    <row r="445" s="3" customFormat="1"/>
    <row r="446" s="3" customFormat="1"/>
    <row r="447" s="3" customFormat="1"/>
    <row r="448" s="3" customFormat="1"/>
    <row r="449" s="3" customFormat="1"/>
    <row r="450" s="3" customFormat="1"/>
    <row r="451" s="3" customFormat="1"/>
    <row r="452" s="3" customFormat="1"/>
    <row r="453" s="3" customFormat="1"/>
    <row r="454" s="3" customFormat="1"/>
    <row r="455" s="3" customFormat="1"/>
    <row r="456" s="3" customFormat="1"/>
    <row r="457" s="3" customFormat="1"/>
    <row r="458" s="3" customFormat="1"/>
    <row r="459" s="3" customFormat="1"/>
    <row r="460" s="3" customFormat="1"/>
    <row r="461" s="3" customFormat="1"/>
    <row r="462" s="3" customFormat="1"/>
    <row r="463" s="3" customFormat="1"/>
    <row r="464" s="3" customFormat="1"/>
    <row r="465" s="3" customFormat="1"/>
    <row r="466" s="3" customFormat="1"/>
    <row r="467" s="3" customFormat="1"/>
    <row r="468" s="3" customFormat="1"/>
    <row r="469" s="3" customFormat="1"/>
    <row r="470" s="3" customFormat="1"/>
    <row r="471" s="3" customFormat="1"/>
    <row r="472" s="3" customFormat="1"/>
    <row r="473" s="3" customFormat="1"/>
    <row r="474" s="3" customFormat="1"/>
    <row r="475" s="3" customFormat="1"/>
    <row r="476" s="3" customFormat="1"/>
    <row r="477" s="3" customFormat="1"/>
    <row r="478" s="3" customFormat="1"/>
    <row r="479" s="3" customFormat="1"/>
    <row r="480" s="3" customFormat="1"/>
    <row r="481" s="3" customFormat="1"/>
    <row r="482" s="3" customFormat="1"/>
    <row r="483" s="3" customFormat="1"/>
    <row r="484" s="3" customFormat="1"/>
    <row r="485" s="3" customFormat="1"/>
    <row r="486" s="3" customFormat="1"/>
    <row r="487" s="3" customFormat="1"/>
    <row r="488" s="3" customFormat="1"/>
    <row r="489" s="3" customFormat="1"/>
    <row r="490" s="3" customFormat="1"/>
    <row r="491" s="3" customFormat="1"/>
    <row r="492" s="3" customFormat="1"/>
    <row r="493" s="3" customFormat="1"/>
    <row r="494" s="3" customFormat="1"/>
    <row r="495" s="3" customFormat="1"/>
    <row r="496" s="3" customFormat="1"/>
    <row r="497" s="3" customFormat="1"/>
    <row r="498" s="3" customFormat="1"/>
    <row r="499" s="3" customFormat="1"/>
    <row r="500" s="3" customFormat="1"/>
    <row r="501" s="3" customFormat="1"/>
    <row r="502" s="3" customFormat="1"/>
    <row r="503" s="3" customFormat="1"/>
    <row r="504" s="3" customFormat="1"/>
    <row r="505" s="3" customFormat="1"/>
    <row r="506" s="3" customFormat="1"/>
    <row r="507" s="3" customFormat="1"/>
    <row r="508" s="3" customFormat="1"/>
    <row r="509" s="3" customFormat="1"/>
    <row r="510" s="3" customFormat="1"/>
    <row r="511" s="3" customFormat="1"/>
    <row r="512" s="3" customFormat="1"/>
    <row r="513" s="3" customFormat="1"/>
    <row r="514" s="3" customFormat="1"/>
    <row r="515" s="3" customFormat="1"/>
    <row r="516" s="3" customFormat="1"/>
    <row r="517" s="3" customFormat="1"/>
    <row r="518" s="3" customFormat="1"/>
    <row r="519" s="3" customFormat="1"/>
    <row r="520" s="3" customFormat="1"/>
    <row r="521" s="3" customFormat="1"/>
    <row r="522" s="3" customFormat="1"/>
    <row r="523" s="3" customFormat="1"/>
    <row r="524" s="3" customFormat="1"/>
    <row r="525" s="3" customFormat="1"/>
    <row r="526" s="3" customFormat="1"/>
    <row r="527" s="3" customFormat="1"/>
    <row r="528" s="3" customFormat="1"/>
    <row r="529" s="3" customFormat="1"/>
    <row r="530" s="3" customFormat="1"/>
    <row r="531" s="3" customFormat="1"/>
    <row r="532" s="3" customFormat="1"/>
    <row r="533" s="3" customFormat="1"/>
    <row r="534" s="3" customFormat="1"/>
    <row r="535" s="3" customFormat="1"/>
    <row r="536" s="3" customFormat="1"/>
    <row r="537" s="3" customFormat="1"/>
    <row r="538" s="3" customFormat="1"/>
    <row r="539" s="3" customFormat="1"/>
    <row r="540" s="3" customFormat="1"/>
    <row r="541" s="3" customFormat="1"/>
    <row r="542" s="3" customFormat="1"/>
    <row r="543" s="3" customFormat="1"/>
    <row r="544" s="3" customFormat="1"/>
    <row r="545" s="3" customFormat="1"/>
    <row r="546" s="3" customFormat="1"/>
    <row r="547" s="3" customFormat="1"/>
    <row r="548" s="3" customFormat="1"/>
    <row r="549" s="3" customFormat="1"/>
    <row r="550" s="3" customFormat="1"/>
    <row r="551" s="3" customFormat="1"/>
    <row r="552" s="3" customFormat="1"/>
    <row r="553" s="3" customFormat="1"/>
    <row r="554" s="3" customFormat="1"/>
    <row r="555" s="3" customFormat="1"/>
    <row r="556" s="3" customFormat="1"/>
    <row r="557" s="3" customFormat="1"/>
    <row r="558" s="3" customFormat="1"/>
    <row r="559" s="3" customFormat="1"/>
    <row r="560" s="3" customFormat="1"/>
    <row r="561" s="3" customFormat="1"/>
    <row r="562" s="3" customFormat="1"/>
    <row r="563" s="3" customFormat="1"/>
    <row r="564" s="3" customFormat="1"/>
    <row r="565" s="3" customFormat="1"/>
    <row r="566" s="3" customFormat="1"/>
    <row r="567" s="3" customFormat="1"/>
    <row r="568" s="3" customFormat="1"/>
    <row r="569" s="3" customFormat="1"/>
    <row r="570" s="3" customFormat="1"/>
    <row r="571" s="3" customFormat="1"/>
    <row r="572" s="3" customFormat="1"/>
    <row r="573" s="3" customFormat="1"/>
    <row r="574" s="3" customFormat="1"/>
    <row r="575" s="3" customFormat="1"/>
    <row r="576" s="3" customFormat="1"/>
    <row r="577" s="3" customFormat="1"/>
    <row r="578" s="3" customFormat="1"/>
    <row r="579" s="3" customFormat="1"/>
    <row r="580" s="3" customFormat="1"/>
    <row r="581" s="3" customFormat="1"/>
    <row r="582" s="3" customFormat="1"/>
    <row r="583" s="3" customFormat="1"/>
    <row r="584" s="3" customFormat="1"/>
    <row r="585" s="3" customFormat="1"/>
    <row r="586" s="3" customFormat="1"/>
    <row r="587" s="3" customFormat="1"/>
    <row r="588" s="3" customFormat="1"/>
    <row r="589" s="3" customFormat="1"/>
    <row r="590" s="3" customFormat="1"/>
    <row r="591" s="3" customFormat="1"/>
    <row r="592" s="3" customFormat="1"/>
    <row r="593" s="3" customFormat="1"/>
    <row r="594" s="3" customFormat="1"/>
    <row r="595" s="3" customFormat="1"/>
    <row r="596" s="3" customFormat="1"/>
    <row r="597" s="3" customFormat="1"/>
    <row r="598" s="3" customFormat="1"/>
    <row r="599" s="3" customFormat="1"/>
    <row r="600" s="3" customFormat="1"/>
    <row r="601" s="3" customFormat="1"/>
    <row r="602" s="3" customFormat="1"/>
    <row r="603" s="3" customFormat="1"/>
    <row r="604" s="3" customFormat="1"/>
    <row r="605" s="3" customFormat="1"/>
    <row r="606" s="3" customFormat="1"/>
    <row r="607" s="3" customFormat="1"/>
    <row r="608" s="3" customFormat="1"/>
    <row r="609" s="3" customFormat="1"/>
    <row r="610" s="3" customFormat="1"/>
    <row r="611" s="3" customFormat="1"/>
    <row r="612" s="3" customFormat="1"/>
    <row r="613" s="3" customFormat="1"/>
    <row r="614" s="3" customFormat="1"/>
    <row r="615" s="3" customFormat="1"/>
    <row r="616" s="3" customFormat="1"/>
    <row r="617" s="3" customFormat="1"/>
    <row r="618" s="3" customFormat="1"/>
    <row r="619" s="3" customFormat="1"/>
    <row r="620" s="3" customFormat="1"/>
    <row r="621" s="3" customFormat="1"/>
    <row r="622" s="3" customFormat="1"/>
    <row r="623" s="3" customFormat="1"/>
    <row r="624" s="3" customFormat="1"/>
    <row r="625" s="3" customFormat="1"/>
    <row r="626" s="3" customFormat="1"/>
    <row r="627" s="3" customFormat="1"/>
    <row r="628" s="3" customFormat="1"/>
    <row r="629" s="3" customFormat="1"/>
    <row r="630" s="3" customFormat="1"/>
    <row r="631" s="3" customFormat="1"/>
    <row r="632" s="3" customFormat="1"/>
    <row r="633" s="3" customFormat="1"/>
    <row r="634" s="3" customFormat="1"/>
    <row r="635" s="3" customFormat="1"/>
    <row r="636" s="3" customFormat="1"/>
    <row r="637" s="3" customFormat="1"/>
    <row r="638" s="3" customFormat="1"/>
    <row r="639" s="3" customFormat="1"/>
    <row r="640" s="3" customFormat="1"/>
    <row r="641" s="3" customFormat="1"/>
    <row r="642" s="3" customFormat="1"/>
    <row r="643" s="3" customFormat="1"/>
    <row r="644" s="3" customFormat="1"/>
    <row r="645" s="3" customFormat="1"/>
    <row r="646" s="3" customFormat="1"/>
    <row r="647" s="3" customFormat="1"/>
    <row r="648" s="3" customFormat="1"/>
    <row r="649" s="3" customFormat="1"/>
    <row r="650" s="3" customFormat="1"/>
    <row r="651" s="3" customFormat="1"/>
    <row r="652" s="3" customFormat="1"/>
    <row r="653" s="3" customFormat="1"/>
    <row r="654" s="3" customFormat="1"/>
    <row r="655" s="3" customFormat="1"/>
    <row r="656" s="3" customFormat="1"/>
    <row r="657" s="3" customFormat="1"/>
    <row r="658" s="3" customFormat="1"/>
    <row r="659" s="3" customFormat="1"/>
    <row r="660" s="3" customFormat="1"/>
    <row r="661" s="3" customFormat="1"/>
    <row r="662" s="3" customFormat="1"/>
    <row r="663" s="3" customFormat="1"/>
    <row r="664" s="3" customFormat="1"/>
    <row r="665" s="3" customFormat="1"/>
    <row r="666" s="3" customFormat="1"/>
    <row r="667" s="3" customFormat="1"/>
    <row r="668" s="3" customFormat="1"/>
    <row r="669" s="3" customFormat="1"/>
    <row r="670" s="3" customFormat="1"/>
    <row r="671" s="3" customFormat="1"/>
    <row r="672" s="3" customFormat="1"/>
    <row r="673" s="3" customFormat="1"/>
    <row r="674" s="3" customFormat="1"/>
    <row r="675" s="3" customFormat="1"/>
    <row r="676" s="3" customFormat="1"/>
    <row r="677" s="3" customFormat="1"/>
    <row r="678" s="3" customFormat="1"/>
    <row r="679" s="3" customFormat="1"/>
    <row r="680" s="3" customFormat="1"/>
    <row r="681" s="3" customFormat="1"/>
    <row r="682" s="3" customFormat="1"/>
    <row r="683" s="3" customFormat="1"/>
    <row r="684" s="3" customFormat="1"/>
    <row r="685" s="3" customFormat="1"/>
    <row r="686" s="3" customFormat="1"/>
    <row r="687" s="3" customFormat="1"/>
    <row r="688" s="3" customFormat="1"/>
    <row r="689" s="3" customFormat="1"/>
    <row r="690" s="3" customFormat="1"/>
    <row r="691" s="3" customFormat="1"/>
    <row r="692" s="3" customFormat="1"/>
    <row r="693" s="3" customFormat="1"/>
    <row r="694" s="3" customFormat="1"/>
    <row r="695" s="3" customFormat="1"/>
    <row r="696" s="3" customFormat="1"/>
    <row r="697" s="3" customFormat="1"/>
    <row r="698" s="3" customFormat="1"/>
    <row r="699" s="3" customFormat="1"/>
    <row r="700" s="3" customFormat="1"/>
    <row r="701" s="3" customFormat="1"/>
    <row r="702" s="3" customFormat="1"/>
    <row r="703" s="3" customFormat="1"/>
    <row r="704" s="3" customFormat="1"/>
    <row r="705" s="3" customFormat="1"/>
    <row r="706" s="3" customFormat="1"/>
    <row r="707" s="3" customFormat="1"/>
    <row r="708" s="3" customFormat="1"/>
    <row r="709" s="3" customFormat="1"/>
    <row r="710" s="3" customFormat="1"/>
    <row r="711" s="3" customFormat="1"/>
    <row r="712" s="3" customFormat="1"/>
    <row r="713" s="3" customFormat="1"/>
    <row r="714" s="3" customFormat="1"/>
    <row r="715" s="3" customFormat="1"/>
    <row r="716" s="3" customFormat="1"/>
    <row r="717" s="3" customFormat="1"/>
    <row r="718" s="3" customFormat="1"/>
    <row r="719" s="3" customFormat="1"/>
    <row r="720" s="3" customFormat="1"/>
    <row r="721" s="3" customFormat="1"/>
    <row r="722" s="3" customFormat="1"/>
    <row r="723" s="3" customFormat="1"/>
    <row r="724" s="3" customFormat="1"/>
    <row r="725" s="3" customFormat="1"/>
    <row r="726" s="3" customFormat="1"/>
    <row r="727" s="3" customFormat="1"/>
    <row r="728" s="3" customFormat="1"/>
    <row r="729" s="3" customFormat="1"/>
    <row r="730" s="3" customFormat="1"/>
    <row r="731" s="3" customFormat="1"/>
    <row r="732" s="3" customFormat="1"/>
    <row r="733" s="3" customFormat="1"/>
    <row r="734" s="3" customFormat="1"/>
    <row r="735" s="3" customFormat="1"/>
    <row r="736" s="3" customFormat="1"/>
    <row r="737" s="3" customFormat="1"/>
    <row r="738" s="3" customFormat="1"/>
    <row r="739" s="3" customFormat="1"/>
    <row r="740" s="3" customFormat="1"/>
    <row r="741" s="3" customFormat="1"/>
    <row r="742" s="3" customFormat="1"/>
    <row r="743" s="3" customFormat="1"/>
    <row r="744" s="3" customFormat="1"/>
    <row r="745" s="3" customFormat="1"/>
    <row r="746" s="3" customFormat="1"/>
    <row r="747" s="3" customFormat="1"/>
    <row r="748" s="3" customFormat="1"/>
    <row r="749" s="3" customFormat="1"/>
    <row r="750" s="3" customFormat="1"/>
    <row r="751" s="3" customFormat="1"/>
    <row r="752" s="3" customFormat="1"/>
    <row r="753" s="3" customFormat="1"/>
    <row r="754" s="3" customFormat="1"/>
    <row r="755" s="3" customFormat="1"/>
    <row r="756" s="3" customFormat="1"/>
    <row r="757" s="3" customFormat="1"/>
    <row r="758" s="3" customFormat="1"/>
    <row r="759" s="3" customFormat="1"/>
    <row r="760" s="3" customFormat="1"/>
    <row r="761" s="3" customFormat="1"/>
    <row r="762" s="3" customFormat="1"/>
    <row r="763" s="3" customFormat="1"/>
    <row r="764" s="3" customFormat="1"/>
    <row r="765" s="3" customFormat="1"/>
    <row r="766" s="3" customFormat="1"/>
    <row r="767" s="3" customFormat="1"/>
    <row r="768" s="3" customFormat="1"/>
    <row r="769" s="3" customFormat="1"/>
    <row r="770" s="3" customFormat="1"/>
    <row r="771" s="3" customFormat="1"/>
    <row r="772" s="3" customFormat="1"/>
    <row r="773" s="3" customFormat="1"/>
    <row r="774" s="3" customFormat="1"/>
    <row r="775" s="3" customFormat="1"/>
    <row r="776" s="3" customFormat="1"/>
    <row r="777" s="3" customFormat="1"/>
    <row r="778" s="3" customFormat="1"/>
    <row r="779" s="3" customFormat="1"/>
    <row r="780" s="3" customFormat="1"/>
    <row r="781" s="3" customFormat="1"/>
    <row r="782" s="3" customFormat="1"/>
    <row r="783" s="3" customFormat="1"/>
    <row r="784" s="3" customFormat="1"/>
    <row r="785" s="3" customFormat="1"/>
    <row r="786" s="3" customFormat="1"/>
    <row r="787" s="3" customFormat="1"/>
    <row r="788" s="3" customFormat="1"/>
    <row r="789" s="3" customFormat="1"/>
    <row r="790" s="3" customFormat="1"/>
    <row r="791" s="3" customFormat="1"/>
    <row r="792" s="3" customFormat="1"/>
    <row r="793" s="3" customFormat="1"/>
    <row r="794" s="3" customFormat="1"/>
    <row r="795" s="3" customFormat="1"/>
    <row r="796" s="3" customFormat="1"/>
    <row r="797" s="3" customFormat="1"/>
    <row r="798" s="3" customFormat="1"/>
    <row r="799" s="3" customFormat="1"/>
    <row r="800" s="3" customFormat="1"/>
    <row r="801" s="3" customFormat="1"/>
    <row r="802" s="3" customFormat="1"/>
    <row r="803" s="3" customFormat="1"/>
    <row r="804" s="3" customFormat="1"/>
    <row r="805" s="3" customFormat="1"/>
    <row r="806" s="3" customFormat="1"/>
    <row r="807" s="3" customFormat="1"/>
    <row r="808" s="3" customFormat="1"/>
    <row r="809" s="3" customFormat="1"/>
    <row r="810" s="3" customFormat="1"/>
    <row r="811" s="3" customFormat="1"/>
    <row r="812" s="3" customFormat="1"/>
    <row r="813" s="3" customFormat="1"/>
    <row r="814" s="3" customFormat="1"/>
    <row r="815" s="3" customFormat="1"/>
    <row r="816" s="3" customFormat="1"/>
    <row r="817" s="3" customFormat="1"/>
    <row r="818" s="3" customFormat="1"/>
    <row r="819" s="3" customFormat="1"/>
    <row r="820" s="3" customFormat="1"/>
    <row r="821" s="3" customFormat="1"/>
    <row r="822" s="3" customFormat="1"/>
    <row r="823" s="3" customFormat="1"/>
    <row r="824" s="3" customFormat="1"/>
    <row r="825" s="3" customFormat="1"/>
    <row r="826" s="3" customFormat="1"/>
    <row r="827" s="3" customFormat="1"/>
    <row r="828" s="3" customFormat="1"/>
    <row r="829" s="3" customFormat="1"/>
    <row r="830" s="3" customFormat="1"/>
    <row r="831" s="3" customFormat="1"/>
    <row r="832" s="3" customFormat="1"/>
    <row r="833" s="3" customFormat="1"/>
    <row r="834" s="3" customFormat="1"/>
    <row r="835" s="3" customFormat="1"/>
    <row r="836" s="3" customFormat="1"/>
    <row r="837" s="3" customFormat="1"/>
    <row r="838" s="3" customFormat="1"/>
    <row r="839" s="3" customFormat="1"/>
    <row r="840" s="3" customFormat="1"/>
    <row r="841" s="3" customFormat="1"/>
    <row r="842" s="3" customFormat="1"/>
    <row r="843" s="3" customFormat="1"/>
    <row r="844" s="3" customFormat="1"/>
    <row r="845" s="3" customFormat="1"/>
    <row r="846" s="3" customFormat="1"/>
    <row r="847" s="3" customFormat="1"/>
    <row r="848" s="3" customFormat="1"/>
    <row r="849" s="3" customFormat="1"/>
    <row r="850" s="3" customFormat="1"/>
    <row r="851" s="3" customFormat="1"/>
    <row r="852" s="3" customFormat="1"/>
    <row r="853" s="3" customFormat="1"/>
    <row r="854" s="3" customFormat="1"/>
    <row r="855" s="3" customFormat="1"/>
    <row r="856" s="3" customFormat="1"/>
    <row r="857" s="3" customFormat="1"/>
    <row r="858" s="3" customFormat="1"/>
    <row r="859" s="3" customFormat="1"/>
    <row r="860" s="3" customFormat="1"/>
    <row r="861" s="3" customFormat="1"/>
    <row r="862" s="3" customFormat="1"/>
    <row r="863" s="3" customFormat="1"/>
    <row r="864" s="3" customFormat="1"/>
    <row r="865" s="3" customFormat="1"/>
    <row r="866" s="3" customFormat="1"/>
    <row r="867" s="3" customFormat="1"/>
    <row r="868" s="3" customFormat="1"/>
    <row r="869" s="3" customFormat="1"/>
    <row r="870" s="3" customFormat="1"/>
    <row r="871" s="3" customFormat="1"/>
    <row r="872" s="3" customFormat="1"/>
    <row r="873" s="3" customFormat="1"/>
    <row r="874" s="3" customFormat="1"/>
    <row r="875" s="3" customFormat="1"/>
    <row r="876" s="3" customFormat="1"/>
    <row r="877" s="3" customFormat="1"/>
    <row r="878" s="3" customFormat="1"/>
    <row r="879" s="3" customFormat="1"/>
    <row r="880" s="3" customFormat="1"/>
    <row r="881" s="3" customFormat="1"/>
    <row r="882" s="3" customFormat="1"/>
    <row r="883" s="3" customFormat="1"/>
    <row r="884" s="3" customFormat="1"/>
    <row r="885" s="3" customFormat="1"/>
    <row r="886" s="3" customFormat="1"/>
    <row r="887" s="3" customFormat="1"/>
    <row r="888" s="3" customFormat="1"/>
    <row r="889" s="3" customFormat="1"/>
    <row r="890" s="3" customFormat="1"/>
    <row r="891" s="3" customFormat="1"/>
    <row r="892" s="3" customFormat="1"/>
    <row r="893" s="3" customFormat="1"/>
    <row r="894" s="3" customFormat="1"/>
    <row r="895" s="3" customFormat="1"/>
    <row r="896" s="3" customFormat="1"/>
    <row r="897" s="3" customFormat="1"/>
    <row r="898" s="3" customFormat="1"/>
    <row r="899" s="3" customFormat="1"/>
    <row r="900" s="3" customFormat="1"/>
    <row r="901" s="3" customFormat="1"/>
    <row r="902" s="3" customFormat="1"/>
    <row r="903" s="3" customFormat="1"/>
    <row r="904" s="3" customFormat="1"/>
    <row r="905" s="3" customFormat="1"/>
    <row r="906" s="3" customFormat="1"/>
    <row r="907" s="3" customFormat="1"/>
    <row r="908" s="3" customFormat="1"/>
    <row r="909" s="3" customFormat="1"/>
    <row r="910" s="3" customFormat="1"/>
    <row r="911" s="3" customFormat="1"/>
    <row r="912" s="3" customFormat="1"/>
    <row r="913" s="3" customFormat="1"/>
    <row r="914" s="3" customFormat="1"/>
    <row r="915" s="3" customFormat="1"/>
    <row r="916" s="3" customFormat="1"/>
    <row r="917" s="3" customFormat="1"/>
    <row r="918" s="3" customFormat="1"/>
    <row r="919" s="3" customFormat="1"/>
    <row r="920" s="3" customFormat="1"/>
    <row r="921" s="3" customFormat="1"/>
    <row r="922" s="3" customFormat="1"/>
    <row r="923" s="3" customFormat="1"/>
    <row r="924" s="3" customFormat="1"/>
    <row r="925" s="3" customFormat="1"/>
    <row r="926" s="3" customFormat="1"/>
    <row r="927" s="3" customFormat="1"/>
    <row r="928" s="3" customFormat="1"/>
    <row r="929" s="3" customFormat="1"/>
    <row r="930" s="3" customFormat="1"/>
    <row r="931" s="3" customFormat="1"/>
    <row r="932" s="3" customFormat="1"/>
    <row r="933" s="3" customFormat="1"/>
    <row r="934" s="3" customFormat="1"/>
    <row r="935" s="3" customFormat="1"/>
    <row r="936" s="3" customFormat="1"/>
    <row r="937" s="3" customFormat="1"/>
    <row r="938" s="3" customFormat="1"/>
    <row r="939" s="3" customFormat="1"/>
    <row r="940" s="3" customFormat="1"/>
    <row r="941" s="3" customFormat="1"/>
    <row r="942" s="3" customFormat="1"/>
    <row r="943" s="3" customFormat="1"/>
    <row r="944" s="3" customFormat="1"/>
    <row r="945" s="3" customFormat="1"/>
    <row r="946" s="3" customFormat="1"/>
    <row r="947" s="3" customFormat="1"/>
    <row r="948" s="3" customFormat="1"/>
    <row r="949" s="3" customFormat="1"/>
    <row r="950" s="3" customFormat="1"/>
    <row r="951" s="3" customFormat="1"/>
    <row r="952" s="3" customFormat="1"/>
    <row r="953" s="3" customFormat="1"/>
    <row r="954" s="3" customFormat="1"/>
    <row r="955" s="3" customFormat="1"/>
    <row r="956" s="3" customFormat="1"/>
    <row r="957" s="3" customFormat="1"/>
    <row r="958" s="3" customFormat="1"/>
    <row r="959" s="3" customFormat="1"/>
    <row r="960" s="3" customFormat="1"/>
    <row r="961" s="3" customFormat="1"/>
    <row r="962" s="3" customFormat="1"/>
    <row r="963" s="3" customFormat="1"/>
    <row r="964" s="3" customFormat="1"/>
    <row r="965" s="3" customFormat="1"/>
    <row r="966" s="3" customFormat="1"/>
    <row r="967" s="3" customFormat="1"/>
    <row r="968" s="3" customFormat="1"/>
    <row r="969" s="3" customFormat="1"/>
    <row r="970" s="3" customFormat="1"/>
    <row r="971" s="3" customFormat="1"/>
    <row r="972" s="3" customFormat="1"/>
    <row r="973" s="3" customFormat="1"/>
    <row r="974" s="3" customFormat="1"/>
    <row r="975" s="3" customFormat="1"/>
    <row r="976" s="3" customFormat="1"/>
    <row r="977" s="3" customFormat="1"/>
    <row r="978" s="3" customFormat="1"/>
    <row r="979" s="3" customFormat="1"/>
    <row r="980" s="3" customFormat="1"/>
    <row r="981" s="3" customFormat="1"/>
    <row r="982" s="3" customFormat="1"/>
    <row r="983" s="3" customFormat="1"/>
    <row r="984" s="3" customFormat="1"/>
    <row r="985" s="3" customFormat="1"/>
    <row r="986" s="3" customFormat="1"/>
    <row r="987" s="3" customFormat="1"/>
    <row r="988" s="3" customFormat="1"/>
    <row r="989" s="3" customFormat="1"/>
    <row r="990" s="3" customFormat="1"/>
    <row r="991" s="3" customFormat="1"/>
    <row r="992" s="3" customFormat="1"/>
    <row r="993" s="3" customFormat="1"/>
    <row r="994" s="3" customFormat="1"/>
    <row r="995" s="3" customFormat="1"/>
    <row r="996" s="3" customFormat="1"/>
    <row r="997" s="3" customFormat="1"/>
    <row r="998" s="3" customFormat="1"/>
    <row r="999" s="3" customFormat="1"/>
    <row r="1000" s="3" customFormat="1"/>
    <row r="1001" s="3" customFormat="1"/>
    <row r="1002" s="3" customFormat="1"/>
    <row r="1003" s="3" customFormat="1"/>
    <row r="1004" s="3" customFormat="1"/>
    <row r="1005" s="3" customFormat="1"/>
    <row r="1006" s="3" customFormat="1"/>
    <row r="1007" s="3" customFormat="1"/>
    <row r="1008" s="3" customFormat="1"/>
    <row r="1009" s="3" customFormat="1"/>
    <row r="1010" s="3" customFormat="1"/>
    <row r="1011" s="3" customFormat="1"/>
    <row r="1012" s="3" customFormat="1"/>
    <row r="1013" s="3" customFormat="1"/>
    <row r="1014" s="3" customFormat="1"/>
    <row r="1015" s="3" customFormat="1"/>
    <row r="1016" s="3" customFormat="1"/>
    <row r="1017" s="3" customFormat="1"/>
    <row r="1018" s="3" customFormat="1"/>
    <row r="1019" s="3" customFormat="1"/>
    <row r="1020" s="3" customFormat="1"/>
    <row r="1021" s="3" customFormat="1"/>
    <row r="1022" s="3" customFormat="1"/>
    <row r="1023" s="3" customFormat="1"/>
    <row r="1024" s="3" customFormat="1"/>
    <row r="1025" s="3" customFormat="1"/>
    <row r="1026" s="3" customFormat="1"/>
    <row r="1027" s="3" customFormat="1"/>
    <row r="1028" s="3" customFormat="1"/>
    <row r="1029" s="3" customFormat="1"/>
    <row r="1030" s="3" customFormat="1"/>
    <row r="1031" s="3" customFormat="1"/>
    <row r="1032" s="3" customFormat="1"/>
    <row r="1033" s="3" customFormat="1"/>
    <row r="1034" s="3" customFormat="1"/>
    <row r="1035" s="3" customFormat="1"/>
    <row r="1036" s="3" customFormat="1"/>
    <row r="1037" s="3" customFormat="1"/>
    <row r="1038" s="3" customFormat="1"/>
    <row r="1039" s="3" customFormat="1"/>
    <row r="1040" s="3" customFormat="1"/>
    <row r="1041" s="3" customFormat="1"/>
    <row r="1042" s="3" customFormat="1"/>
    <row r="1043" s="3" customFormat="1"/>
    <row r="1044" s="3" customFormat="1"/>
    <row r="1045" s="3" customFormat="1"/>
    <row r="1046" s="3" customFormat="1"/>
    <row r="1047" s="3" customFormat="1"/>
    <row r="1048" s="3" customFormat="1"/>
    <row r="1049" s="3" customFormat="1"/>
    <row r="1050" s="3" customFormat="1"/>
    <row r="1051" s="3" customFormat="1"/>
    <row r="1052" s="3" customFormat="1"/>
    <row r="1053" s="3" customFormat="1"/>
    <row r="1054" s="3" customFormat="1"/>
    <row r="1055" s="3" customFormat="1"/>
    <row r="1056" s="3" customFormat="1"/>
  </sheetData>
  <mergeCells count="57">
    <mergeCell ref="B3:T4"/>
    <mergeCell ref="Q6:R6"/>
    <mergeCell ref="Q33:R33"/>
    <mergeCell ref="S6:T6"/>
    <mergeCell ref="S33:T33"/>
    <mergeCell ref="O6:P6"/>
    <mergeCell ref="O33:P33"/>
    <mergeCell ref="K6:L6"/>
    <mergeCell ref="M6:N6"/>
    <mergeCell ref="B6:B7"/>
    <mergeCell ref="C6:D6"/>
    <mergeCell ref="E6:F6"/>
    <mergeCell ref="G6:H6"/>
    <mergeCell ref="I6:J6"/>
    <mergeCell ref="F102:G102"/>
    <mergeCell ref="F97:G97"/>
    <mergeCell ref="F98:G98"/>
    <mergeCell ref="F99:G99"/>
    <mergeCell ref="F100:G100"/>
    <mergeCell ref="F101:G101"/>
    <mergeCell ref="F95:G95"/>
    <mergeCell ref="F96:G96"/>
    <mergeCell ref="C90:D90"/>
    <mergeCell ref="E90:F90"/>
    <mergeCell ref="H90:I90"/>
    <mergeCell ref="F94:G94"/>
    <mergeCell ref="J90:K90"/>
    <mergeCell ref="L43:M43"/>
    <mergeCell ref="L44:M44"/>
    <mergeCell ref="L45:M45"/>
    <mergeCell ref="L46:M46"/>
    <mergeCell ref="L47:M47"/>
    <mergeCell ref="B59:K61"/>
    <mergeCell ref="B63:B64"/>
    <mergeCell ref="C63:D63"/>
    <mergeCell ref="E63:F63"/>
    <mergeCell ref="H63:I63"/>
    <mergeCell ref="J63:K63"/>
    <mergeCell ref="B56:K57"/>
    <mergeCell ref="L42:M42"/>
    <mergeCell ref="C33:D33"/>
    <mergeCell ref="E33:F33"/>
    <mergeCell ref="G33:H33"/>
    <mergeCell ref="I33:J33"/>
    <mergeCell ref="K33:L33"/>
    <mergeCell ref="L36:L37"/>
    <mergeCell ref="M36:O36"/>
    <mergeCell ref="M33:N33"/>
    <mergeCell ref="P36:P37"/>
    <mergeCell ref="G40:H40"/>
    <mergeCell ref="U6:Z6"/>
    <mergeCell ref="U32:U33"/>
    <mergeCell ref="V32:V33"/>
    <mergeCell ref="W32:W33"/>
    <mergeCell ref="X32:X33"/>
    <mergeCell ref="Y32:Y33"/>
    <mergeCell ref="Z32:Z33"/>
  </mergeCells>
  <conditionalFormatting sqref="L38:P38 B8:Z31">
    <cfRule type="expression" dxfId="57" priority="6" stopIfTrue="1">
      <formula>ISEVEN(ROW())</formula>
    </cfRule>
  </conditionalFormatting>
  <conditionalFormatting sqref="B65:B88">
    <cfRule type="expression" dxfId="56" priority="5" stopIfTrue="1">
      <formula>ISEVEN(ROW())</formula>
    </cfRule>
  </conditionalFormatting>
  <conditionalFormatting sqref="C65:D88">
    <cfRule type="expression" dxfId="55" priority="4" stopIfTrue="1">
      <formula>ISEVEN(ROW())</formula>
    </cfRule>
  </conditionalFormatting>
  <conditionalFormatting sqref="H65:I88">
    <cfRule type="expression" dxfId="54" priority="3" stopIfTrue="1">
      <formula>ISEVEN(ROW())</formula>
    </cfRule>
  </conditionalFormatting>
  <conditionalFormatting sqref="J65:K88">
    <cfRule type="expression" dxfId="53" priority="2" stopIfTrue="1">
      <formula>ISEVEN(ROW())</formula>
    </cfRule>
  </conditionalFormatting>
  <conditionalFormatting sqref="E65:F88">
    <cfRule type="expression" dxfId="52" priority="1" stopIfTrue="1">
      <formula>ISEVEN(ROW())</formula>
    </cfRule>
  </conditionalFormatting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8D0A52-8F53-0D45-8893-51E37ECABDDB}">
  <sheetPr codeName="Feuil2"/>
  <dimension ref="A1:AF26"/>
  <sheetViews>
    <sheetView workbookViewId="0">
      <selection activeCell="D13" sqref="D13"/>
    </sheetView>
    <sheetView workbookViewId="1"/>
  </sheetViews>
  <sheetFormatPr baseColWidth="10" defaultRowHeight="13"/>
  <cols>
    <col min="1" max="4" width="12.83203125" customWidth="1"/>
    <col min="5" max="5" width="17.6640625" customWidth="1"/>
    <col min="6" max="9" width="12.83203125" customWidth="1"/>
    <col min="10" max="10" width="31" bestFit="1" customWidth="1"/>
    <col min="11" max="20" width="12.83203125" customWidth="1"/>
    <col min="21" max="21" width="30.83203125" customWidth="1"/>
    <col min="22" max="22" width="0" hidden="1" customWidth="1"/>
    <col min="23" max="32" width="10.83203125" hidden="1" customWidth="1"/>
  </cols>
  <sheetData>
    <row r="1" spans="1:32" ht="18">
      <c r="A1" s="98" t="s">
        <v>444</v>
      </c>
      <c r="W1" t="s">
        <v>412</v>
      </c>
      <c r="X1" t="s">
        <v>415</v>
      </c>
      <c r="Y1" t="s">
        <v>419</v>
      </c>
      <c r="Z1" t="s">
        <v>420</v>
      </c>
      <c r="AA1" t="s">
        <v>426</v>
      </c>
      <c r="AB1" t="s">
        <v>429</v>
      </c>
      <c r="AC1" t="s">
        <v>438</v>
      </c>
      <c r="AD1" t="s">
        <v>440</v>
      </c>
      <c r="AE1" t="s">
        <v>460</v>
      </c>
      <c r="AF1" t="s">
        <v>469</v>
      </c>
    </row>
    <row r="2" spans="1:32">
      <c r="A2" t="s">
        <v>445</v>
      </c>
      <c r="B2" t="s">
        <v>7</v>
      </c>
      <c r="C2" t="s">
        <v>446</v>
      </c>
      <c r="D2" t="s">
        <v>447</v>
      </c>
      <c r="E2" t="s">
        <v>448</v>
      </c>
      <c r="F2" t="s">
        <v>449</v>
      </c>
      <c r="G2" t="s">
        <v>450</v>
      </c>
      <c r="H2" t="s">
        <v>451</v>
      </c>
      <c r="I2" t="s">
        <v>452</v>
      </c>
      <c r="J2" t="s">
        <v>453</v>
      </c>
      <c r="W2" t="s">
        <v>413</v>
      </c>
      <c r="X2" t="s">
        <v>416</v>
      </c>
      <c r="Y2" t="s">
        <v>416</v>
      </c>
      <c r="Z2" t="s">
        <v>421</v>
      </c>
      <c r="AA2" t="s">
        <v>427</v>
      </c>
      <c r="AB2" t="s">
        <v>430</v>
      </c>
      <c r="AC2">
        <v>2</v>
      </c>
      <c r="AD2" t="s">
        <v>441</v>
      </c>
      <c r="AE2" t="s">
        <v>461</v>
      </c>
      <c r="AF2" t="s">
        <v>470</v>
      </c>
    </row>
    <row r="3" spans="1:32">
      <c r="A3" s="82"/>
      <c r="W3" t="s">
        <v>414</v>
      </c>
      <c r="X3" t="s">
        <v>417</v>
      </c>
      <c r="Y3" t="s">
        <v>417</v>
      </c>
      <c r="Z3" t="s">
        <v>422</v>
      </c>
      <c r="AA3" t="s">
        <v>428</v>
      </c>
      <c r="AB3" t="s">
        <v>431</v>
      </c>
      <c r="AC3">
        <v>3</v>
      </c>
      <c r="AD3" t="s">
        <v>442</v>
      </c>
      <c r="AE3" s="99" t="s">
        <v>170</v>
      </c>
      <c r="AF3" t="s">
        <v>471</v>
      </c>
    </row>
    <row r="4" spans="1:32">
      <c r="A4" s="82"/>
      <c r="X4" t="s">
        <v>418</v>
      </c>
      <c r="Z4" t="s">
        <v>423</v>
      </c>
      <c r="AB4" t="s">
        <v>432</v>
      </c>
      <c r="AC4">
        <v>4</v>
      </c>
      <c r="AD4" t="s">
        <v>443</v>
      </c>
      <c r="AE4" t="s">
        <v>462</v>
      </c>
    </row>
    <row r="5" spans="1:32">
      <c r="A5" s="110" t="s">
        <v>221</v>
      </c>
      <c r="B5" s="111" t="s">
        <v>210</v>
      </c>
      <c r="C5" s="111" t="s">
        <v>144</v>
      </c>
      <c r="D5" s="111" t="s">
        <v>473</v>
      </c>
      <c r="Z5" t="s">
        <v>424</v>
      </c>
      <c r="AB5" t="s">
        <v>433</v>
      </c>
      <c r="AC5">
        <v>5</v>
      </c>
    </row>
    <row r="6" spans="1:32">
      <c r="A6" s="112" t="s">
        <v>142</v>
      </c>
      <c r="B6" s="113">
        <f>COUNTIFS(DetailTouches[Lance pour],"N",DetailTouches[Issue],"G")</f>
        <v>0</v>
      </c>
      <c r="C6" s="113">
        <f>COUNTIFS(DetailTouches[Lance pour],"N",DetailTouches[Issue],"P")</f>
        <v>0</v>
      </c>
      <c r="D6" s="113">
        <f>COUNTIFS(DetailTouches[Lance pour],"N",DetailTouches[Issue],"ND")</f>
        <v>0</v>
      </c>
      <c r="Z6" t="s">
        <v>425</v>
      </c>
      <c r="AB6" t="s">
        <v>434</v>
      </c>
      <c r="AC6">
        <v>6</v>
      </c>
    </row>
    <row r="7" spans="1:32">
      <c r="A7" s="108" t="s">
        <v>172</v>
      </c>
      <c r="B7" s="109">
        <f>COUNTIFS(DetailTouches[Lance pour],"E",DetailTouches[Issue],"P")</f>
        <v>0</v>
      </c>
      <c r="C7" s="109">
        <f>COUNTIFS(DetailTouches[Lance pour],"E",DetailTouches[Issue],"G")</f>
        <v>0</v>
      </c>
      <c r="D7" s="109">
        <f>COUNTIFS(DetailTouches[Lance pour],"E",DetailTouches[Issue],"ND")</f>
        <v>0</v>
      </c>
      <c r="AB7" t="s">
        <v>435</v>
      </c>
      <c r="AC7" t="s">
        <v>439</v>
      </c>
    </row>
    <row r="8" spans="1:32">
      <c r="AB8" t="s">
        <v>436</v>
      </c>
    </row>
    <row r="9" spans="1:32">
      <c r="AB9" t="s">
        <v>437</v>
      </c>
    </row>
    <row r="17" spans="1:10" ht="18">
      <c r="A17" s="98" t="s">
        <v>454</v>
      </c>
    </row>
    <row r="18" spans="1:10">
      <c r="A18" t="s">
        <v>445</v>
      </c>
      <c r="B18" t="s">
        <v>7</v>
      </c>
      <c r="C18" t="s">
        <v>472</v>
      </c>
      <c r="D18" t="s">
        <v>447</v>
      </c>
      <c r="E18" t="s">
        <v>455</v>
      </c>
      <c r="F18" t="s">
        <v>456</v>
      </c>
      <c r="G18" t="s">
        <v>457</v>
      </c>
      <c r="H18" t="s">
        <v>458</v>
      </c>
      <c r="I18" t="s">
        <v>459</v>
      </c>
      <c r="J18" t="s">
        <v>453</v>
      </c>
    </row>
    <row r="19" spans="1:10">
      <c r="A19" s="82"/>
      <c r="G19" s="96"/>
      <c r="H19" s="96"/>
      <c r="I19" s="96"/>
    </row>
    <row r="20" spans="1:10">
      <c r="A20" s="82"/>
      <c r="G20" s="96"/>
      <c r="H20" s="96"/>
      <c r="I20" s="96"/>
    </row>
    <row r="21" spans="1:10">
      <c r="A21" s="114" t="s">
        <v>474</v>
      </c>
      <c r="B21" s="115" t="s">
        <v>210</v>
      </c>
      <c r="C21" s="115" t="s">
        <v>144</v>
      </c>
      <c r="G21" s="96"/>
      <c r="H21" s="96"/>
      <c r="I21" s="96"/>
    </row>
    <row r="22" spans="1:10">
      <c r="A22" s="116" t="s">
        <v>142</v>
      </c>
      <c r="B22" s="117">
        <f>COUNTIFS(DetailMelees[Introduction pour],"N",DetailMelees[Issue],"G")</f>
        <v>0</v>
      </c>
      <c r="C22" s="117">
        <f>COUNTIFS(DetailMelees[Introduction pour],"N",DetailMelees[Issue],"P")</f>
        <v>0</v>
      </c>
      <c r="G22" s="96"/>
      <c r="H22" s="96"/>
      <c r="I22" s="96"/>
    </row>
    <row r="23" spans="1:10">
      <c r="A23" s="108" t="s">
        <v>172</v>
      </c>
      <c r="B23" s="109">
        <f>COUNTIFS(DetailMelees[Introduction pour],"E",DetailMelees[Issue],"P")</f>
        <v>0</v>
      </c>
      <c r="C23" s="109">
        <f>COUNTIFS(DetailMelees[Introduction pour],"E",DetailMelees[Issue],"G")</f>
        <v>0</v>
      </c>
      <c r="G23" s="96"/>
      <c r="H23" s="96"/>
      <c r="I23" s="96"/>
    </row>
    <row r="24" spans="1:10">
      <c r="G24" s="96"/>
      <c r="H24" s="96"/>
      <c r="I24" s="96"/>
    </row>
    <row r="25" spans="1:10">
      <c r="A25" s="271" t="s">
        <v>517</v>
      </c>
      <c r="B25" s="271"/>
    </row>
    <row r="26" spans="1:10">
      <c r="A26" s="271"/>
      <c r="B26" s="271"/>
    </row>
  </sheetData>
  <mergeCells count="1">
    <mergeCell ref="A25:B26"/>
  </mergeCells>
  <conditionalFormatting sqref="D3">
    <cfRule type="expression" dxfId="51" priority="1" stopIfTrue="1">
      <formula>($C3&amp;$D3)="NP"</formula>
    </cfRule>
    <cfRule type="expression" dxfId="50" priority="2" stopIfTrue="1">
      <formula>($C3&amp;$D3)="EG"</formula>
    </cfRule>
  </conditionalFormatting>
  <conditionalFormatting sqref="G3">
    <cfRule type="expression" dxfId="49" priority="3" stopIfTrue="1">
      <formula>$G3="F"</formula>
    </cfRule>
    <cfRule type="expression" dxfId="48" priority="4" stopIfTrue="1">
      <formula>$G3="C"</formula>
    </cfRule>
  </conditionalFormatting>
  <conditionalFormatting sqref="A3:J3">
    <cfRule type="expression" dxfId="47" priority="5" stopIfTrue="1">
      <formula>$C3="N"</formula>
    </cfRule>
    <cfRule type="expression" dxfId="46" priority="6" stopIfTrue="1">
      <formula>$C3&lt;&gt;""</formula>
    </cfRule>
  </conditionalFormatting>
  <conditionalFormatting sqref="D19">
    <cfRule type="expression" dxfId="45" priority="7" stopIfTrue="1">
      <formula>($C19&amp;$D19)="NP"</formula>
    </cfRule>
    <cfRule type="expression" dxfId="44" priority="8" stopIfTrue="1">
      <formula>($C19&amp;$D19)="EG"</formula>
    </cfRule>
  </conditionalFormatting>
  <conditionalFormatting sqref="A19:J19">
    <cfRule type="expression" dxfId="43" priority="9" stopIfTrue="1">
      <formula>$C19="N"</formula>
    </cfRule>
    <cfRule type="expression" dxfId="42" priority="10" stopIfTrue="1">
      <formula>$C19&lt;&gt;""</formula>
    </cfRule>
  </conditionalFormatting>
  <dataValidations count="2">
    <dataValidation type="list" allowBlank="1" showInputMessage="1" showErrorMessage="1" sqref="E24" xr:uid="{64A4C253-AEB6-0746-8088-408393901E28}">
      <formula1>$AB$2:$AB$9</formula1>
    </dataValidation>
    <dataValidation type="list" allowBlank="1" showInputMessage="1" showErrorMessage="1" sqref="F24" xr:uid="{5677D023-EFE8-D448-B8D6-30965607D817}">
      <formula1>$AD$2:$AD$4</formula1>
    </dataValidation>
  </dataValidations>
  <pageMargins left="0.7" right="0.7" top="0.75" bottom="0.75" header="0.3" footer="0.3"/>
  <tableParts count="2">
    <tablePart r:id="rId1"/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F46EB4-5276-3440-8B3E-59D95686BDAE}">
  <sheetPr codeName="shParametres"/>
  <dimension ref="A1:AA200"/>
  <sheetViews>
    <sheetView topLeftCell="M52" workbookViewId="0">
      <selection activeCell="Q65" sqref="Q65"/>
    </sheetView>
    <sheetView workbookViewId="1"/>
  </sheetViews>
  <sheetFormatPr baseColWidth="10" defaultRowHeight="13"/>
  <cols>
    <col min="1" max="1" width="24.6640625" customWidth="1"/>
    <col min="2" max="2" width="24.5" customWidth="1"/>
    <col min="3" max="3" width="14.6640625" customWidth="1"/>
    <col min="6" max="6" width="27.1640625" customWidth="1"/>
    <col min="7" max="7" width="9.33203125" customWidth="1"/>
    <col min="9" max="9" width="27.6640625" customWidth="1"/>
    <col min="11" max="11" width="28.5" customWidth="1"/>
    <col min="14" max="14" width="20.5" customWidth="1"/>
    <col min="17" max="17" width="28.83203125" bestFit="1" customWidth="1"/>
    <col min="18" max="18" width="31.33203125" customWidth="1"/>
    <col min="27" max="27" width="0" hidden="1" customWidth="1"/>
  </cols>
  <sheetData>
    <row r="1" spans="1:27" ht="30" customHeight="1">
      <c r="A1" t="s">
        <v>66</v>
      </c>
      <c r="C1" s="15" t="s">
        <v>187</v>
      </c>
      <c r="D1" s="15"/>
      <c r="F1" s="22" t="s">
        <v>110</v>
      </c>
      <c r="G1" s="23" t="s">
        <v>111</v>
      </c>
      <c r="I1" s="24" t="s">
        <v>116</v>
      </c>
      <c r="K1" s="76" t="s">
        <v>114</v>
      </c>
      <c r="N1" t="s">
        <v>152</v>
      </c>
      <c r="Q1" s="24" t="s">
        <v>77</v>
      </c>
      <c r="R1" s="24" t="s">
        <v>117</v>
      </c>
      <c r="AA1" t="s">
        <v>483</v>
      </c>
    </row>
    <row r="2" spans="1:27" ht="30" customHeight="1">
      <c r="C2" s="19" t="s">
        <v>177</v>
      </c>
      <c r="D2" s="19"/>
      <c r="F2" s="17" t="s">
        <v>100</v>
      </c>
      <c r="G2" s="10"/>
      <c r="I2" s="18" t="s">
        <v>47</v>
      </c>
      <c r="K2" s="124" t="s">
        <v>480</v>
      </c>
      <c r="N2" t="s">
        <v>153</v>
      </c>
      <c r="Q2" s="18" t="s">
        <v>78</v>
      </c>
      <c r="R2" s="18" t="s">
        <v>8</v>
      </c>
      <c r="AA2" t="s">
        <v>480</v>
      </c>
    </row>
    <row r="3" spans="1:27" ht="30" customHeight="1">
      <c r="C3" s="19" t="s">
        <v>186</v>
      </c>
      <c r="D3" s="19"/>
      <c r="F3" s="20" t="s">
        <v>101</v>
      </c>
      <c r="G3" s="4"/>
      <c r="I3" s="25" t="s">
        <v>113</v>
      </c>
      <c r="K3" s="124" t="s">
        <v>492</v>
      </c>
      <c r="N3" t="s">
        <v>169</v>
      </c>
      <c r="Q3" s="21" t="s">
        <v>79</v>
      </c>
      <c r="R3" s="21" t="s">
        <v>57</v>
      </c>
      <c r="AA3" t="s">
        <v>495</v>
      </c>
    </row>
    <row r="4" spans="1:27" ht="30" customHeight="1">
      <c r="C4" s="19" t="s">
        <v>188</v>
      </c>
      <c r="D4" s="19"/>
      <c r="F4" s="17" t="s">
        <v>102</v>
      </c>
      <c r="G4" s="5"/>
      <c r="K4" s="124" t="s">
        <v>482</v>
      </c>
      <c r="Q4" s="18" t="s">
        <v>80</v>
      </c>
      <c r="R4" s="18" t="s">
        <v>9</v>
      </c>
      <c r="AA4" t="s">
        <v>484</v>
      </c>
    </row>
    <row r="5" spans="1:27" ht="30" customHeight="1">
      <c r="C5" s="19"/>
      <c r="D5" s="19"/>
      <c r="F5" s="20" t="s">
        <v>103</v>
      </c>
      <c r="G5" s="6"/>
      <c r="I5" s="24" t="s">
        <v>115</v>
      </c>
      <c r="K5" s="124" t="s">
        <v>509</v>
      </c>
      <c r="Q5" s="21" t="s">
        <v>81</v>
      </c>
      <c r="R5" s="21" t="s">
        <v>82</v>
      </c>
      <c r="AA5" t="s">
        <v>482</v>
      </c>
    </row>
    <row r="6" spans="1:27" ht="30" customHeight="1">
      <c r="C6" s="19" t="s">
        <v>189</v>
      </c>
      <c r="D6" s="19"/>
      <c r="F6" s="17" t="s">
        <v>105</v>
      </c>
      <c r="G6" s="7"/>
      <c r="I6" s="18" t="s">
        <v>46</v>
      </c>
      <c r="K6" s="124" t="s">
        <v>483</v>
      </c>
      <c r="Q6" s="18" t="s">
        <v>83</v>
      </c>
      <c r="R6" s="18" t="s">
        <v>84</v>
      </c>
      <c r="AA6" t="s">
        <v>493</v>
      </c>
    </row>
    <row r="7" spans="1:27" ht="30" customHeight="1">
      <c r="C7" s="19" t="s">
        <v>178</v>
      </c>
      <c r="D7" s="19"/>
      <c r="F7" s="20" t="s">
        <v>104</v>
      </c>
      <c r="G7" s="14"/>
      <c r="I7" s="25" t="s">
        <v>44</v>
      </c>
      <c r="K7" s="124" t="s">
        <v>510</v>
      </c>
      <c r="Q7" s="21" t="s">
        <v>85</v>
      </c>
      <c r="R7" s="21" t="s">
        <v>60</v>
      </c>
      <c r="AA7" t="s">
        <v>487</v>
      </c>
    </row>
    <row r="8" spans="1:27" ht="30" customHeight="1">
      <c r="C8" s="19" t="s">
        <v>190</v>
      </c>
      <c r="D8" s="19"/>
      <c r="F8" s="17" t="s">
        <v>106</v>
      </c>
      <c r="G8" s="2"/>
      <c r="K8" s="124" t="s">
        <v>493</v>
      </c>
      <c r="Q8" s="18" t="s">
        <v>86</v>
      </c>
      <c r="R8" s="18" t="s">
        <v>58</v>
      </c>
      <c r="AA8" t="s">
        <v>494</v>
      </c>
    </row>
    <row r="9" spans="1:27" s="15" customFormat="1" ht="30" customHeight="1">
      <c r="C9" s="19" t="s">
        <v>191</v>
      </c>
      <c r="D9" s="19"/>
      <c r="F9" s="20" t="s">
        <v>107</v>
      </c>
      <c r="G9" s="8"/>
      <c r="K9" s="124" t="s">
        <v>484</v>
      </c>
      <c r="Q9" s="21" t="s">
        <v>87</v>
      </c>
      <c r="R9" s="21" t="s">
        <v>61</v>
      </c>
      <c r="AA9" s="15" t="s">
        <v>486</v>
      </c>
    </row>
    <row r="10" spans="1:27" ht="30" customHeight="1">
      <c r="C10" s="19" t="s">
        <v>388</v>
      </c>
      <c r="D10" s="19"/>
      <c r="F10" s="17" t="s">
        <v>108</v>
      </c>
      <c r="G10" s="119"/>
      <c r="I10" s="45" t="s">
        <v>213</v>
      </c>
      <c r="K10" s="124" t="s">
        <v>485</v>
      </c>
      <c r="Q10" s="18" t="s">
        <v>88</v>
      </c>
      <c r="R10" s="18" t="s">
        <v>59</v>
      </c>
      <c r="AA10" t="s">
        <v>481</v>
      </c>
    </row>
    <row r="11" spans="1:27" s="15" customFormat="1" ht="30" customHeight="1">
      <c r="D11" s="19"/>
      <c r="F11" s="20" t="s">
        <v>244</v>
      </c>
      <c r="G11" s="83"/>
      <c r="K11" s="124" t="s">
        <v>486</v>
      </c>
      <c r="Q11" s="21" t="s">
        <v>89</v>
      </c>
      <c r="R11" s="21" t="s">
        <v>62</v>
      </c>
      <c r="AA11" s="15" t="s">
        <v>509</v>
      </c>
    </row>
    <row r="12" spans="1:27" ht="30" customHeight="1">
      <c r="C12" s="19" t="s">
        <v>192</v>
      </c>
      <c r="D12" s="19"/>
      <c r="F12" s="17" t="s">
        <v>245</v>
      </c>
      <c r="G12" s="84"/>
      <c r="K12" s="124" t="s">
        <v>487</v>
      </c>
      <c r="Q12" s="21" t="s">
        <v>219</v>
      </c>
      <c r="R12" s="21" t="s">
        <v>220</v>
      </c>
      <c r="AA12" t="s">
        <v>511</v>
      </c>
    </row>
    <row r="13" spans="1:27" s="15" customFormat="1" ht="30" customHeight="1">
      <c r="C13" s="19" t="s">
        <v>179</v>
      </c>
      <c r="D13" s="19"/>
      <c r="F13" s="20" t="s">
        <v>246</v>
      </c>
      <c r="G13" s="120"/>
      <c r="K13" s="124" t="s">
        <v>488</v>
      </c>
      <c r="Q13" s="20" t="s">
        <v>174</v>
      </c>
      <c r="R13" s="65" t="s">
        <v>160</v>
      </c>
      <c r="AA13" s="15" t="s">
        <v>490</v>
      </c>
    </row>
    <row r="14" spans="1:27" ht="30" customHeight="1">
      <c r="C14" s="19" t="s">
        <v>193</v>
      </c>
      <c r="D14" s="19"/>
      <c r="F14" s="20"/>
      <c r="G14" s="15"/>
      <c r="I14" s="16" t="s">
        <v>123</v>
      </c>
      <c r="K14" s="124" t="s">
        <v>489</v>
      </c>
      <c r="Q14" s="20" t="s">
        <v>173</v>
      </c>
      <c r="R14" s="65" t="s">
        <v>161</v>
      </c>
      <c r="AA14" t="s">
        <v>489</v>
      </c>
    </row>
    <row r="15" spans="1:27" s="15" customFormat="1" ht="30" customHeight="1">
      <c r="C15" s="19" t="s">
        <v>194</v>
      </c>
      <c r="D15" s="19"/>
      <c r="F15" s="17" t="s">
        <v>109</v>
      </c>
      <c r="G15" s="9"/>
      <c r="I15" s="15" t="s">
        <v>119</v>
      </c>
      <c r="K15" s="124" t="s">
        <v>490</v>
      </c>
      <c r="Q15" s="20" t="s">
        <v>90</v>
      </c>
      <c r="R15" s="65" t="s">
        <v>52</v>
      </c>
      <c r="AA15" s="15" t="s">
        <v>488</v>
      </c>
    </row>
    <row r="16" spans="1:27" ht="30" customHeight="1">
      <c r="C16" s="19"/>
      <c r="D16" s="19"/>
      <c r="I16" s="15" t="s">
        <v>120</v>
      </c>
      <c r="K16" s="124" t="s">
        <v>491</v>
      </c>
      <c r="Q16" s="20" t="s">
        <v>91</v>
      </c>
      <c r="R16" s="65" t="s">
        <v>63</v>
      </c>
      <c r="AA16" t="s">
        <v>479</v>
      </c>
    </row>
    <row r="17" spans="3:27" s="15" customFormat="1" ht="30" customHeight="1">
      <c r="C17" s="19" t="s">
        <v>201</v>
      </c>
      <c r="D17" s="19"/>
      <c r="F17" s="15" t="s">
        <v>477</v>
      </c>
      <c r="G17" s="148"/>
      <c r="I17" s="15" t="s">
        <v>121</v>
      </c>
      <c r="K17" s="124" t="s">
        <v>481</v>
      </c>
      <c r="Q17" s="20" t="s">
        <v>92</v>
      </c>
      <c r="R17" s="65" t="s">
        <v>64</v>
      </c>
      <c r="AA17" s="15" t="s">
        <v>485</v>
      </c>
    </row>
    <row r="18" spans="3:27" ht="30" customHeight="1">
      <c r="C18" s="19" t="s">
        <v>202</v>
      </c>
      <c r="D18" s="19"/>
      <c r="F18" s="15" t="s">
        <v>478</v>
      </c>
      <c r="G18" s="147"/>
      <c r="I18" s="15" t="s">
        <v>122</v>
      </c>
      <c r="K18" s="124" t="s">
        <v>511</v>
      </c>
      <c r="Q18" s="20" t="s">
        <v>93</v>
      </c>
      <c r="R18" s="65" t="s">
        <v>65</v>
      </c>
      <c r="AA18" t="s">
        <v>510</v>
      </c>
    </row>
    <row r="19" spans="3:27" ht="30" customHeight="1">
      <c r="C19" s="19" t="s">
        <v>203</v>
      </c>
      <c r="D19" s="19"/>
      <c r="F19" s="15"/>
      <c r="I19" s="15" t="s">
        <v>215</v>
      </c>
      <c r="K19" s="124" t="s">
        <v>512</v>
      </c>
      <c r="Q19" s="20" t="s">
        <v>94</v>
      </c>
      <c r="R19" s="65" t="s">
        <v>56</v>
      </c>
      <c r="AA19" t="s">
        <v>492</v>
      </c>
    </row>
    <row r="20" spans="3:27" ht="30" customHeight="1">
      <c r="C20" s="19" t="s">
        <v>204</v>
      </c>
      <c r="D20" s="19"/>
      <c r="I20" s="15" t="s">
        <v>216</v>
      </c>
      <c r="K20" s="124" t="s">
        <v>479</v>
      </c>
      <c r="Q20" s="20" t="s">
        <v>95</v>
      </c>
      <c r="R20" s="65" t="s">
        <v>53</v>
      </c>
      <c r="AA20" t="s">
        <v>491</v>
      </c>
    </row>
    <row r="21" spans="3:27" ht="30" customHeight="1">
      <c r="C21" s="19" t="s">
        <v>205</v>
      </c>
      <c r="D21" s="19"/>
      <c r="K21" s="124" t="s">
        <v>495</v>
      </c>
      <c r="Q21" s="20" t="s">
        <v>96</v>
      </c>
      <c r="R21" s="65" t="s">
        <v>54</v>
      </c>
      <c r="AA21" t="s">
        <v>513</v>
      </c>
    </row>
    <row r="22" spans="3:27" ht="30" customHeight="1">
      <c r="C22" s="19"/>
      <c r="D22" s="19"/>
      <c r="K22" s="124" t="s">
        <v>494</v>
      </c>
      <c r="Q22" s="20" t="s">
        <v>97</v>
      </c>
      <c r="R22" s="65" t="s">
        <v>49</v>
      </c>
      <c r="AA22" t="s">
        <v>512</v>
      </c>
    </row>
    <row r="23" spans="3:27" ht="30" customHeight="1">
      <c r="C23" s="19"/>
      <c r="D23" s="19"/>
      <c r="K23" s="124" t="s">
        <v>513</v>
      </c>
      <c r="Q23" s="20" t="s">
        <v>98</v>
      </c>
      <c r="R23" s="65" t="s">
        <v>50</v>
      </c>
      <c r="AA23" t="s">
        <v>42</v>
      </c>
    </row>
    <row r="24" spans="3:27" ht="30" customHeight="1">
      <c r="C24" s="19"/>
      <c r="D24" s="19"/>
      <c r="K24" s="124" t="s">
        <v>42</v>
      </c>
      <c r="Q24" s="20" t="s">
        <v>99</v>
      </c>
      <c r="R24" s="65" t="s">
        <v>37</v>
      </c>
      <c r="AA24" t="s">
        <v>32</v>
      </c>
    </row>
    <row r="25" spans="3:27" ht="30" customHeight="1">
      <c r="K25" s="124" t="s">
        <v>32</v>
      </c>
      <c r="Q25" s="20" t="s">
        <v>130</v>
      </c>
      <c r="R25" s="65" t="s">
        <v>132</v>
      </c>
    </row>
    <row r="26" spans="3:27" ht="30" customHeight="1">
      <c r="Q26" s="20" t="s">
        <v>131</v>
      </c>
      <c r="R26" s="65" t="s">
        <v>133</v>
      </c>
    </row>
    <row r="27" spans="3:27" ht="30" customHeight="1">
      <c r="K27" s="16" t="s">
        <v>408</v>
      </c>
      <c r="Q27" s="20" t="s">
        <v>134</v>
      </c>
      <c r="R27" s="65" t="s">
        <v>135</v>
      </c>
    </row>
    <row r="28" spans="3:27" ht="30" customHeight="1">
      <c r="K28" t="s">
        <v>409</v>
      </c>
      <c r="Q28" s="20" t="s">
        <v>136</v>
      </c>
      <c r="R28" s="65" t="s">
        <v>137</v>
      </c>
    </row>
    <row r="29" spans="3:27" ht="30" customHeight="1">
      <c r="K29" t="s">
        <v>410</v>
      </c>
      <c r="Q29" s="20" t="s">
        <v>138</v>
      </c>
      <c r="R29" s="65" t="s">
        <v>10</v>
      </c>
    </row>
    <row r="30" spans="3:27" ht="30" customHeight="1">
      <c r="Q30" s="20" t="s">
        <v>139</v>
      </c>
      <c r="R30" s="65" t="s">
        <v>140</v>
      </c>
    </row>
    <row r="31" spans="3:27" ht="30" customHeight="1">
      <c r="Q31" s="20" t="s">
        <v>159</v>
      </c>
      <c r="R31" s="65" t="s">
        <v>154</v>
      </c>
    </row>
    <row r="32" spans="3:27" ht="30" customHeight="1">
      <c r="Q32" s="20" t="s">
        <v>162</v>
      </c>
      <c r="R32" s="65" t="s">
        <v>155</v>
      </c>
    </row>
    <row r="33" spans="17:18" ht="30" customHeight="1">
      <c r="Q33" s="20" t="s">
        <v>163</v>
      </c>
      <c r="R33" s="65" t="s">
        <v>156</v>
      </c>
    </row>
    <row r="34" spans="17:18" ht="30" customHeight="1">
      <c r="Q34" s="20" t="s">
        <v>164</v>
      </c>
      <c r="R34" s="65" t="s">
        <v>82</v>
      </c>
    </row>
    <row r="35" spans="17:18" ht="30" customHeight="1">
      <c r="Q35" s="20" t="s">
        <v>165</v>
      </c>
      <c r="R35" s="65" t="s">
        <v>84</v>
      </c>
    </row>
    <row r="36" spans="17:18" ht="30" customHeight="1">
      <c r="Q36" s="20" t="s">
        <v>168</v>
      </c>
      <c r="R36" s="65" t="s">
        <v>32</v>
      </c>
    </row>
    <row r="37" spans="17:18" ht="30" customHeight="1">
      <c r="Q37" s="25" t="s">
        <v>217</v>
      </c>
      <c r="R37" s="25" t="s">
        <v>218</v>
      </c>
    </row>
    <row r="38" spans="17:18" ht="30" customHeight="1">
      <c r="Q38" s="21" t="s">
        <v>223</v>
      </c>
      <c r="R38" s="21" t="s">
        <v>224</v>
      </c>
    </row>
    <row r="39" spans="17:18" ht="30" customHeight="1">
      <c r="Q39" s="21" t="s">
        <v>225</v>
      </c>
      <c r="R39" s="21" t="s">
        <v>226</v>
      </c>
    </row>
    <row r="40" spans="17:18" ht="30" customHeight="1">
      <c r="Q40" s="21" t="s">
        <v>227</v>
      </c>
      <c r="R40" s="21" t="s">
        <v>228</v>
      </c>
    </row>
    <row r="41" spans="17:18" ht="30" customHeight="1">
      <c r="Q41" s="25" t="s">
        <v>229</v>
      </c>
      <c r="R41" s="25" t="s">
        <v>230</v>
      </c>
    </row>
    <row r="42" spans="17:18" ht="30" customHeight="1">
      <c r="Q42" s="25" t="s">
        <v>247</v>
      </c>
      <c r="R42" s="25" t="s">
        <v>248</v>
      </c>
    </row>
    <row r="43" spans="17:18" ht="30" customHeight="1">
      <c r="Q43" s="25" t="s">
        <v>249</v>
      </c>
      <c r="R43" s="25" t="s">
        <v>250</v>
      </c>
    </row>
    <row r="44" spans="17:18" ht="30" customHeight="1">
      <c r="Q44" s="25" t="s">
        <v>251</v>
      </c>
      <c r="R44" s="25" t="s">
        <v>252</v>
      </c>
    </row>
    <row r="45" spans="17:18" ht="30" customHeight="1">
      <c r="Q45" s="25" t="s">
        <v>253</v>
      </c>
      <c r="R45" s="25" t="s">
        <v>259</v>
      </c>
    </row>
    <row r="46" spans="17:18" ht="30" customHeight="1">
      <c r="Q46" s="25" t="s">
        <v>254</v>
      </c>
      <c r="R46" s="25" t="s">
        <v>260</v>
      </c>
    </row>
    <row r="47" spans="17:18" ht="30" customHeight="1">
      <c r="Q47" s="25" t="s">
        <v>255</v>
      </c>
      <c r="R47" s="25" t="s">
        <v>261</v>
      </c>
    </row>
    <row r="48" spans="17:18" ht="30" customHeight="1">
      <c r="Q48" s="25" t="s">
        <v>256</v>
      </c>
      <c r="R48" s="25" t="s">
        <v>262</v>
      </c>
    </row>
    <row r="49" spans="17:18" ht="30" customHeight="1">
      <c r="Q49" s="25" t="s">
        <v>257</v>
      </c>
      <c r="R49" s="25" t="s">
        <v>263</v>
      </c>
    </row>
    <row r="50" spans="17:18" ht="30" customHeight="1">
      <c r="Q50" s="25" t="s">
        <v>258</v>
      </c>
      <c r="R50" s="25" t="s">
        <v>264</v>
      </c>
    </row>
    <row r="51" spans="17:18" ht="30" customHeight="1">
      <c r="Q51" s="21" t="s">
        <v>396</v>
      </c>
      <c r="R51" s="21" t="s">
        <v>399</v>
      </c>
    </row>
    <row r="52" spans="17:18" ht="30" customHeight="1">
      <c r="Q52" s="25" t="s">
        <v>397</v>
      </c>
      <c r="R52" s="25" t="s">
        <v>398</v>
      </c>
    </row>
    <row r="53" spans="17:18" ht="30" customHeight="1">
      <c r="Q53" s="25" t="s">
        <v>403</v>
      </c>
      <c r="R53" s="25" t="s">
        <v>406</v>
      </c>
    </row>
    <row r="54" spans="17:18" ht="30" customHeight="1">
      <c r="Q54" s="25" t="s">
        <v>404</v>
      </c>
      <c r="R54" s="25" t="s">
        <v>405</v>
      </c>
    </row>
    <row r="55" spans="17:18" ht="30" customHeight="1">
      <c r="Q55" s="166" t="s">
        <v>500</v>
      </c>
      <c r="R55" s="166" t="s">
        <v>502</v>
      </c>
    </row>
    <row r="56" spans="17:18" ht="30" customHeight="1">
      <c r="Q56" s="167" t="s">
        <v>501</v>
      </c>
      <c r="R56" s="167" t="s">
        <v>503</v>
      </c>
    </row>
    <row r="57" spans="17:18" ht="30" customHeight="1">
      <c r="Q57" s="21" t="s">
        <v>555</v>
      </c>
      <c r="R57" s="21" t="s">
        <v>556</v>
      </c>
    </row>
    <row r="58" spans="17:18" ht="30" customHeight="1">
      <c r="Q58" s="21" t="s">
        <v>557</v>
      </c>
      <c r="R58" s="21" t="s">
        <v>558</v>
      </c>
    </row>
    <row r="59" spans="17:18" ht="30" customHeight="1">
      <c r="Q59" s="21" t="s">
        <v>559</v>
      </c>
      <c r="R59" s="21" t="s">
        <v>560</v>
      </c>
    </row>
    <row r="60" spans="17:18" ht="30" customHeight="1">
      <c r="Q60" s="21" t="s">
        <v>561</v>
      </c>
      <c r="R60" s="21" t="s">
        <v>562</v>
      </c>
    </row>
    <row r="61" spans="17:18" ht="30" customHeight="1">
      <c r="Q61" s="21" t="s">
        <v>563</v>
      </c>
      <c r="R61" s="21" t="s">
        <v>564</v>
      </c>
    </row>
    <row r="62" spans="17:18" ht="30" customHeight="1">
      <c r="Q62" s="21" t="s">
        <v>565</v>
      </c>
      <c r="R62" s="21" t="s">
        <v>566</v>
      </c>
    </row>
    <row r="63" spans="17:18" ht="30" customHeight="1">
      <c r="Q63" s="21" t="s">
        <v>567</v>
      </c>
      <c r="R63" s="21" t="s">
        <v>568</v>
      </c>
    </row>
    <row r="64" spans="17:18" ht="30" customHeight="1">
      <c r="Q64" s="25" t="s">
        <v>569</v>
      </c>
      <c r="R64" s="25" t="s">
        <v>570</v>
      </c>
    </row>
    <row r="65" spans="17:18" ht="30" customHeight="1">
      <c r="Q65" s="25" t="s">
        <v>631</v>
      </c>
      <c r="R65" s="25" t="s">
        <v>632</v>
      </c>
    </row>
    <row r="66" spans="17:18" ht="30" customHeight="1">
      <c r="Q66" s="25" t="s">
        <v>633</v>
      </c>
      <c r="R66" s="25" t="s">
        <v>634</v>
      </c>
    </row>
    <row r="67" spans="17:18" ht="30" customHeight="1">
      <c r="Q67" s="25" t="s">
        <v>635</v>
      </c>
      <c r="R67" s="25" t="s">
        <v>636</v>
      </c>
    </row>
    <row r="68" spans="17:18" ht="30" customHeight="1">
      <c r="Q68" s="25" t="s">
        <v>637</v>
      </c>
      <c r="R68" s="25" t="s">
        <v>638</v>
      </c>
    </row>
    <row r="69" spans="17:18" ht="30" customHeight="1">
      <c r="Q69" s="25" t="s">
        <v>639</v>
      </c>
      <c r="R69" s="25" t="s">
        <v>640</v>
      </c>
    </row>
    <row r="70" spans="17:18" ht="30" customHeight="1">
      <c r="Q70" s="25" t="s">
        <v>641</v>
      </c>
      <c r="R70" s="25" t="s">
        <v>642</v>
      </c>
    </row>
    <row r="71" spans="17:18" ht="30" customHeight="1"/>
    <row r="72" spans="17:18" ht="30" customHeight="1"/>
    <row r="73" spans="17:18" ht="30" customHeight="1"/>
    <row r="74" spans="17:18" ht="30" customHeight="1"/>
    <row r="75" spans="17:18" ht="30" customHeight="1"/>
    <row r="76" spans="17:18" ht="30" customHeight="1"/>
    <row r="77" spans="17:18" ht="30" customHeight="1"/>
    <row r="78" spans="17:18" ht="30" customHeight="1"/>
    <row r="79" spans="17:18" ht="30" customHeight="1"/>
    <row r="80" spans="17:18" ht="30" customHeight="1"/>
    <row r="81" ht="30" customHeight="1"/>
    <row r="82" ht="30" customHeight="1"/>
    <row r="83" ht="30" customHeight="1"/>
    <row r="84" ht="30" customHeight="1"/>
    <row r="85" ht="30" customHeight="1"/>
    <row r="86" ht="30" customHeight="1"/>
    <row r="87" ht="30" customHeight="1"/>
    <row r="88" ht="30" customHeight="1"/>
    <row r="89" ht="30" customHeight="1"/>
    <row r="90" ht="30" customHeight="1"/>
    <row r="91" ht="30" customHeight="1"/>
    <row r="92" ht="30" customHeight="1"/>
    <row r="93" ht="30" customHeight="1"/>
    <row r="94" ht="30" customHeight="1"/>
    <row r="95" ht="30" customHeight="1"/>
    <row r="96" ht="30" customHeight="1"/>
    <row r="97" ht="30" customHeight="1"/>
    <row r="98" ht="30" customHeight="1"/>
    <row r="99" ht="30" customHeight="1"/>
    <row r="100" ht="30" customHeight="1"/>
    <row r="101" ht="30" customHeight="1"/>
    <row r="102" ht="30" customHeight="1"/>
    <row r="103" ht="30" customHeight="1"/>
    <row r="104" ht="30" customHeight="1"/>
    <row r="105" ht="30" customHeight="1"/>
    <row r="106" ht="30" customHeight="1"/>
    <row r="107" ht="30" customHeight="1"/>
    <row r="108" ht="30" customHeight="1"/>
    <row r="109" ht="30" customHeight="1"/>
    <row r="110" ht="30" customHeight="1"/>
    <row r="111" ht="30" customHeight="1"/>
    <row r="112" ht="30" customHeight="1"/>
    <row r="113" ht="30" customHeight="1"/>
    <row r="114" ht="30" customHeight="1"/>
    <row r="115" ht="30" customHeight="1"/>
    <row r="116" ht="30" customHeight="1"/>
    <row r="117" ht="30" customHeight="1"/>
    <row r="118" ht="30" customHeight="1"/>
    <row r="119" ht="30" customHeight="1"/>
    <row r="120" ht="30" customHeight="1"/>
    <row r="121" ht="30" customHeight="1"/>
    <row r="122" ht="30" customHeight="1"/>
    <row r="123" ht="30" customHeight="1"/>
    <row r="124" ht="30" customHeight="1"/>
    <row r="125" ht="30" customHeight="1"/>
    <row r="126" ht="30" customHeight="1"/>
    <row r="127" ht="30" customHeight="1"/>
    <row r="128" ht="30" customHeight="1"/>
    <row r="129" ht="30" customHeight="1"/>
    <row r="130" ht="30" customHeight="1"/>
    <row r="131" ht="30" customHeight="1"/>
    <row r="132" ht="30" customHeight="1"/>
    <row r="133" ht="30" customHeight="1"/>
    <row r="134" ht="30" customHeight="1"/>
    <row r="135" ht="30" customHeight="1"/>
    <row r="136" ht="30" customHeight="1"/>
    <row r="137" ht="30" customHeight="1"/>
    <row r="138" ht="30" customHeight="1"/>
    <row r="139" ht="30" customHeight="1"/>
    <row r="140" ht="30" customHeight="1"/>
    <row r="141" ht="30" customHeight="1"/>
    <row r="142" ht="30" customHeight="1"/>
    <row r="143" ht="30" customHeight="1"/>
    <row r="144" ht="30" customHeight="1"/>
    <row r="145" ht="30" customHeight="1"/>
    <row r="146" ht="30" customHeight="1"/>
    <row r="147" ht="30" customHeight="1"/>
    <row r="148" ht="30" customHeight="1"/>
    <row r="149" ht="30" customHeight="1"/>
    <row r="150" ht="30" customHeight="1"/>
    <row r="151" ht="30" customHeight="1"/>
    <row r="152" ht="30" customHeight="1"/>
    <row r="153" ht="30" customHeight="1"/>
    <row r="154" ht="30" customHeight="1"/>
    <row r="155" ht="30" customHeight="1"/>
    <row r="156" ht="30" customHeight="1"/>
    <row r="157" ht="30" customHeight="1"/>
    <row r="158" ht="30" customHeight="1"/>
    <row r="159" ht="30" customHeight="1"/>
    <row r="160" ht="30" customHeight="1"/>
    <row r="161" ht="30" customHeight="1"/>
    <row r="162" ht="30" customHeight="1"/>
    <row r="163" ht="30" customHeight="1"/>
    <row r="164" ht="30" customHeight="1"/>
    <row r="165" ht="30" customHeight="1"/>
    <row r="166" ht="30" customHeight="1"/>
    <row r="167" ht="30" customHeight="1"/>
    <row r="168" ht="30" customHeight="1"/>
    <row r="169" ht="30" customHeight="1"/>
    <row r="170" ht="30" customHeight="1"/>
    <row r="171" ht="30" customHeight="1"/>
    <row r="172" ht="30" customHeight="1"/>
    <row r="173" ht="30" customHeight="1"/>
    <row r="174" ht="30" customHeight="1"/>
    <row r="175" ht="30" customHeight="1"/>
    <row r="176" ht="30" customHeight="1"/>
    <row r="177" ht="30" customHeight="1"/>
    <row r="178" ht="30" customHeight="1"/>
    <row r="179" ht="30" customHeight="1"/>
    <row r="180" ht="30" customHeight="1"/>
    <row r="181" ht="30" customHeight="1"/>
    <row r="182" ht="30" customHeight="1"/>
    <row r="183" ht="30" customHeight="1"/>
    <row r="184" ht="30" customHeight="1"/>
    <row r="185" ht="30" customHeight="1"/>
    <row r="186" ht="30" customHeight="1"/>
    <row r="187" ht="30" customHeight="1"/>
    <row r="188" ht="30" customHeight="1"/>
    <row r="189" ht="30" customHeight="1"/>
    <row r="190" ht="30" customHeight="1"/>
    <row r="191" ht="30" customHeight="1"/>
    <row r="192" ht="30" customHeight="1"/>
    <row r="193" ht="30" customHeight="1"/>
    <row r="194" ht="30" customHeight="1"/>
    <row r="195" ht="30" customHeight="1"/>
    <row r="196" ht="30" customHeight="1"/>
    <row r="197" ht="30" customHeight="1"/>
    <row r="198" ht="30" customHeight="1"/>
    <row r="199" ht="30" customHeight="1"/>
    <row r="200" ht="30" customHeight="1"/>
  </sheetData>
  <phoneticPr fontId="17" type="noConversion"/>
  <pageMargins left="0.7" right="0.7" top="0.75" bottom="0.75" header="0.3" footer="0.3"/>
  <pageSetup paperSize="9" orientation="portrait" horizontalDpi="0" verticalDpi="0"/>
  <tableParts count="11">
    <tablePart r:id="rId1"/>
    <tablePart r:id="rId2"/>
    <tablePart r:id="rId3"/>
    <tablePart r:id="rId4"/>
    <tablePart r:id="rId5"/>
    <tablePart r:id="rId6"/>
    <tablePart r:id="rId7"/>
    <tablePart r:id="rId8"/>
    <tablePart r:id="rId9"/>
    <tablePart r:id="rId10"/>
    <tablePart r:id="rId1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C2272C-795E-A84B-BAA9-7FD18E9D0291}">
  <sheetPr codeName="Feuil7"/>
  <dimension ref="C5:G13"/>
  <sheetViews>
    <sheetView workbookViewId="0">
      <selection activeCell="D11" sqref="D11"/>
    </sheetView>
    <sheetView workbookViewId="1"/>
  </sheetViews>
  <sheetFormatPr baseColWidth="10" defaultColWidth="10.83203125" defaultRowHeight="13"/>
  <cols>
    <col min="1" max="3" width="10.83203125" style="3"/>
    <col min="4" max="4" width="27" style="3" customWidth="1"/>
    <col min="5" max="5" width="4.5" style="3" customWidth="1"/>
    <col min="6" max="6" width="7.5" style="3" customWidth="1"/>
    <col min="7" max="7" width="2.6640625" style="3" customWidth="1"/>
    <col min="8" max="16384" width="10.83203125" style="3"/>
  </cols>
  <sheetData>
    <row r="5" spans="3:7" ht="20">
      <c r="C5" s="272" t="s">
        <v>76</v>
      </c>
      <c r="D5" s="272"/>
      <c r="E5" s="272"/>
      <c r="F5" s="272"/>
      <c r="G5" s="272"/>
    </row>
    <row r="6" spans="3:7" ht="14" thickBot="1"/>
    <row r="7" spans="3:7">
      <c r="C7" s="86"/>
      <c r="D7" s="87"/>
      <c r="E7" s="87"/>
      <c r="F7" s="87"/>
      <c r="G7" s="88"/>
    </row>
    <row r="8" spans="3:7">
      <c r="C8" s="89"/>
      <c r="G8" s="90"/>
    </row>
    <row r="9" spans="3:7">
      <c r="C9" s="91" t="s">
        <v>74</v>
      </c>
      <c r="D9" s="95"/>
      <c r="G9" s="90"/>
    </row>
    <row r="10" spans="3:7">
      <c r="C10" s="91"/>
      <c r="G10" s="90"/>
    </row>
    <row r="11" spans="3:7">
      <c r="C11" s="91" t="s">
        <v>75</v>
      </c>
      <c r="D11" s="95"/>
      <c r="G11" s="90"/>
    </row>
    <row r="12" spans="3:7">
      <c r="C12" s="89"/>
      <c r="G12" s="90"/>
    </row>
    <row r="13" spans="3:7" ht="14" thickBot="1">
      <c r="C13" s="92"/>
      <c r="D13" s="93"/>
      <c r="E13" s="93"/>
      <c r="F13" s="93"/>
      <c r="G13" s="94"/>
    </row>
  </sheetData>
  <mergeCells count="1">
    <mergeCell ref="C5:G5"/>
  </mergeCells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66874C-E7E0-974F-8F46-DBC4B11F9D83}">
  <sheetPr codeName="Feuil4"/>
  <dimension ref="B2:N26"/>
  <sheetViews>
    <sheetView workbookViewId="0">
      <selection activeCell="E40" sqref="E40"/>
    </sheetView>
    <sheetView workbookViewId="1"/>
  </sheetViews>
  <sheetFormatPr baseColWidth="10" defaultRowHeight="14"/>
  <cols>
    <col min="1" max="1" width="2.83203125" style="101" customWidth="1"/>
    <col min="2" max="2" width="16.83203125" style="101" customWidth="1"/>
    <col min="3" max="14" width="7.33203125" style="101" customWidth="1"/>
    <col min="15" max="29" width="10.83203125" style="101"/>
    <col min="30" max="30" width="0" style="101" hidden="1" customWidth="1"/>
    <col min="31" max="16384" width="10.83203125" style="101"/>
  </cols>
  <sheetData>
    <row r="2" spans="2:14" ht="21">
      <c r="B2" s="100" t="s">
        <v>463</v>
      </c>
    </row>
    <row r="4" spans="2:14" ht="20" customHeight="1">
      <c r="B4" s="102" t="s">
        <v>445</v>
      </c>
      <c r="C4" s="279"/>
      <c r="D4" s="279"/>
      <c r="E4" s="275" t="s">
        <v>11</v>
      </c>
      <c r="F4" s="275"/>
      <c r="G4" s="275"/>
    </row>
    <row r="5" spans="2:14" ht="20" customHeight="1">
      <c r="B5" s="102" t="s">
        <v>7</v>
      </c>
      <c r="C5" s="279"/>
      <c r="D5" s="279"/>
    </row>
    <row r="6" spans="2:14" ht="20" customHeight="1">
      <c r="B6" s="102" t="s">
        <v>446</v>
      </c>
      <c r="C6" s="279"/>
      <c r="D6" s="279"/>
    </row>
    <row r="7" spans="2:14" ht="20" customHeight="1">
      <c r="B7" s="102" t="s">
        <v>447</v>
      </c>
      <c r="C7" s="279"/>
      <c r="D7" s="279"/>
    </row>
    <row r="8" spans="2:14" ht="8" customHeight="1"/>
    <row r="9" spans="2:14" ht="20" customHeight="1">
      <c r="B9" s="157" t="s">
        <v>448</v>
      </c>
      <c r="C9" s="276"/>
      <c r="D9" s="276"/>
      <c r="E9" s="276"/>
      <c r="F9" s="276"/>
    </row>
    <row r="10" spans="2:14" ht="8" customHeight="1"/>
    <row r="11" spans="2:14" ht="20" customHeight="1">
      <c r="B11" s="157" t="s">
        <v>452</v>
      </c>
      <c r="C11" s="277">
        <v>2</v>
      </c>
      <c r="D11" s="277"/>
      <c r="E11" s="277">
        <v>3</v>
      </c>
      <c r="F11" s="277"/>
      <c r="G11" s="277">
        <v>4</v>
      </c>
      <c r="H11" s="277"/>
      <c r="I11" s="277">
        <v>5</v>
      </c>
      <c r="J11" s="277"/>
      <c r="K11" s="277">
        <v>6</v>
      </c>
      <c r="L11" s="277"/>
      <c r="M11" s="277" t="s">
        <v>439</v>
      </c>
      <c r="N11" s="277"/>
    </row>
    <row r="12" spans="2:14" ht="8" customHeight="1"/>
    <row r="13" spans="2:14" ht="20" customHeight="1">
      <c r="B13" s="157" t="s">
        <v>464</v>
      </c>
      <c r="C13" s="277" t="s">
        <v>421</v>
      </c>
      <c r="D13" s="277"/>
      <c r="E13" s="277" t="s">
        <v>422</v>
      </c>
      <c r="F13" s="277"/>
      <c r="G13" s="277" t="s">
        <v>423</v>
      </c>
      <c r="H13" s="277"/>
      <c r="I13" s="277" t="s">
        <v>424</v>
      </c>
      <c r="J13" s="277"/>
      <c r="K13" s="277" t="s">
        <v>425</v>
      </c>
      <c r="L13" s="277"/>
    </row>
    <row r="14" spans="2:14" ht="8" customHeight="1"/>
    <row r="15" spans="2:14" ht="20" customHeight="1">
      <c r="B15" s="157" t="s">
        <v>450</v>
      </c>
      <c r="C15" s="277" t="s">
        <v>470</v>
      </c>
      <c r="D15" s="277"/>
      <c r="E15" s="277" t="s">
        <v>471</v>
      </c>
      <c r="F15" s="277"/>
    </row>
    <row r="16" spans="2:14" ht="8" customHeight="1"/>
    <row r="17" spans="2:14" ht="20" customHeight="1">
      <c r="B17" s="161" t="s">
        <v>615</v>
      </c>
      <c r="C17" s="278" t="s">
        <v>621</v>
      </c>
      <c r="D17" s="278"/>
      <c r="E17" s="278"/>
      <c r="F17" s="278"/>
      <c r="G17" s="278"/>
      <c r="I17" s="278" t="s">
        <v>622</v>
      </c>
      <c r="J17" s="278"/>
      <c r="K17" s="278"/>
      <c r="L17" s="278"/>
      <c r="M17" s="278"/>
    </row>
    <row r="18" spans="2:14" ht="20" customHeight="1">
      <c r="C18" s="158" t="s">
        <v>616</v>
      </c>
      <c r="D18" s="158" t="s">
        <v>617</v>
      </c>
      <c r="E18" s="158" t="s">
        <v>618</v>
      </c>
      <c r="F18" s="158" t="s">
        <v>619</v>
      </c>
      <c r="G18" s="158" t="s">
        <v>620</v>
      </c>
      <c r="H18" s="158" t="s">
        <v>435</v>
      </c>
      <c r="I18" s="158" t="s">
        <v>620</v>
      </c>
      <c r="J18" s="158" t="s">
        <v>619</v>
      </c>
      <c r="K18" s="158" t="s">
        <v>618</v>
      </c>
      <c r="L18" s="158" t="s">
        <v>617</v>
      </c>
      <c r="M18" s="158" t="s">
        <v>616</v>
      </c>
    </row>
    <row r="19" spans="2:14" ht="20" customHeight="1">
      <c r="B19" s="157" t="s">
        <v>624</v>
      </c>
      <c r="C19" s="159"/>
      <c r="D19" s="160"/>
      <c r="E19" s="160"/>
      <c r="F19" s="160"/>
      <c r="G19" s="160"/>
      <c r="H19" s="160"/>
      <c r="I19" s="160"/>
      <c r="J19" s="160"/>
      <c r="K19" s="160"/>
      <c r="L19" s="160"/>
      <c r="M19" s="159"/>
    </row>
    <row r="20" spans="2:14" ht="8" customHeight="1"/>
    <row r="21" spans="2:14" ht="20" customHeight="1">
      <c r="B21" s="157" t="s">
        <v>453</v>
      </c>
      <c r="C21" s="273"/>
      <c r="D21" s="273"/>
      <c r="E21" s="273"/>
      <c r="F21" s="273"/>
      <c r="G21" s="273"/>
      <c r="H21" s="273"/>
      <c r="I21" s="273"/>
      <c r="J21" s="273"/>
      <c r="K21" s="273"/>
      <c r="L21" s="273"/>
      <c r="M21" s="273"/>
      <c r="N21" s="273"/>
    </row>
    <row r="22" spans="2:14" ht="8" customHeight="1"/>
    <row r="23" spans="2:14" ht="26" customHeight="1">
      <c r="C23" s="274" t="s">
        <v>466</v>
      </c>
      <c r="D23" s="274"/>
      <c r="F23" s="275" t="s">
        <v>476</v>
      </c>
      <c r="G23" s="275"/>
      <c r="H23" s="275"/>
      <c r="I23" s="275"/>
    </row>
    <row r="24" spans="2:14" ht="26" customHeight="1"/>
    <row r="25" spans="2:14" ht="8" customHeight="1"/>
    <row r="26" spans="2:14" ht="26" customHeight="1"/>
  </sheetData>
  <mergeCells count="24">
    <mergeCell ref="K13:L13"/>
    <mergeCell ref="C15:D15"/>
    <mergeCell ref="E15:F15"/>
    <mergeCell ref="C4:D4"/>
    <mergeCell ref="C5:D5"/>
    <mergeCell ref="C6:D6"/>
    <mergeCell ref="C7:D7"/>
    <mergeCell ref="E4:G4"/>
    <mergeCell ref="C21:N21"/>
    <mergeCell ref="C23:D23"/>
    <mergeCell ref="F23:I23"/>
    <mergeCell ref="C9:F9"/>
    <mergeCell ref="C11:D11"/>
    <mergeCell ref="E11:F11"/>
    <mergeCell ref="G11:H11"/>
    <mergeCell ref="I11:J11"/>
    <mergeCell ref="K11:L11"/>
    <mergeCell ref="C13:D13"/>
    <mergeCell ref="E13:F13"/>
    <mergeCell ref="M11:N11"/>
    <mergeCell ref="C17:G17"/>
    <mergeCell ref="I17:M17"/>
    <mergeCell ref="G13:H13"/>
    <mergeCell ref="I13:J13"/>
  </mergeCells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DE4D617E-A8DD-FB46-A0A4-E956852BC56D}">
          <x14:formula1>
            <xm:f>Paramètres!$AA$1:$AA$24</xm:f>
          </x14:formula1>
          <xm:sqref>C9:F9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8FF7EE-2370-014C-BBFB-13C4BA4BD765}">
  <sheetPr codeName="Feuil6"/>
  <dimension ref="B2:N22"/>
  <sheetViews>
    <sheetView workbookViewId="0">
      <selection activeCell="F19" sqref="F19:I19"/>
    </sheetView>
    <sheetView workbookViewId="1"/>
  </sheetViews>
  <sheetFormatPr baseColWidth="10" defaultRowHeight="14"/>
  <cols>
    <col min="1" max="1" width="2.83203125" style="101" customWidth="1"/>
    <col min="2" max="2" width="16.83203125" style="101" customWidth="1"/>
    <col min="3" max="14" width="7.33203125" style="101" customWidth="1"/>
    <col min="15" max="29" width="10.83203125" style="101"/>
    <col min="30" max="30" width="0" style="101" hidden="1" customWidth="1"/>
    <col min="31" max="16384" width="10.83203125" style="101"/>
  </cols>
  <sheetData>
    <row r="2" spans="2:13" ht="21">
      <c r="B2" s="100" t="s">
        <v>467</v>
      </c>
    </row>
    <row r="4" spans="2:13" ht="20" customHeight="1">
      <c r="B4" s="102" t="s">
        <v>445</v>
      </c>
      <c r="C4" s="280" t="s">
        <v>629</v>
      </c>
      <c r="D4" s="279"/>
      <c r="E4" s="275" t="s">
        <v>11</v>
      </c>
      <c r="F4" s="275"/>
      <c r="G4" s="275"/>
    </row>
    <row r="5" spans="2:13" ht="20" customHeight="1">
      <c r="B5" s="102" t="s">
        <v>7</v>
      </c>
      <c r="C5" s="279" t="s">
        <v>46</v>
      </c>
      <c r="D5" s="279"/>
    </row>
    <row r="6" spans="2:13" ht="20" customHeight="1">
      <c r="B6" s="102" t="s">
        <v>472</v>
      </c>
      <c r="C6" s="279" t="s">
        <v>47</v>
      </c>
      <c r="D6" s="279"/>
    </row>
    <row r="7" spans="2:13" ht="20" customHeight="1">
      <c r="B7" s="102" t="s">
        <v>447</v>
      </c>
      <c r="C7" s="279" t="s">
        <v>625</v>
      </c>
      <c r="D7" s="279"/>
    </row>
    <row r="8" spans="2:13" ht="8" customHeight="1"/>
    <row r="9" spans="2:13" ht="20" customHeight="1">
      <c r="B9" s="161" t="s">
        <v>623</v>
      </c>
      <c r="C9" s="278" t="s">
        <v>621</v>
      </c>
      <c r="D9" s="278"/>
      <c r="E9" s="278"/>
      <c r="F9" s="278"/>
      <c r="G9" s="278"/>
      <c r="I9" s="278" t="s">
        <v>622</v>
      </c>
      <c r="J9" s="278"/>
      <c r="K9" s="278"/>
      <c r="L9" s="278"/>
      <c r="M9" s="278"/>
    </row>
    <row r="10" spans="2:13" ht="20" customHeight="1">
      <c r="C10" s="158" t="s">
        <v>616</v>
      </c>
      <c r="D10" s="158" t="s">
        <v>617</v>
      </c>
      <c r="E10" s="158" t="s">
        <v>618</v>
      </c>
      <c r="F10" s="158" t="s">
        <v>619</v>
      </c>
      <c r="G10" s="158" t="s">
        <v>620</v>
      </c>
      <c r="H10" s="158" t="s">
        <v>435</v>
      </c>
      <c r="I10" s="158" t="s">
        <v>620</v>
      </c>
      <c r="J10" s="158" t="s">
        <v>619</v>
      </c>
      <c r="K10" s="158" t="s">
        <v>618</v>
      </c>
      <c r="L10" s="158" t="s">
        <v>617</v>
      </c>
      <c r="M10" s="158" t="s">
        <v>616</v>
      </c>
    </row>
    <row r="11" spans="2:13" ht="20" customHeight="1">
      <c r="B11" s="157" t="s">
        <v>441</v>
      </c>
      <c r="C11" s="159"/>
      <c r="D11" s="160"/>
      <c r="E11" s="160"/>
      <c r="F11" s="160"/>
      <c r="G11" s="160"/>
      <c r="H11" s="160"/>
      <c r="I11" s="160"/>
      <c r="J11" s="160"/>
      <c r="K11" s="160"/>
      <c r="L11" s="160"/>
      <c r="M11" s="159"/>
    </row>
    <row r="12" spans="2:13" ht="20" customHeight="1">
      <c r="B12" s="157" t="s">
        <v>442</v>
      </c>
      <c r="C12" s="159"/>
      <c r="D12" s="160"/>
      <c r="E12" s="160"/>
      <c r="F12" s="160"/>
      <c r="G12" s="160"/>
      <c r="H12" s="160"/>
      <c r="I12" s="160"/>
      <c r="J12" s="160"/>
      <c r="K12" s="160"/>
      <c r="L12" s="160"/>
      <c r="M12" s="159"/>
    </row>
    <row r="13" spans="2:13" ht="20" customHeight="1">
      <c r="B13" s="157" t="s">
        <v>443</v>
      </c>
      <c r="C13" s="159"/>
      <c r="D13" s="160"/>
      <c r="E13" s="160"/>
      <c r="F13" s="160"/>
      <c r="G13" s="160"/>
      <c r="H13" s="160"/>
      <c r="I13" s="160"/>
      <c r="J13" s="160"/>
      <c r="K13" s="160"/>
      <c r="L13" s="160"/>
      <c r="M13" s="159"/>
    </row>
    <row r="14" spans="2:13" ht="8" customHeight="1"/>
    <row r="15" spans="2:13" ht="20" customHeight="1">
      <c r="B15" s="157" t="s">
        <v>468</v>
      </c>
      <c r="C15" s="277" t="s">
        <v>461</v>
      </c>
      <c r="D15" s="277"/>
      <c r="E15" s="277" t="s">
        <v>170</v>
      </c>
      <c r="F15" s="277"/>
      <c r="G15" s="277" t="s">
        <v>462</v>
      </c>
      <c r="H15" s="277"/>
    </row>
    <row r="16" spans="2:13" ht="8" customHeight="1"/>
    <row r="17" spans="2:14" ht="20" customHeight="1">
      <c r="B17" s="157" t="s">
        <v>453</v>
      </c>
      <c r="C17" s="273"/>
      <c r="D17" s="273"/>
      <c r="E17" s="273"/>
      <c r="F17" s="273"/>
      <c r="G17" s="273"/>
      <c r="H17" s="273"/>
      <c r="I17" s="273"/>
      <c r="J17" s="273"/>
      <c r="K17" s="273"/>
      <c r="L17" s="273"/>
      <c r="M17" s="273"/>
      <c r="N17" s="273"/>
    </row>
    <row r="18" spans="2:14" ht="8" customHeight="1"/>
    <row r="19" spans="2:14" ht="26" customHeight="1">
      <c r="C19" s="274" t="s">
        <v>466</v>
      </c>
      <c r="D19" s="274"/>
      <c r="F19" s="275" t="s">
        <v>476</v>
      </c>
      <c r="G19" s="275"/>
      <c r="H19" s="275"/>
      <c r="I19" s="275"/>
    </row>
    <row r="20" spans="2:14" ht="26" customHeight="1"/>
    <row r="21" spans="2:14" ht="8" customHeight="1"/>
    <row r="22" spans="2:14" ht="26" customHeight="1"/>
  </sheetData>
  <mergeCells count="13">
    <mergeCell ref="C17:N17"/>
    <mergeCell ref="C19:D19"/>
    <mergeCell ref="F19:I19"/>
    <mergeCell ref="C4:D4"/>
    <mergeCell ref="C5:D5"/>
    <mergeCell ref="C6:D6"/>
    <mergeCell ref="C7:D7"/>
    <mergeCell ref="E4:G4"/>
    <mergeCell ref="C9:G9"/>
    <mergeCell ref="I9:M9"/>
    <mergeCell ref="C15:D15"/>
    <mergeCell ref="E15:F15"/>
    <mergeCell ref="G15:H15"/>
  </mergeCell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86B488-D5EA-F945-B279-FB245FAE2D44}">
  <sheetPr codeName="Feuil8"/>
  <dimension ref="B2:U32"/>
  <sheetViews>
    <sheetView workbookViewId="0"/>
    <sheetView workbookViewId="1"/>
  </sheetViews>
  <sheetFormatPr baseColWidth="10" defaultRowHeight="14"/>
  <cols>
    <col min="1" max="1" width="2.83203125" style="101" customWidth="1"/>
    <col min="2" max="3" width="14.83203125" style="101" customWidth="1"/>
    <col min="4" max="4" width="4.33203125" style="101" customWidth="1"/>
    <col min="5" max="6" width="14.83203125" style="101" customWidth="1"/>
    <col min="7" max="7" width="4.83203125" style="101" customWidth="1"/>
    <col min="8" max="9" width="14.83203125" style="101" customWidth="1"/>
    <col min="10" max="10" width="4.83203125" style="101" customWidth="1"/>
    <col min="11" max="21" width="5.1640625" style="101" customWidth="1"/>
    <col min="22" max="16384" width="10.83203125" style="101"/>
  </cols>
  <sheetData>
    <row r="2" spans="2:21" ht="21">
      <c r="B2" s="100" t="s">
        <v>597</v>
      </c>
    </row>
    <row r="4" spans="2:21" ht="14" customHeight="1">
      <c r="B4" s="102" t="s">
        <v>445</v>
      </c>
      <c r="C4" s="280" t="s">
        <v>630</v>
      </c>
      <c r="D4" s="279"/>
      <c r="E4" s="275" t="s">
        <v>11</v>
      </c>
      <c r="F4" s="275"/>
      <c r="K4" s="283" t="s">
        <v>516</v>
      </c>
      <c r="L4" s="283"/>
      <c r="M4" s="283"/>
      <c r="N4" s="283"/>
      <c r="O4" s="283"/>
      <c r="P4" s="283"/>
      <c r="Q4" s="283"/>
      <c r="R4" s="283"/>
      <c r="S4" s="283"/>
      <c r="T4" s="283"/>
      <c r="U4" s="283"/>
    </row>
    <row r="5" spans="2:21" ht="15" customHeight="1">
      <c r="B5" s="102" t="s">
        <v>7</v>
      </c>
      <c r="C5" s="279" t="s">
        <v>46</v>
      </c>
      <c r="D5" s="279"/>
      <c r="K5" s="283"/>
      <c r="L5" s="283"/>
      <c r="M5" s="283"/>
      <c r="N5" s="283"/>
      <c r="O5" s="283"/>
      <c r="P5" s="283"/>
      <c r="Q5" s="283"/>
      <c r="R5" s="283"/>
      <c r="S5" s="283"/>
      <c r="T5" s="283"/>
      <c r="U5" s="283"/>
    </row>
    <row r="6" spans="2:21">
      <c r="B6" s="102" t="s">
        <v>475</v>
      </c>
      <c r="C6" s="279" t="s">
        <v>47</v>
      </c>
      <c r="D6" s="279"/>
    </row>
    <row r="7" spans="2:21" ht="32" customHeight="1">
      <c r="K7" s="281" t="s">
        <v>577</v>
      </c>
      <c r="L7" s="282"/>
      <c r="M7" s="282"/>
      <c r="O7" s="281" t="s">
        <v>578</v>
      </c>
      <c r="P7" s="282"/>
      <c r="Q7" s="282"/>
      <c r="S7" s="281" t="s">
        <v>579</v>
      </c>
      <c r="T7" s="282"/>
      <c r="U7" s="282"/>
    </row>
    <row r="8" spans="2:21" ht="10" customHeight="1"/>
    <row r="9" spans="2:21" ht="32" customHeight="1">
      <c r="B9" s="277" t="s">
        <v>598</v>
      </c>
      <c r="C9" s="277"/>
      <c r="E9" s="277" t="s">
        <v>603</v>
      </c>
      <c r="F9" s="277"/>
      <c r="H9" s="277" t="s">
        <v>610</v>
      </c>
      <c r="I9" s="277"/>
      <c r="M9" s="281" t="s">
        <v>595</v>
      </c>
      <c r="N9" s="282"/>
      <c r="O9" s="282"/>
      <c r="Q9" s="281" t="s">
        <v>580</v>
      </c>
      <c r="R9" s="282"/>
      <c r="S9" s="282"/>
    </row>
    <row r="10" spans="2:21" ht="10" customHeight="1"/>
    <row r="11" spans="2:21" ht="32" customHeight="1">
      <c r="B11" s="277" t="s">
        <v>599</v>
      </c>
      <c r="C11" s="277"/>
      <c r="E11" s="277" t="s">
        <v>604</v>
      </c>
      <c r="F11" s="277"/>
      <c r="H11" s="277" t="s">
        <v>611</v>
      </c>
      <c r="I11" s="277"/>
      <c r="K11" s="281" t="s">
        <v>596</v>
      </c>
      <c r="L11" s="282"/>
      <c r="M11" s="282"/>
      <c r="O11" s="281" t="s">
        <v>581</v>
      </c>
      <c r="P11" s="282"/>
      <c r="Q11" s="282"/>
      <c r="S11" s="281" t="s">
        <v>582</v>
      </c>
      <c r="T11" s="282"/>
      <c r="U11" s="282"/>
    </row>
    <row r="12" spans="2:21" ht="10" customHeight="1"/>
    <row r="13" spans="2:21" ht="32" customHeight="1">
      <c r="B13" s="277" t="s">
        <v>600</v>
      </c>
      <c r="C13" s="277"/>
      <c r="E13" s="277" t="s">
        <v>605</v>
      </c>
      <c r="F13" s="277"/>
      <c r="H13" s="277" t="s">
        <v>612</v>
      </c>
      <c r="I13" s="277"/>
      <c r="M13" s="281" t="s">
        <v>583</v>
      </c>
      <c r="N13" s="282"/>
      <c r="O13" s="282"/>
    </row>
    <row r="14" spans="2:21" ht="10" customHeight="1"/>
    <row r="15" spans="2:21" ht="32" customHeight="1">
      <c r="B15" s="277" t="s">
        <v>601</v>
      </c>
      <c r="C15" s="277"/>
      <c r="E15" s="277" t="s">
        <v>606</v>
      </c>
      <c r="F15" s="277"/>
      <c r="H15" s="277" t="s">
        <v>515</v>
      </c>
      <c r="I15" s="277"/>
      <c r="P15" s="281" t="s">
        <v>584</v>
      </c>
      <c r="Q15" s="282"/>
      <c r="R15" s="282"/>
    </row>
    <row r="16" spans="2:21" ht="10" customHeight="1"/>
    <row r="17" spans="2:21" ht="32" customHeight="1">
      <c r="B17" s="277" t="s">
        <v>602</v>
      </c>
      <c r="C17" s="277"/>
      <c r="E17" s="277" t="s">
        <v>607</v>
      </c>
      <c r="F17" s="277"/>
      <c r="H17" s="277" t="s">
        <v>613</v>
      </c>
      <c r="I17" s="277"/>
      <c r="M17" s="281" t="s">
        <v>585</v>
      </c>
      <c r="N17" s="282"/>
      <c r="O17" s="282"/>
      <c r="Q17" s="281" t="s">
        <v>586</v>
      </c>
      <c r="R17" s="282"/>
      <c r="S17" s="282"/>
    </row>
    <row r="18" spans="2:21" ht="10" customHeight="1"/>
    <row r="19" spans="2:21" ht="32" customHeight="1">
      <c r="E19" s="277" t="s">
        <v>608</v>
      </c>
      <c r="F19" s="277"/>
      <c r="H19" s="163"/>
      <c r="I19" s="163"/>
      <c r="K19" s="281" t="s">
        <v>587</v>
      </c>
      <c r="L19" s="282"/>
      <c r="M19" s="282"/>
      <c r="O19" s="281" t="s">
        <v>588</v>
      </c>
      <c r="P19" s="282"/>
      <c r="Q19" s="282"/>
      <c r="S19" s="281" t="s">
        <v>589</v>
      </c>
      <c r="T19" s="282"/>
      <c r="U19" s="282"/>
    </row>
    <row r="20" spans="2:21" ht="10" customHeight="1"/>
    <row r="21" spans="2:21" ht="25" customHeight="1">
      <c r="B21" s="163"/>
      <c r="C21" s="163"/>
      <c r="E21" s="277" t="s">
        <v>609</v>
      </c>
      <c r="F21" s="277"/>
      <c r="H21" s="163"/>
      <c r="I21" s="163"/>
      <c r="K21" s="281" t="s">
        <v>42</v>
      </c>
      <c r="L21" s="282"/>
      <c r="M21" s="282"/>
      <c r="S21" s="281" t="s">
        <v>32</v>
      </c>
      <c r="T21" s="282"/>
      <c r="U21" s="282"/>
    </row>
    <row r="22" spans="2:21" ht="10" customHeight="1"/>
    <row r="23" spans="2:21" ht="25" customHeight="1">
      <c r="B23" s="163"/>
      <c r="C23" s="163"/>
      <c r="E23" s="163"/>
      <c r="F23" s="163"/>
      <c r="H23" s="163"/>
      <c r="I23" s="163"/>
      <c r="K23" s="281" t="s">
        <v>153</v>
      </c>
      <c r="L23" s="281"/>
      <c r="M23" s="281"/>
      <c r="S23" s="281" t="s">
        <v>169</v>
      </c>
      <c r="T23" s="281"/>
      <c r="U23" s="281"/>
    </row>
    <row r="24" spans="2:21" ht="10" customHeight="1"/>
    <row r="25" spans="2:21" ht="10" customHeight="1">
      <c r="B25" s="163"/>
      <c r="C25" s="163"/>
      <c r="E25" s="163"/>
      <c r="F25" s="163"/>
      <c r="H25" s="163"/>
      <c r="I25" s="163"/>
    </row>
    <row r="26" spans="2:21" ht="10" customHeight="1"/>
    <row r="27" spans="2:21" ht="25" customHeight="1">
      <c r="B27" s="277" t="s">
        <v>167</v>
      </c>
      <c r="C27" s="277"/>
      <c r="E27" s="163"/>
      <c r="F27" s="163"/>
      <c r="H27" s="277" t="s">
        <v>614</v>
      </c>
      <c r="I27" s="277"/>
    </row>
    <row r="28" spans="2:21" ht="10" customHeight="1"/>
    <row r="29" spans="2:21" ht="25" customHeight="1">
      <c r="B29" s="277" t="s">
        <v>32</v>
      </c>
      <c r="C29" s="277"/>
      <c r="E29" s="163"/>
      <c r="F29" s="163"/>
      <c r="H29" s="277" t="s">
        <v>594</v>
      </c>
      <c r="I29" s="277"/>
    </row>
    <row r="30" spans="2:21" ht="10" customHeight="1"/>
    <row r="31" spans="2:21" ht="9" customHeight="1"/>
    <row r="32" spans="2:21" ht="26" customHeight="1">
      <c r="B32" s="274" t="s">
        <v>466</v>
      </c>
      <c r="C32" s="274"/>
      <c r="D32" s="121"/>
      <c r="E32" s="275" t="s">
        <v>476</v>
      </c>
      <c r="F32" s="275"/>
      <c r="G32" s="275"/>
      <c r="H32" s="275"/>
      <c r="I32" s="121"/>
    </row>
  </sheetData>
  <mergeCells count="47">
    <mergeCell ref="S23:U23"/>
    <mergeCell ref="K23:M23"/>
    <mergeCell ref="E4:F4"/>
    <mergeCell ref="E21:F21"/>
    <mergeCell ref="C4:D4"/>
    <mergeCell ref="C5:D5"/>
    <mergeCell ref="C6:D6"/>
    <mergeCell ref="B9:C9"/>
    <mergeCell ref="B17:C17"/>
    <mergeCell ref="B15:C15"/>
    <mergeCell ref="B13:C13"/>
    <mergeCell ref="B11:C11"/>
    <mergeCell ref="E19:F19"/>
    <mergeCell ref="H17:I17"/>
    <mergeCell ref="H11:I11"/>
    <mergeCell ref="E17:F17"/>
    <mergeCell ref="H27:I27"/>
    <mergeCell ref="H29:I29"/>
    <mergeCell ref="B32:C32"/>
    <mergeCell ref="E32:H32"/>
    <mergeCell ref="B27:C27"/>
    <mergeCell ref="B29:C29"/>
    <mergeCell ref="E13:F13"/>
    <mergeCell ref="E9:F9"/>
    <mergeCell ref="H9:I9"/>
    <mergeCell ref="K4:U5"/>
    <mergeCell ref="E15:F15"/>
    <mergeCell ref="H15:I15"/>
    <mergeCell ref="E11:F11"/>
    <mergeCell ref="H13:I13"/>
    <mergeCell ref="K7:M7"/>
    <mergeCell ref="S21:U21"/>
    <mergeCell ref="S7:U7"/>
    <mergeCell ref="M9:O9"/>
    <mergeCell ref="Q9:S9"/>
    <mergeCell ref="S19:U19"/>
    <mergeCell ref="K11:M11"/>
    <mergeCell ref="O11:Q11"/>
    <mergeCell ref="S11:U11"/>
    <mergeCell ref="M13:O13"/>
    <mergeCell ref="P15:R15"/>
    <mergeCell ref="M17:O17"/>
    <mergeCell ref="Q17:S17"/>
    <mergeCell ref="K19:M19"/>
    <mergeCell ref="O19:Q19"/>
    <mergeCell ref="K21:M21"/>
    <mergeCell ref="O7:Q7"/>
  </mergeCells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AAB5BF-23C0-9C4E-86C3-5B3A2AEBDCB3}">
  <sheetPr codeName="Feuil13"/>
  <dimension ref="B1:L15"/>
  <sheetViews>
    <sheetView workbookViewId="0">
      <selection activeCell="D14" sqref="D14"/>
    </sheetView>
    <sheetView workbookViewId="1"/>
  </sheetViews>
  <sheetFormatPr baseColWidth="10" defaultRowHeight="14"/>
  <cols>
    <col min="1" max="1" width="2.83203125" style="101" customWidth="1"/>
    <col min="2" max="2" width="26.83203125" style="101" customWidth="1"/>
    <col min="3" max="3" width="3.83203125" style="101" customWidth="1"/>
    <col min="4" max="4" width="26.83203125" style="101" customWidth="1"/>
    <col min="5" max="5" width="16.83203125" style="101" customWidth="1"/>
    <col min="6" max="9" width="10.83203125" style="101"/>
    <col min="10" max="13" width="0" style="101" hidden="1" customWidth="1"/>
    <col min="14" max="16384" width="10.83203125" style="101"/>
  </cols>
  <sheetData>
    <row r="1" spans="2:12">
      <c r="J1" s="101" t="s">
        <v>519</v>
      </c>
      <c r="L1" s="101" t="s">
        <v>534</v>
      </c>
    </row>
    <row r="2" spans="2:12" ht="21">
      <c r="B2" s="100" t="s">
        <v>496</v>
      </c>
      <c r="J2" s="101" t="s">
        <v>520</v>
      </c>
      <c r="L2" s="101" t="s">
        <v>535</v>
      </c>
    </row>
    <row r="3" spans="2:12">
      <c r="J3" s="101" t="s">
        <v>521</v>
      </c>
      <c r="L3" s="101" t="s">
        <v>536</v>
      </c>
    </row>
    <row r="4" spans="2:12">
      <c r="B4" s="102" t="s">
        <v>445</v>
      </c>
      <c r="D4" s="137" t="s">
        <v>518</v>
      </c>
      <c r="E4" s="104" t="s">
        <v>11</v>
      </c>
      <c r="J4" s="101" t="s">
        <v>522</v>
      </c>
      <c r="L4" s="101" t="s">
        <v>537</v>
      </c>
    </row>
    <row r="5" spans="2:12">
      <c r="B5" s="118" t="s">
        <v>499</v>
      </c>
      <c r="D5" s="122">
        <v>22</v>
      </c>
      <c r="J5" s="101" t="s">
        <v>523</v>
      </c>
      <c r="L5" s="101" t="s">
        <v>538</v>
      </c>
    </row>
    <row r="6" spans="2:12">
      <c r="J6" s="101" t="s">
        <v>524</v>
      </c>
      <c r="L6" s="101" t="s">
        <v>539</v>
      </c>
    </row>
    <row r="7" spans="2:12">
      <c r="B7" s="118" t="s">
        <v>497</v>
      </c>
      <c r="D7" s="118" t="s">
        <v>498</v>
      </c>
      <c r="J7" s="101" t="s">
        <v>525</v>
      </c>
      <c r="L7" s="101" t="s">
        <v>540</v>
      </c>
    </row>
    <row r="8" spans="2:12">
      <c r="B8" s="123" t="s">
        <v>519</v>
      </c>
      <c r="D8" s="123" t="s">
        <v>534</v>
      </c>
      <c r="J8" s="101" t="s">
        <v>526</v>
      </c>
    </row>
    <row r="9" spans="2:12">
      <c r="B9" s="123"/>
      <c r="D9" s="123"/>
      <c r="J9" s="101" t="s">
        <v>527</v>
      </c>
    </row>
    <row r="10" spans="2:12">
      <c r="B10" s="123"/>
      <c r="D10" s="123"/>
      <c r="J10" s="101" t="s">
        <v>528</v>
      </c>
    </row>
    <row r="11" spans="2:12">
      <c r="B11" s="123"/>
      <c r="D11" s="123"/>
      <c r="J11" s="101" t="s">
        <v>529</v>
      </c>
    </row>
    <row r="12" spans="2:12">
      <c r="B12" s="123"/>
      <c r="D12" s="123"/>
      <c r="J12" s="101" t="s">
        <v>530</v>
      </c>
    </row>
    <row r="13" spans="2:12">
      <c r="J13" s="101" t="s">
        <v>531</v>
      </c>
    </row>
    <row r="14" spans="2:12" ht="26" customHeight="1">
      <c r="B14" s="103" t="s">
        <v>466</v>
      </c>
      <c r="C14" s="121"/>
      <c r="D14" s="104" t="s">
        <v>465</v>
      </c>
      <c r="J14" s="101" t="s">
        <v>532</v>
      </c>
    </row>
    <row r="15" spans="2:12">
      <c r="J15" s="101" t="s">
        <v>533</v>
      </c>
    </row>
  </sheetData>
  <dataValidations count="2">
    <dataValidation type="list" allowBlank="1" showInputMessage="1" showErrorMessage="1" sqref="B10 B11 B8 B9 B12" xr:uid="{F7A6CCAA-80A4-8343-8967-F77A880E48F6}">
      <formula1>$J$1:$J$15</formula1>
    </dataValidation>
    <dataValidation type="list" allowBlank="1" showInputMessage="1" showErrorMessage="1" sqref="D10 D11 D8 D9 D12" xr:uid="{164B3FDE-C711-5446-8DD9-443BE4C77E39}">
      <formula1>$L$1:$L$7</formula1>
    </dataValidation>
  </dataValidation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0CE92A-0CDB-464B-A8F5-3CF1BF269F53}">
  <sheetPr codeName="Feuil1"/>
  <dimension ref="B2:H29"/>
  <sheetViews>
    <sheetView workbookViewId="0">
      <selection activeCell="E29" sqref="E29:H29"/>
    </sheetView>
    <sheetView workbookViewId="1"/>
  </sheetViews>
  <sheetFormatPr baseColWidth="10" defaultRowHeight="14"/>
  <cols>
    <col min="1" max="1" width="10.83203125" style="101"/>
    <col min="2" max="2" width="20.83203125" style="101" customWidth="1"/>
    <col min="3" max="5" width="12.83203125" style="101" customWidth="1"/>
    <col min="6" max="6" width="3.83203125" style="101" customWidth="1"/>
    <col min="7" max="8" width="12.83203125" style="101" customWidth="1"/>
    <col min="9" max="16384" width="10.83203125" style="101"/>
  </cols>
  <sheetData>
    <row r="2" spans="2:8" ht="21">
      <c r="B2" s="100" t="s">
        <v>571</v>
      </c>
    </row>
    <row r="4" spans="2:8">
      <c r="B4" s="102" t="s">
        <v>572</v>
      </c>
      <c r="C4" s="280" t="s">
        <v>576</v>
      </c>
      <c r="D4" s="279"/>
      <c r="G4" s="275" t="s">
        <v>11</v>
      </c>
      <c r="H4" s="275"/>
    </row>
    <row r="5" spans="2:8">
      <c r="B5" s="102" t="s">
        <v>7</v>
      </c>
      <c r="C5" s="279" t="s">
        <v>46</v>
      </c>
      <c r="D5" s="279"/>
    </row>
    <row r="7" spans="2:8" ht="22" customHeight="1">
      <c r="B7" s="283" t="s">
        <v>573</v>
      </c>
      <c r="C7" s="283"/>
      <c r="D7" s="283"/>
      <c r="E7" s="283"/>
      <c r="F7" s="283"/>
      <c r="G7" s="283"/>
      <c r="H7" s="283"/>
    </row>
    <row r="9" spans="2:8" ht="22" customHeight="1">
      <c r="B9" s="285" t="s">
        <v>574</v>
      </c>
      <c r="C9" s="285"/>
      <c r="D9" s="285"/>
      <c r="E9" s="285"/>
      <c r="F9" s="285"/>
      <c r="G9" s="285"/>
      <c r="H9" s="285"/>
    </row>
    <row r="10" spans="2:8" ht="8" customHeight="1"/>
    <row r="11" spans="2:8" ht="22" customHeight="1">
      <c r="B11" s="285" t="s">
        <v>575</v>
      </c>
      <c r="C11" s="285"/>
      <c r="D11" s="285"/>
      <c r="E11" s="285"/>
      <c r="F11" s="285"/>
      <c r="G11" s="285"/>
      <c r="H11" s="285"/>
    </row>
    <row r="12" spans="2:8" ht="8" customHeight="1"/>
    <row r="13" spans="2:8" ht="22" customHeight="1">
      <c r="B13" s="284"/>
      <c r="C13" s="284"/>
      <c r="D13" s="284"/>
      <c r="E13" s="284"/>
      <c r="F13" s="284"/>
      <c r="G13" s="284"/>
      <c r="H13" s="284"/>
    </row>
    <row r="14" spans="2:8" ht="8" customHeight="1"/>
    <row r="15" spans="2:8" ht="22" customHeight="1">
      <c r="B15" s="284"/>
      <c r="C15" s="284"/>
      <c r="D15" s="284"/>
      <c r="E15" s="284"/>
      <c r="F15" s="284"/>
      <c r="G15" s="284"/>
      <c r="H15" s="284"/>
    </row>
    <row r="16" spans="2:8" ht="8" customHeight="1"/>
    <row r="17" spans="2:8" ht="22" customHeight="1">
      <c r="B17" s="284"/>
      <c r="C17" s="284"/>
      <c r="D17" s="284"/>
      <c r="E17" s="284"/>
      <c r="F17" s="284"/>
      <c r="G17" s="284"/>
      <c r="H17" s="284"/>
    </row>
    <row r="18" spans="2:8" ht="8" customHeight="1"/>
    <row r="19" spans="2:8" ht="22" customHeight="1">
      <c r="B19" s="284"/>
      <c r="C19" s="284"/>
      <c r="D19" s="284"/>
      <c r="E19" s="284"/>
      <c r="F19" s="284"/>
      <c r="G19" s="284"/>
      <c r="H19" s="284"/>
    </row>
    <row r="20" spans="2:8" ht="8" customHeight="1"/>
    <row r="21" spans="2:8" ht="22" customHeight="1">
      <c r="B21" s="284"/>
      <c r="C21" s="284"/>
      <c r="D21" s="284"/>
      <c r="E21" s="284"/>
      <c r="F21" s="284"/>
      <c r="G21" s="284"/>
      <c r="H21" s="284"/>
    </row>
    <row r="22" spans="2:8" ht="8" customHeight="1"/>
    <row r="23" spans="2:8" ht="22" customHeight="1">
      <c r="B23" s="284"/>
      <c r="C23" s="284"/>
      <c r="D23" s="284"/>
      <c r="E23" s="284"/>
      <c r="F23" s="284"/>
      <c r="G23" s="284"/>
      <c r="H23" s="284"/>
    </row>
    <row r="24" spans="2:8" ht="8" customHeight="1"/>
    <row r="25" spans="2:8" ht="22" customHeight="1">
      <c r="B25" s="284"/>
      <c r="C25" s="284"/>
      <c r="D25" s="284"/>
      <c r="E25" s="284"/>
      <c r="F25" s="284"/>
      <c r="G25" s="284"/>
      <c r="H25" s="284"/>
    </row>
    <row r="26" spans="2:8" ht="8" customHeight="1"/>
    <row r="27" spans="2:8" ht="22" customHeight="1">
      <c r="B27" s="284"/>
      <c r="C27" s="284"/>
      <c r="D27" s="284"/>
      <c r="E27" s="284"/>
      <c r="F27" s="284"/>
      <c r="G27" s="284"/>
      <c r="H27" s="284"/>
    </row>
    <row r="28" spans="2:8" ht="8" customHeight="1"/>
    <row r="29" spans="2:8" ht="26" customHeight="1">
      <c r="B29" s="274" t="s">
        <v>466</v>
      </c>
      <c r="C29" s="274"/>
      <c r="D29" s="121"/>
      <c r="E29" s="275" t="s">
        <v>476</v>
      </c>
      <c r="F29" s="275"/>
      <c r="G29" s="275"/>
      <c r="H29" s="275"/>
    </row>
  </sheetData>
  <mergeCells count="16">
    <mergeCell ref="B11:H11"/>
    <mergeCell ref="C4:D4"/>
    <mergeCell ref="C5:D5"/>
    <mergeCell ref="G4:H4"/>
    <mergeCell ref="B7:H7"/>
    <mergeCell ref="B9:H9"/>
    <mergeCell ref="B25:H25"/>
    <mergeCell ref="B27:H27"/>
    <mergeCell ref="B29:C29"/>
    <mergeCell ref="E29:H29"/>
    <mergeCell ref="B13:H13"/>
    <mergeCell ref="B15:H15"/>
    <mergeCell ref="B17:H17"/>
    <mergeCell ref="B19:H19"/>
    <mergeCell ref="B21:H21"/>
    <mergeCell ref="B23:H23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57</TotalTime>
  <Application>Microsoft Macintosh Excel</Application>
  <DocSecurity>0</DocSecurity>
  <ScaleCrop>false</ScaleCrop>
  <HeadingPairs>
    <vt:vector size="4" baseType="variant">
      <vt:variant>
        <vt:lpstr>Feuilles de calcul</vt:lpstr>
      </vt:variant>
      <vt:variant>
        <vt:i4>13</vt:i4>
      </vt:variant>
      <vt:variant>
        <vt:lpstr>Plages nommées</vt:lpstr>
      </vt:variant>
      <vt:variant>
        <vt:i4>267</vt:i4>
      </vt:variant>
    </vt:vector>
  </HeadingPairs>
  <TitlesOfParts>
    <vt:vector size="280" baseType="lpstr">
      <vt:lpstr>Listes</vt:lpstr>
      <vt:lpstr>Compo</vt:lpstr>
      <vt:lpstr>Saisie vidéo</vt:lpstr>
      <vt:lpstr>Journal actions</vt:lpstr>
      <vt:lpstr>Stats match</vt:lpstr>
      <vt:lpstr>Touches Melees</vt:lpstr>
      <vt:lpstr>Paramètres</vt:lpstr>
      <vt:lpstr>Popup</vt:lpstr>
      <vt:lpstr>Popup touche</vt:lpstr>
      <vt:lpstr>Popup melee</vt:lpstr>
      <vt:lpstr>Popup penalite</vt:lpstr>
      <vt:lpstr>Popup remplacement</vt:lpstr>
      <vt:lpstr>Popup retour carton</vt:lpstr>
      <vt:lpstr>ACT_ARRACHAGE</vt:lpstr>
      <vt:lpstr>ACT_ARRACHAGE_ADV</vt:lpstr>
      <vt:lpstr>ACT_ARRACHAGE_NS</vt:lpstr>
      <vt:lpstr>ACT_ARRET_DU_JEU</vt:lpstr>
      <vt:lpstr>ACT_ATT_NULLE</vt:lpstr>
      <vt:lpstr>ACT_AVANCEE</vt:lpstr>
      <vt:lpstr>ACT_CARTON_BLANC_ADV</vt:lpstr>
      <vt:lpstr>ACT_CARTON_BLANC_NS</vt:lpstr>
      <vt:lpstr>ACT_CARTON_BLEU_ADV</vt:lpstr>
      <vt:lpstr>ACT_CARTON_BLEU_NS</vt:lpstr>
      <vt:lpstr>ACT_CARTON_JAUNE_ADV</vt:lpstr>
      <vt:lpstr>ACT_CARTON_JAUNE_NS</vt:lpstr>
      <vt:lpstr>ACT_CARTON_ROUGE_ADV</vt:lpstr>
      <vt:lpstr>ACT_CARTON_ROUGE_NS</vt:lpstr>
      <vt:lpstr>ACT_CF_CONTRE_ADV</vt:lpstr>
      <vt:lpstr>ACT_CF_CONTRE_NOUS</vt:lpstr>
      <vt:lpstr>ACT_CONTRE_RUCK</vt:lpstr>
      <vt:lpstr>ACT_CONTRE_RUCK_ADV</vt:lpstr>
      <vt:lpstr>ACT_CONTRE_RUCK_NS</vt:lpstr>
      <vt:lpstr>ACT_EN_AVANT</vt:lpstr>
      <vt:lpstr>ACT_FRANCHISSEMENT</vt:lpstr>
      <vt:lpstr>'Stats match'!ACT_GRATTAGE</vt:lpstr>
      <vt:lpstr>ACT_GRATTAGE</vt:lpstr>
      <vt:lpstr>ACT_GRATTAGE_ADV</vt:lpstr>
      <vt:lpstr>ACT_GRATTAGE_NS</vt:lpstr>
      <vt:lpstr>ACT_JEU_AU_PIED</vt:lpstr>
      <vt:lpstr>ACT_ME_ADV_G</vt:lpstr>
      <vt:lpstr>ACT_ME_ADV_P</vt:lpstr>
      <vt:lpstr>ACT_ME_NS_G</vt:lpstr>
      <vt:lpstr>ACT_ME_NS_P</vt:lpstr>
      <vt:lpstr>ACT_PEN_CONTRE_ADV</vt:lpstr>
      <vt:lpstr>ACT_PEN_CONTRE_NOUS</vt:lpstr>
      <vt:lpstr>ACT_PEN_HORS_JEU</vt:lpstr>
      <vt:lpstr>ACT_PEN_MAUL</vt:lpstr>
      <vt:lpstr>ACT_PEN_PL_A_2</vt:lpstr>
      <vt:lpstr>ACT_PEN_PL_HAUT</vt:lpstr>
      <vt:lpstr>ACT_PEN_RUCK</vt:lpstr>
      <vt:lpstr>ACT_PEN_UNKNOWN</vt:lpstr>
      <vt:lpstr>ACT_PL_A2</vt:lpstr>
      <vt:lpstr>ACT_PL_HAUT</vt:lpstr>
      <vt:lpstr>ACT_PL_NORMAL</vt:lpstr>
      <vt:lpstr>ACT_PL_OFF</vt:lpstr>
      <vt:lpstr>ACT_PL_RATE</vt:lpstr>
      <vt:lpstr>ACT_PTS_DROP</vt:lpstr>
      <vt:lpstr>ACT_PTS_ESSAI</vt:lpstr>
      <vt:lpstr>ACT_PTS_ESSAI_PEN</vt:lpstr>
      <vt:lpstr>ACT_PTS_PENALITE</vt:lpstr>
      <vt:lpstr>ACT_PTS_TRANSFO</vt:lpstr>
      <vt:lpstr>ACT_RECEPTION_ADV</vt:lpstr>
      <vt:lpstr>ACT_RECEPTION_NOUS</vt:lpstr>
      <vt:lpstr>ACT_REPRISE_A_LA_MAIN</vt:lpstr>
      <vt:lpstr>ACT_REPRISE_MELEE</vt:lpstr>
      <vt:lpstr>ACT_REPRISE_RENVOI</vt:lpstr>
      <vt:lpstr>ACT_REPRISE_TOUCHE</vt:lpstr>
      <vt:lpstr>ACT_RETOUR_CARTON_BLANC_ADV</vt:lpstr>
      <vt:lpstr>ACT_RETOUR_CARTON_BLANC_NS</vt:lpstr>
      <vt:lpstr>ACT_RETOUR_CARTON_BLEU_ADV</vt:lpstr>
      <vt:lpstr>ACT_RETOUR_CARTON_BLEU_NS</vt:lpstr>
      <vt:lpstr>ACT_RETOUR_CARTON_JAUNE_ADV</vt:lpstr>
      <vt:lpstr>ACT_RETOUR_CARTON_JAUNE_NS</vt:lpstr>
      <vt:lpstr>ACT_RETOUR_CARTON_ROUGE_ADV</vt:lpstr>
      <vt:lpstr>ACT_RETOUR_CARTON_ROUGE_NS</vt:lpstr>
      <vt:lpstr>ACT_TO_ADV_PAS_DROIT</vt:lpstr>
      <vt:lpstr>ACT_TO_ADV_PERDUE</vt:lpstr>
      <vt:lpstr>ACT_TO_ADV_VOLEE</vt:lpstr>
      <vt:lpstr>ACT_TO_NS_G</vt:lpstr>
      <vt:lpstr>ACT_TO_NS_P</vt:lpstr>
      <vt:lpstr>ACT_TO_NS_PAS_DROIT</vt:lpstr>
      <vt:lpstr>ACT_TURNOVER_ADV</vt:lpstr>
      <vt:lpstr>ACT_TURNOVER_NS</vt:lpstr>
      <vt:lpstr>AVANT_OU_ARRIERE</vt:lpstr>
      <vt:lpstr>BTN_ADV</vt:lpstr>
      <vt:lpstr>BTN_ARRACHAGE</vt:lpstr>
      <vt:lpstr>BTN_ARRET_DU_JEU</vt:lpstr>
      <vt:lpstr>BTN_ATT_NULLE</vt:lpstr>
      <vt:lpstr>BTN_AVANCEE</vt:lpstr>
      <vt:lpstr>BTN_CARTON_BLANC</vt:lpstr>
      <vt:lpstr>BTN_CARTON_BLEU</vt:lpstr>
      <vt:lpstr>BTN_CARTON_JAUNE</vt:lpstr>
      <vt:lpstr>BTN_CARTON_ROUGE</vt:lpstr>
      <vt:lpstr>BTN_CF_CONTRE_ADV</vt:lpstr>
      <vt:lpstr>BTN_CF_CONTRE_NOUS</vt:lpstr>
      <vt:lpstr>BTN_CHRONO_MINUS_5_SEC</vt:lpstr>
      <vt:lpstr>BTN_CHRONO_PLAY_PAUSE</vt:lpstr>
      <vt:lpstr>BTN_CHRONO_PLUS_5_SEC</vt:lpstr>
      <vt:lpstr>BTN_CHRONO_RESET</vt:lpstr>
      <vt:lpstr>BTN_CONTRE_RUCK</vt:lpstr>
      <vt:lpstr>BTN_EN_AVANT</vt:lpstr>
      <vt:lpstr>BTN_FRANCHISSEMENT</vt:lpstr>
      <vt:lpstr>BTN_GRATTAGE</vt:lpstr>
      <vt:lpstr>BTN_JEU_AU_PIED</vt:lpstr>
      <vt:lpstr>BTN_JO_1</vt:lpstr>
      <vt:lpstr>BTN_JO_10</vt:lpstr>
      <vt:lpstr>BTN_JO_11</vt:lpstr>
      <vt:lpstr>BTN_JO_12</vt:lpstr>
      <vt:lpstr>BTN_JO_13</vt:lpstr>
      <vt:lpstr>BTN_JO_14</vt:lpstr>
      <vt:lpstr>BTN_JO_15</vt:lpstr>
      <vt:lpstr>BTN_JO_16</vt:lpstr>
      <vt:lpstr>BTN_JO_17</vt:lpstr>
      <vt:lpstr>BTN_JO_18</vt:lpstr>
      <vt:lpstr>BTN_JO_19</vt:lpstr>
      <vt:lpstr>BTN_JO_2</vt:lpstr>
      <vt:lpstr>BTN_JO_20</vt:lpstr>
      <vt:lpstr>BTN_JO_21</vt:lpstr>
      <vt:lpstr>BTN_JO_22</vt:lpstr>
      <vt:lpstr>BTN_JO_3</vt:lpstr>
      <vt:lpstr>BTN_JO_4</vt:lpstr>
      <vt:lpstr>BTN_JO_5</vt:lpstr>
      <vt:lpstr>BTN_JO_6</vt:lpstr>
      <vt:lpstr>BTN_JO_7</vt:lpstr>
      <vt:lpstr>BTN_JO_8</vt:lpstr>
      <vt:lpstr>BTN_JO_9</vt:lpstr>
      <vt:lpstr>BTN_JO_AVANT</vt:lpstr>
      <vt:lpstr>BTN_JO_COLLECTIF</vt:lpstr>
      <vt:lpstr>BTN_JO_NON_IDENTIFIE</vt:lpstr>
      <vt:lpstr>BTN_JO_TROIS_QUARTS</vt:lpstr>
      <vt:lpstr>BTN_ME_G</vt:lpstr>
      <vt:lpstr>BTN_ME_P</vt:lpstr>
      <vt:lpstr>BTN_MT1</vt:lpstr>
      <vt:lpstr>BTN_MT2</vt:lpstr>
      <vt:lpstr>BTN_NOUS</vt:lpstr>
      <vt:lpstr>BTN_PARKING</vt:lpstr>
      <vt:lpstr>BTN_PEN_CONTRE_ADV</vt:lpstr>
      <vt:lpstr>BTN_PEN_CONTRE_NOUS</vt:lpstr>
      <vt:lpstr>BTN_PL_A2</vt:lpstr>
      <vt:lpstr>BTN_PL_HAUT</vt:lpstr>
      <vt:lpstr>BTN_PL_NORMAL</vt:lpstr>
      <vt:lpstr>BTN_PL_OFF</vt:lpstr>
      <vt:lpstr>BTN_PL_RATE</vt:lpstr>
      <vt:lpstr>BTN_PTS_DROP</vt:lpstr>
      <vt:lpstr>BTN_PTS_ESSAI</vt:lpstr>
      <vt:lpstr>BTN_PTS_ESSAI_PEN</vt:lpstr>
      <vt:lpstr>BTN_PTS_PENALITE</vt:lpstr>
      <vt:lpstr>BTN_PTS_TRANSFO</vt:lpstr>
      <vt:lpstr>BTN_RECEPTION_ADV</vt:lpstr>
      <vt:lpstr>BTN_RECEPTION_NOUS</vt:lpstr>
      <vt:lpstr>BTN_REMPLACEMENT</vt:lpstr>
      <vt:lpstr>BTN_REPRISE_A_LA_MAIN</vt:lpstr>
      <vt:lpstr>BTN_REPRISE_MELEE</vt:lpstr>
      <vt:lpstr>BTN_REPRISE_RENVOI</vt:lpstr>
      <vt:lpstr>BTN_REPRISE_TOUCHE</vt:lpstr>
      <vt:lpstr>BTN_RETOUR_CARTON</vt:lpstr>
      <vt:lpstr>BTN_TO_G</vt:lpstr>
      <vt:lpstr>BTN_TO_P</vt:lpstr>
      <vt:lpstr>BTN_TO_PAS_DROIT</vt:lpstr>
      <vt:lpstr>BTN_TURNOVER</vt:lpstr>
      <vt:lpstr>BTNS_JOUEURS</vt:lpstr>
      <vt:lpstr>CELL_CHRONO_VIDEO</vt:lpstr>
      <vt:lpstr>EQUIPE_NIV</vt:lpstr>
      <vt:lpstr>EQUIPES_POULE</vt:lpstr>
      <vt:lpstr>LBL_ATTITUDES</vt:lpstr>
      <vt:lpstr>LBL_CARTONS</vt:lpstr>
      <vt:lpstr>LBL_CHGT_POSS_1</vt:lpstr>
      <vt:lpstr>LBL_CHGT_POSS_2</vt:lpstr>
      <vt:lpstr>LBL_COUP_FRANC</vt:lpstr>
      <vt:lpstr>LBL_MELEES</vt:lpstr>
      <vt:lpstr>LBL_MI_TEMPS</vt:lpstr>
      <vt:lpstr>LBL_PENALITE</vt:lpstr>
      <vt:lpstr>LBL_PLAQUAGES</vt:lpstr>
      <vt:lpstr>LBL_POINTS</vt:lpstr>
      <vt:lpstr>LBL_POSITION_VIDEO</vt:lpstr>
      <vt:lpstr>LBL_POSSESSION</vt:lpstr>
      <vt:lpstr>LBL_REPRISE_JEU</vt:lpstr>
      <vt:lpstr>LBL_TOUCHES</vt:lpstr>
      <vt:lpstr>LIEU_MATCH</vt:lpstr>
      <vt:lpstr>LISTE_ACTIONS_JOURNAL</vt:lpstr>
      <vt:lpstr>LISTE_EQUIPES_JOURNAL</vt:lpstr>
      <vt:lpstr>LISTE_GROUPES_FAUTIFS</vt:lpstr>
      <vt:lpstr>LISTE_JOUEURS</vt:lpstr>
      <vt:lpstr>LISTE_JOUEURS_JOURNAL</vt:lpstr>
      <vt:lpstr>LISTE_LECTEURS_VIDEO</vt:lpstr>
      <vt:lpstr>LISTE_MOTIFS_PENALITE</vt:lpstr>
      <vt:lpstr>LISTE_MT_JOURNAL</vt:lpstr>
      <vt:lpstr>LST_JOUEURS</vt:lpstr>
      <vt:lpstr>LST_TM_ALIGNEMENT</vt:lpstr>
      <vt:lpstr>LST_TM_BALLON</vt:lpstr>
      <vt:lpstr>LST_TM_BALLON_LONG</vt:lpstr>
      <vt:lpstr>LST_TM_ISSUE_MELEE</vt:lpstr>
      <vt:lpstr>LST_TM_ISSUE_TOUCHE</vt:lpstr>
      <vt:lpstr>LST_TM_LANCE_POUR</vt:lpstr>
      <vt:lpstr>LST_TM_UTILISATION</vt:lpstr>
      <vt:lpstr>LST_TM_ZONE_LARGEUR</vt:lpstr>
      <vt:lpstr>LST_TM_ZONE_LONGUEUR</vt:lpstr>
      <vt:lpstr>LST_TM_ZONE_SAUT</vt:lpstr>
      <vt:lpstr>LSTResultat</vt:lpstr>
      <vt:lpstr>MATCH_ADV</vt:lpstr>
      <vt:lpstr>MATCH_ADVERSAIRE</vt:lpstr>
      <vt:lpstr>MATCH_CAT</vt:lpstr>
      <vt:lpstr>MATCH_DATE</vt:lpstr>
      <vt:lpstr>MATCH_ID</vt:lpstr>
      <vt:lpstr>MATCH_JOURNEE</vt:lpstr>
      <vt:lpstr>MATCH_LIEU</vt:lpstr>
      <vt:lpstr>MATCH_NOUS</vt:lpstr>
      <vt:lpstr>MATCH_PHASE</vt:lpstr>
      <vt:lpstr>MATCH_RESULTAT</vt:lpstr>
      <vt:lpstr>MATCH_SAISON</vt:lpstr>
      <vt:lpstr>OUI_NON</vt:lpstr>
      <vt:lpstr>PALETTE_JOUEURS</vt:lpstr>
      <vt:lpstr>PEN_ANNULER</vt:lpstr>
      <vt:lpstr>PEN_CONTEXTE</vt:lpstr>
      <vt:lpstr>PEN_JOUEURS</vt:lpstr>
      <vt:lpstr>PEN_MOTIFS</vt:lpstr>
      <vt:lpstr>PEN_PLAY_PAUSE</vt:lpstr>
      <vt:lpstr>PEN_VALIDER</vt:lpstr>
      <vt:lpstr>PHASE</vt:lpstr>
      <vt:lpstr>POPUP_ADD_PLAYER</vt:lpstr>
      <vt:lpstr>POPUP_ME_ANNULER</vt:lpstr>
      <vt:lpstr>POPUP_ME_CHAMPS</vt:lpstr>
      <vt:lpstr>POPUP_ME_CONTEXTE</vt:lpstr>
      <vt:lpstr>POPUP_ME_OBS</vt:lpstr>
      <vt:lpstr>POPUP_ME_PLAY_PAUSE</vt:lpstr>
      <vt:lpstr>POPUP_ME_UTILISATION</vt:lpstr>
      <vt:lpstr>POPUP_ME_VALIDER</vt:lpstr>
      <vt:lpstr>POPUP_ME_ZONE_LARGEUR</vt:lpstr>
      <vt:lpstr>POPUP_ME_ZONE_LONGUEUR</vt:lpstr>
      <vt:lpstr>POPUP_NOM</vt:lpstr>
      <vt:lpstr>POPUP_PRENOM</vt:lpstr>
      <vt:lpstr>POPUP_TO_ALIGNEMENT</vt:lpstr>
      <vt:lpstr>POPUP_TO_ANNULER</vt:lpstr>
      <vt:lpstr>POPUP_TO_BALLON</vt:lpstr>
      <vt:lpstr>POPUP_TO_CHAMPS</vt:lpstr>
      <vt:lpstr>POPUP_TO_CONTEXTE</vt:lpstr>
      <vt:lpstr>POPUP_TO_OBS</vt:lpstr>
      <vt:lpstr>POPUP_TO_PLAY_PAUSE</vt:lpstr>
      <vt:lpstr>POPUP_TO_SAUTEUR</vt:lpstr>
      <vt:lpstr>POPUP_TO_VALIDER</vt:lpstr>
      <vt:lpstr>POPUP_TO_ZONE_SAUT</vt:lpstr>
      <vt:lpstr>POPUP_TO_ZONE_TERRAIN</vt:lpstr>
      <vt:lpstr>REMP_ANNULER</vt:lpstr>
      <vt:lpstr>REMP_ENTRANTS</vt:lpstr>
      <vt:lpstr>REMP_MINUTE</vt:lpstr>
      <vt:lpstr>REMP_PLAY_PAUSE</vt:lpstr>
      <vt:lpstr>REMP_SORTANTS</vt:lpstr>
      <vt:lpstr>REMP_TEMPS</vt:lpstr>
      <vt:lpstr>REMP_VALIDER</vt:lpstr>
      <vt:lpstr>RESULTAT</vt:lpstr>
      <vt:lpstr>RET_ANNULER</vt:lpstr>
      <vt:lpstr>RET_CONTEXTE</vt:lpstr>
      <vt:lpstr>RET_LISTE</vt:lpstr>
      <vt:lpstr>RET_PLAY_PAUSE</vt:lpstr>
      <vt:lpstr>RET_VALIDER</vt:lpstr>
      <vt:lpstr>STAT_TEMPS_EFFECTIF_MT1</vt:lpstr>
      <vt:lpstr>STAT_TEMPS_EFFECTIF_MT2</vt:lpstr>
      <vt:lpstr>STAT_TEMPS_EFFECTIF_TOTAL</vt:lpstr>
      <vt:lpstr>STATS_RUGBY</vt:lpstr>
      <vt:lpstr>STYLE_BTN_ACTIF</vt:lpstr>
      <vt:lpstr>STYLE_BTN_ARRET_JEU</vt:lpstr>
      <vt:lpstr>STYLE_BTN_CHRONO_RESET</vt:lpstr>
      <vt:lpstr>STYLE_BTN_CHRONO_TMP</vt:lpstr>
      <vt:lpstr>STYLE_BTN_JOUEUR_ACTIF</vt:lpstr>
      <vt:lpstr>STYLE_BTN_JOUEUR_INACTIF</vt:lpstr>
      <vt:lpstr>STYLE_BTN_MT</vt:lpstr>
      <vt:lpstr>STYLE_BTN_PEN</vt:lpstr>
      <vt:lpstr>STYLE_BTN_PL_TOUCHES</vt:lpstr>
      <vt:lpstr>STYLE_BTN_POSSESSION</vt:lpstr>
      <vt:lpstr>STYLE_BTN_PTS</vt:lpstr>
      <vt:lpstr>STYLE_BTN_REPRISE</vt:lpstr>
      <vt:lpstr>STYLE_CARTON_BLANC</vt:lpstr>
      <vt:lpstr>STYLE_CARTON_BLEU</vt:lpstr>
      <vt:lpstr>STYLE_CARTON_JAUNE</vt:lpstr>
      <vt:lpstr>TITRE_CHRONO_VIDEO</vt:lpstr>
      <vt:lpstr>TITRE_PALETTE_ACTIONS</vt:lpstr>
      <vt:lpstr>TITRE_PALETTE_JOUEURS</vt:lpstr>
      <vt:lpstr>TM_BTN_EXPORT</vt:lpstr>
      <vt:lpstr>TM_RECAP_MELEES</vt:lpstr>
      <vt:lpstr>TM_RECAP_TOUCHES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bastien dal lago</cp:lastModifiedBy>
  <cp:revision>18</cp:revision>
  <dcterms:created xsi:type="dcterms:W3CDTF">2026-07-02T15:37:39Z</dcterms:created>
  <dcterms:modified xsi:type="dcterms:W3CDTF">2026-10-17T10:27:53Z</dcterms:modified>
</cp:coreProperties>
</file>